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e42b81ca704d30/"/>
    </mc:Choice>
  </mc:AlternateContent>
  <xr:revisionPtr revIDLastSave="277" documentId="8_{CF9C1D39-5274-4CC8-B1CD-3E50EBB7A504}" xr6:coauthVersionLast="47" xr6:coauthVersionMax="47" xr10:uidLastSave="{19E68BAA-E92C-4097-9AFD-F2780D8D4D50}"/>
  <bookViews>
    <workbookView xWindow="-27360" yWindow="1440" windowWidth="21600" windowHeight="11235" activeTab="2" xr2:uid="{CD41211F-6590-486E-90CC-09C2DA92B74B}"/>
  </bookViews>
  <sheets>
    <sheet name="raw_data" sheetId="1" r:id="rId1"/>
    <sheet name="clean_data" sheetId="5" r:id="rId2"/>
    <sheet name="report" sheetId="2" r:id="rId3"/>
  </sheets>
  <calcPr calcId="191029"/>
  <pivotCaches>
    <pivotCache cacheId="44" r:id="rId4"/>
    <pivotCache cacheId="4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 a="1"/>
  <c r="R3" i="1" s="1"/>
  <c r="R4" i="1" a="1"/>
  <c r="R4" i="1"/>
  <c r="R5" i="1" a="1"/>
  <c r="R5" i="1"/>
  <c r="R6" i="1" a="1"/>
  <c r="R6" i="1" s="1"/>
  <c r="R7" i="1" a="1"/>
  <c r="R7" i="1"/>
  <c r="R8" i="1" a="1"/>
  <c r="R8" i="1" s="1"/>
  <c r="R9" i="1" a="1"/>
  <c r="R9" i="1" s="1"/>
  <c r="R10" i="1" a="1"/>
  <c r="R10" i="1"/>
  <c r="R11" i="1" a="1"/>
  <c r="R11" i="1"/>
  <c r="R12" i="1" a="1"/>
  <c r="R12" i="1" s="1"/>
  <c r="R13" i="1" a="1"/>
  <c r="R13" i="1"/>
  <c r="R14" i="1" a="1"/>
  <c r="R14" i="1"/>
  <c r="R15" i="1" a="1"/>
  <c r="R15" i="1" s="1"/>
  <c r="R16" i="1" a="1"/>
  <c r="R16" i="1" s="1"/>
  <c r="R17" i="1" a="1"/>
  <c r="R17" i="1"/>
  <c r="R18" i="1" a="1"/>
  <c r="R18" i="1" s="1"/>
  <c r="R19" i="1" a="1"/>
  <c r="R19" i="1" s="1"/>
  <c r="R20" i="1" a="1"/>
  <c r="R20" i="1" s="1"/>
  <c r="R21" i="1" a="1"/>
  <c r="R21" i="1" s="1"/>
  <c r="R22" i="1" a="1"/>
  <c r="R22" i="1"/>
  <c r="R23" i="1" a="1"/>
  <c r="R23" i="1"/>
  <c r="R24" i="1" a="1"/>
  <c r="R24" i="1"/>
  <c r="R25" i="1" a="1"/>
  <c r="R25" i="1" s="1"/>
  <c r="R26" i="1" a="1"/>
  <c r="R26" i="1"/>
  <c r="R27" i="1" a="1"/>
  <c r="R27" i="1" s="1"/>
  <c r="R28" i="1" a="1"/>
  <c r="R28" i="1" s="1"/>
  <c r="R29" i="1" a="1"/>
  <c r="R29" i="1" s="1"/>
  <c r="R30" i="1" a="1"/>
  <c r="R30" i="1"/>
  <c r="R31" i="1" a="1"/>
  <c r="R31" i="1"/>
  <c r="R32" i="1" a="1"/>
  <c r="R32" i="1" s="1"/>
  <c r="R33" i="1" a="1"/>
  <c r="R33" i="1" s="1"/>
  <c r="R34" i="1" a="1"/>
  <c r="R34" i="1"/>
  <c r="R35" i="1" a="1"/>
  <c r="R35" i="1"/>
  <c r="R36" i="1" a="1"/>
  <c r="R36" i="1"/>
  <c r="R37" i="1" a="1"/>
  <c r="R37" i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/>
  <c r="R44" i="1" a="1"/>
  <c r="R44" i="1"/>
  <c r="R45" i="1" a="1"/>
  <c r="R45" i="1" s="1"/>
  <c r="R46" i="1" a="1"/>
  <c r="R46" i="1"/>
  <c r="R47" i="1" a="1"/>
  <c r="R47" i="1"/>
  <c r="R48" i="1" a="1"/>
  <c r="R48" i="1"/>
  <c r="R49" i="1" a="1"/>
  <c r="R49" i="1"/>
  <c r="R50" i="1" a="1"/>
  <c r="R50" i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/>
  <c r="R57" i="1" a="1"/>
  <c r="R57" i="1" s="1"/>
  <c r="R58" i="1" a="1"/>
  <c r="R58" i="1" s="1"/>
  <c r="R59" i="1" a="1"/>
  <c r="R59" i="1"/>
  <c r="R60" i="1" a="1"/>
  <c r="R60" i="1"/>
  <c r="R61" i="1" a="1"/>
  <c r="R61" i="1"/>
  <c r="R62" i="1" a="1"/>
  <c r="R62" i="1"/>
  <c r="R63" i="1" a="1"/>
  <c r="R63" i="1" s="1"/>
  <c r="R64" i="1" a="1"/>
  <c r="R64" i="1"/>
  <c r="R65" i="1" a="1"/>
  <c r="R65" i="1" s="1"/>
  <c r="R66" i="1" a="1"/>
  <c r="R66" i="1" s="1"/>
  <c r="R67" i="1" a="1"/>
  <c r="R67" i="1" s="1"/>
  <c r="R68" i="1" a="1"/>
  <c r="R68" i="1" s="1"/>
  <c r="R69" i="1" a="1"/>
  <c r="R69" i="1" s="1"/>
  <c r="R70" i="1" a="1"/>
  <c r="R70" i="1"/>
  <c r="R71" i="1" a="1"/>
  <c r="R71" i="1" s="1"/>
  <c r="R72" i="1" a="1"/>
  <c r="R72" i="1"/>
  <c r="R73" i="1" a="1"/>
  <c r="R73" i="1"/>
  <c r="R74" i="1" a="1"/>
  <c r="R74" i="1"/>
  <c r="R75" i="1" a="1"/>
  <c r="R75" i="1" s="1"/>
  <c r="R76" i="1" a="1"/>
  <c r="R76" i="1"/>
  <c r="R77" i="1" a="1"/>
  <c r="R77" i="1"/>
  <c r="R78" i="1" a="1"/>
  <c r="R78" i="1" s="1"/>
  <c r="R79" i="1" a="1"/>
  <c r="R79" i="1" s="1"/>
  <c r="R80" i="1" a="1"/>
  <c r="R80" i="1" s="1"/>
  <c r="R81" i="1" a="1"/>
  <c r="R81" i="1" s="1"/>
  <c r="R82" i="1" a="1"/>
  <c r="R82" i="1"/>
  <c r="R83" i="1" a="1"/>
  <c r="R83" i="1"/>
  <c r="R84" i="1" a="1"/>
  <c r="R84" i="1" s="1"/>
  <c r="R85" i="1" a="1"/>
  <c r="R85" i="1"/>
  <c r="R86" i="1" a="1"/>
  <c r="R86" i="1"/>
  <c r="R87" i="1" a="1"/>
  <c r="R87" i="1" s="1"/>
  <c r="R88" i="1" a="1"/>
  <c r="R88" i="1" s="1"/>
  <c r="R89" i="1" a="1"/>
  <c r="R89" i="1"/>
  <c r="R90" i="1" a="1"/>
  <c r="R90" i="1" s="1"/>
  <c r="R91" i="1" a="1"/>
  <c r="R91" i="1" s="1"/>
  <c r="R92" i="1" a="1"/>
  <c r="R92" i="1" s="1"/>
  <c r="R93" i="1" a="1"/>
  <c r="R93" i="1" s="1"/>
  <c r="R94" i="1" a="1"/>
  <c r="R94" i="1"/>
  <c r="R95" i="1" a="1"/>
  <c r="R95" i="1"/>
  <c r="R96" i="1" a="1"/>
  <c r="R96" i="1"/>
  <c r="R97" i="1" a="1"/>
  <c r="R97" i="1" s="1"/>
  <c r="R98" i="1" a="1"/>
  <c r="R98" i="1"/>
  <c r="R99" i="1" a="1"/>
  <c r="R99" i="1" s="1"/>
  <c r="R100" i="1" a="1"/>
  <c r="R100" i="1" s="1"/>
  <c r="R101" i="1" a="1"/>
  <c r="R101" i="1" s="1"/>
  <c r="R102" i="1" a="1"/>
  <c r="R102" i="1"/>
  <c r="R103" i="1" a="1"/>
  <c r="R103" i="1" s="1"/>
  <c r="R104" i="1" a="1"/>
  <c r="R104" i="1" s="1"/>
  <c r="R105" i="1" a="1"/>
  <c r="R105" i="1" s="1"/>
  <c r="R106" i="1" a="1"/>
  <c r="R106" i="1"/>
  <c r="R107" i="1" a="1"/>
  <c r="R107" i="1"/>
  <c r="R108" i="1" a="1"/>
  <c r="R108" i="1"/>
  <c r="R109" i="1" a="1"/>
  <c r="R109" i="1"/>
  <c r="R110" i="1" a="1"/>
  <c r="R110" i="1" s="1"/>
  <c r="R111" i="1" a="1"/>
  <c r="R111" i="1" s="1"/>
  <c r="R112" i="1" a="1"/>
  <c r="R112" i="1" s="1"/>
  <c r="R113" i="1" a="1"/>
  <c r="R113" i="1" s="1"/>
  <c r="R114" i="1" a="1"/>
  <c r="R114" i="1" s="1"/>
  <c r="R115" i="1" a="1"/>
  <c r="R115" i="1"/>
  <c r="R116" i="1" a="1"/>
  <c r="R116" i="1"/>
  <c r="R117" i="1" a="1"/>
  <c r="R117" i="1" s="1"/>
  <c r="R118" i="1" a="1"/>
  <c r="R118" i="1"/>
  <c r="R119" i="1" a="1"/>
  <c r="R119" i="1"/>
  <c r="R120" i="1" a="1"/>
  <c r="R120" i="1"/>
  <c r="R121" i="1" a="1"/>
  <c r="R121" i="1"/>
  <c r="R122" i="1" a="1"/>
  <c r="R122" i="1"/>
  <c r="R123" i="1" a="1"/>
  <c r="R123" i="1" s="1"/>
  <c r="R124" i="1" a="1"/>
  <c r="R124" i="1" s="1"/>
  <c r="R125" i="1" a="1"/>
  <c r="R125" i="1" s="1"/>
  <c r="R126" i="1" a="1"/>
  <c r="R126" i="1" s="1"/>
  <c r="R127" i="1" a="1"/>
  <c r="R127" i="1" s="1"/>
  <c r="R128" i="1" a="1"/>
  <c r="R128" i="1"/>
  <c r="R129" i="1" a="1"/>
  <c r="R129" i="1" s="1"/>
  <c r="R130" i="1" a="1"/>
  <c r="R130" i="1" s="1"/>
  <c r="R131" i="1" a="1"/>
  <c r="R131" i="1"/>
  <c r="R132" i="1" a="1"/>
  <c r="R132" i="1"/>
  <c r="R133" i="1" a="1"/>
  <c r="R133" i="1"/>
  <c r="R134" i="1" a="1"/>
  <c r="R134" i="1"/>
  <c r="R135" i="1" a="1"/>
  <c r="R135" i="1" s="1"/>
  <c r="R136" i="1" a="1"/>
  <c r="R136" i="1"/>
  <c r="R137" i="1" a="1"/>
  <c r="R137" i="1" s="1"/>
  <c r="R138" i="1" a="1"/>
  <c r="R138" i="1" s="1"/>
  <c r="R139" i="1" a="1"/>
  <c r="R139" i="1" s="1"/>
  <c r="R140" i="1" a="1"/>
  <c r="R140" i="1" s="1"/>
  <c r="R141" i="1" a="1"/>
  <c r="R141" i="1" s="1"/>
  <c r="R142" i="1" a="1"/>
  <c r="R142" i="1"/>
  <c r="R143" i="1" a="1"/>
  <c r="R143" i="1" s="1"/>
  <c r="R144" i="1" a="1"/>
  <c r="R144" i="1"/>
  <c r="R145" i="1" a="1"/>
  <c r="R145" i="1"/>
  <c r="R146" i="1" a="1"/>
  <c r="R146" i="1"/>
  <c r="R147" i="1" a="1"/>
  <c r="R147" i="1" s="1"/>
  <c r="R148" i="1" a="1"/>
  <c r="R148" i="1"/>
  <c r="R149" i="1" a="1"/>
  <c r="R149" i="1" s="1"/>
  <c r="R150" i="1" a="1"/>
  <c r="R150" i="1" s="1"/>
  <c r="R151" i="1" a="1"/>
  <c r="R151" i="1" s="1"/>
  <c r="R152" i="1" a="1"/>
  <c r="R152" i="1" s="1"/>
  <c r="R153" i="1" a="1"/>
  <c r="R153" i="1" s="1"/>
  <c r="R154" i="1" a="1"/>
  <c r="R154" i="1"/>
  <c r="R155" i="1" a="1"/>
  <c r="R155" i="1"/>
  <c r="R156" i="1" a="1"/>
  <c r="R156" i="1" s="1"/>
  <c r="R157" i="1" a="1"/>
  <c r="R157" i="1"/>
  <c r="R158" i="1" a="1"/>
  <c r="R158" i="1"/>
  <c r="R159" i="1" a="1"/>
  <c r="R159" i="1" s="1"/>
  <c r="R160" i="1" a="1"/>
  <c r="R160" i="1" s="1"/>
  <c r="R161" i="1" a="1"/>
  <c r="R161" i="1"/>
  <c r="R162" i="1" a="1"/>
  <c r="R162" i="1"/>
  <c r="R163" i="1" a="1"/>
  <c r="R163" i="1" s="1"/>
  <c r="R164" i="1" a="1"/>
  <c r="R164" i="1" s="1"/>
  <c r="R165" i="1" a="1"/>
  <c r="R165" i="1" s="1"/>
  <c r="R166" i="1" a="1"/>
  <c r="R166" i="1"/>
  <c r="R167" i="1" a="1"/>
  <c r="R167" i="1"/>
  <c r="R168" i="1" a="1"/>
  <c r="R168" i="1"/>
  <c r="R169" i="1" a="1"/>
  <c r="R169" i="1" s="1"/>
  <c r="R170" i="1" a="1"/>
  <c r="R170" i="1"/>
  <c r="R171" i="1" a="1"/>
  <c r="R171" i="1" s="1"/>
  <c r="R172" i="1" a="1"/>
  <c r="R172" i="1" s="1"/>
  <c r="R173" i="1" a="1"/>
  <c r="R173" i="1" s="1"/>
  <c r="R174" i="1" a="1"/>
  <c r="R174" i="1"/>
  <c r="R175" i="1" a="1"/>
  <c r="R175" i="1"/>
  <c r="R176" i="1" a="1"/>
  <c r="R176" i="1" s="1"/>
  <c r="R177" i="1" a="1"/>
  <c r="R177" i="1" s="1"/>
  <c r="R178" i="1" a="1"/>
  <c r="R178" i="1"/>
  <c r="R179" i="1" a="1"/>
  <c r="R179" i="1"/>
  <c r="R180" i="1" a="1"/>
  <c r="R180" i="1"/>
  <c r="R181" i="1" a="1"/>
  <c r="R181" i="1"/>
  <c r="R182" i="1" a="1"/>
  <c r="R182" i="1" s="1"/>
  <c r="R183" i="1" a="1"/>
  <c r="R183" i="1" s="1"/>
  <c r="R184" i="1" a="1"/>
  <c r="R184" i="1" s="1"/>
  <c r="R185" i="1" a="1"/>
  <c r="R185" i="1" s="1"/>
  <c r="R186" i="1" a="1"/>
  <c r="R186" i="1" s="1"/>
  <c r="R187" i="1" a="1"/>
  <c r="R187" i="1"/>
  <c r="R188" i="1" a="1"/>
  <c r="R188" i="1" s="1"/>
  <c r="R189" i="1" a="1"/>
  <c r="R189" i="1" s="1"/>
  <c r="R190" i="1" a="1"/>
  <c r="R190" i="1"/>
  <c r="R191" i="1" a="1"/>
  <c r="R191" i="1"/>
  <c r="R192" i="1" a="1"/>
  <c r="R192" i="1"/>
  <c r="R193" i="1" a="1"/>
  <c r="R193" i="1"/>
  <c r="R194" i="1" a="1"/>
  <c r="R194" i="1"/>
  <c r="R195" i="1" a="1"/>
  <c r="R195" i="1" s="1"/>
  <c r="R196" i="1" a="1"/>
  <c r="R196" i="1" s="1"/>
  <c r="R197" i="1" a="1"/>
  <c r="R197" i="1" s="1"/>
  <c r="R198" i="1" a="1"/>
  <c r="R198" i="1" s="1"/>
  <c r="R199" i="1" a="1"/>
  <c r="R199" i="1" s="1"/>
  <c r="R200" i="1" a="1"/>
  <c r="R200" i="1"/>
  <c r="R201" i="1" a="1"/>
  <c r="R201" i="1" s="1"/>
  <c r="R202" i="1" a="1"/>
  <c r="R202" i="1" s="1"/>
  <c r="R203" i="1" a="1"/>
  <c r="R203" i="1"/>
  <c r="R204" i="1" a="1"/>
  <c r="R204" i="1"/>
  <c r="R205" i="1" a="1"/>
  <c r="R205" i="1"/>
  <c r="R206" i="1" a="1"/>
  <c r="R206" i="1"/>
  <c r="R207" i="1" a="1"/>
  <c r="R207" i="1" s="1"/>
  <c r="R208" i="1" a="1"/>
  <c r="R208" i="1"/>
  <c r="R209" i="1" a="1"/>
  <c r="R209" i="1" s="1"/>
  <c r="R210" i="1" a="1"/>
  <c r="R210" i="1" s="1"/>
  <c r="R211" i="1" a="1"/>
  <c r="R211" i="1" s="1"/>
  <c r="R212" i="1" a="1"/>
  <c r="R212" i="1" s="1"/>
  <c r="R213" i="1" a="1"/>
  <c r="R213" i="1" s="1"/>
  <c r="R214" i="1" a="1"/>
  <c r="R214" i="1"/>
  <c r="R215" i="1" a="1"/>
  <c r="R215" i="1" s="1"/>
  <c r="R216" i="1" a="1"/>
  <c r="R216" i="1"/>
  <c r="R217" i="1" a="1"/>
  <c r="R217" i="1"/>
  <c r="R218" i="1" a="1"/>
  <c r="R218" i="1"/>
  <c r="R219" i="1" a="1"/>
  <c r="R219" i="1" s="1"/>
  <c r="R220" i="1" a="1"/>
  <c r="R220" i="1"/>
  <c r="R221" i="1" a="1"/>
  <c r="R221" i="1"/>
  <c r="R222" i="1" a="1"/>
  <c r="R222" i="1" s="1"/>
  <c r="R223" i="1" a="1"/>
  <c r="R223" i="1" s="1"/>
  <c r="R224" i="1" a="1"/>
  <c r="R224" i="1" s="1"/>
  <c r="R225" i="1" a="1"/>
  <c r="R225" i="1" s="1"/>
  <c r="R226" i="1" a="1"/>
  <c r="R226" i="1"/>
  <c r="R227" i="1" a="1"/>
  <c r="R227" i="1"/>
  <c r="R228" i="1" a="1"/>
  <c r="R228" i="1" s="1"/>
  <c r="R229" i="1" a="1"/>
  <c r="R229" i="1"/>
  <c r="R230" i="1" a="1"/>
  <c r="R230" i="1"/>
  <c r="R231" i="1" a="1"/>
  <c r="R231" i="1" s="1"/>
  <c r="R232" i="1" a="1"/>
  <c r="R232" i="1" s="1"/>
  <c r="R233" i="1" a="1"/>
  <c r="R233" i="1"/>
  <c r="R234" i="1" a="1"/>
  <c r="R234" i="1"/>
  <c r="R235" i="1" a="1"/>
  <c r="R235" i="1" s="1"/>
  <c r="R236" i="1" a="1"/>
  <c r="R236" i="1" s="1"/>
  <c r="R237" i="1" a="1"/>
  <c r="R237" i="1" s="1"/>
  <c r="R238" i="1" a="1"/>
  <c r="R238" i="1"/>
  <c r="R239" i="1" a="1"/>
  <c r="R239" i="1"/>
  <c r="R240" i="1" a="1"/>
  <c r="R240" i="1"/>
  <c r="R241" i="1" a="1"/>
  <c r="R241" i="1" s="1"/>
  <c r="R242" i="1" a="1"/>
  <c r="R242" i="1"/>
  <c r="R243" i="1" a="1"/>
  <c r="R243" i="1" s="1"/>
  <c r="R244" i="1" a="1"/>
  <c r="R244" i="1" s="1"/>
  <c r="R245" i="1" a="1"/>
  <c r="R245" i="1" s="1"/>
  <c r="R246" i="1" a="1"/>
  <c r="R246" i="1"/>
  <c r="R247" i="1" a="1"/>
  <c r="R247" i="1"/>
  <c r="R248" i="1" a="1"/>
  <c r="R248" i="1" s="1"/>
  <c r="R249" i="1" a="1"/>
  <c r="R249" i="1" s="1"/>
  <c r="R250" i="1" a="1"/>
  <c r="R250" i="1"/>
  <c r="R251" i="1" a="1"/>
  <c r="R251" i="1"/>
  <c r="R252" i="1" a="1"/>
  <c r="R252" i="1"/>
  <c r="R253" i="1" a="1"/>
  <c r="R253" i="1"/>
  <c r="R254" i="1" a="1"/>
  <c r="R254" i="1" s="1"/>
  <c r="R255" i="1" a="1"/>
  <c r="R255" i="1" s="1"/>
  <c r="R256" i="1" a="1"/>
  <c r="R256" i="1" s="1"/>
  <c r="R257" i="1" a="1"/>
  <c r="R257" i="1" s="1"/>
  <c r="R258" i="1" a="1"/>
  <c r="R258" i="1" s="1"/>
  <c r="R259" i="1" a="1"/>
  <c r="R259" i="1"/>
  <c r="R260" i="1" a="1"/>
  <c r="R260" i="1"/>
  <c r="R261" i="1" a="1"/>
  <c r="R261" i="1" s="1"/>
  <c r="R262" i="1" a="1"/>
  <c r="R262" i="1"/>
  <c r="R263" i="1" a="1"/>
  <c r="R263" i="1"/>
  <c r="R264" i="1" a="1"/>
  <c r="R264" i="1"/>
  <c r="R265" i="1" a="1"/>
  <c r="R265" i="1"/>
  <c r="R266" i="1" a="1"/>
  <c r="R266" i="1"/>
  <c r="R267" i="1" a="1"/>
  <c r="R267" i="1" s="1"/>
  <c r="R268" i="1" a="1"/>
  <c r="R268" i="1" s="1"/>
  <c r="R269" i="1" a="1"/>
  <c r="R269" i="1" s="1"/>
  <c r="R270" i="1" a="1"/>
  <c r="R270" i="1" s="1"/>
  <c r="R271" i="1" a="1"/>
  <c r="R271" i="1" s="1"/>
  <c r="R272" i="1" a="1"/>
  <c r="R272" i="1"/>
  <c r="R273" i="1" a="1"/>
  <c r="R273" i="1" s="1"/>
  <c r="R274" i="1" a="1"/>
  <c r="R274" i="1" s="1"/>
  <c r="R275" i="1" a="1"/>
  <c r="R275" i="1"/>
  <c r="R276" i="1" a="1"/>
  <c r="R276" i="1"/>
  <c r="R277" i="1" a="1"/>
  <c r="R277" i="1"/>
  <c r="R278" i="1" a="1"/>
  <c r="R278" i="1"/>
  <c r="R279" i="1" a="1"/>
  <c r="R279" i="1" s="1"/>
  <c r="R280" i="1" a="1"/>
  <c r="R280" i="1" s="1"/>
  <c r="R281" i="1" a="1"/>
  <c r="R281" i="1" s="1"/>
  <c r="R282" i="1" a="1"/>
  <c r="R282" i="1" s="1"/>
  <c r="R283" i="1" a="1"/>
  <c r="R283" i="1" s="1"/>
  <c r="R284" i="1" a="1"/>
  <c r="R284" i="1" s="1"/>
  <c r="R285" i="1" a="1"/>
  <c r="R285" i="1" s="1"/>
  <c r="R286" i="1" a="1"/>
  <c r="R286" i="1"/>
  <c r="R287" i="1" a="1"/>
  <c r="R287" i="1" s="1"/>
  <c r="R288" i="1" a="1"/>
  <c r="R288" i="1"/>
  <c r="R289" i="1" a="1"/>
  <c r="R289" i="1"/>
  <c r="R290" i="1" a="1"/>
  <c r="R290" i="1"/>
  <c r="R291" i="1" a="1"/>
  <c r="R291" i="1" s="1"/>
  <c r="R292" i="1" a="1"/>
  <c r="R292" i="1"/>
  <c r="R293" i="1" a="1"/>
  <c r="R293" i="1"/>
  <c r="R294" i="1" a="1"/>
  <c r="R294" i="1" s="1"/>
  <c r="R295" i="1" a="1"/>
  <c r="R295" i="1" s="1"/>
  <c r="R296" i="1" a="1"/>
  <c r="R296" i="1" s="1"/>
  <c r="R297" i="1" a="1"/>
  <c r="R297" i="1" s="1"/>
  <c r="R298" i="1" a="1"/>
  <c r="R298" i="1"/>
  <c r="R299" i="1" a="1"/>
  <c r="R299" i="1"/>
  <c r="R300" i="1" a="1"/>
  <c r="R300" i="1" s="1"/>
  <c r="R301" i="1" a="1"/>
  <c r="R301" i="1"/>
  <c r="R302" i="1" a="1"/>
  <c r="R302" i="1"/>
  <c r="R303" i="1" a="1"/>
  <c r="R303" i="1" s="1"/>
  <c r="R304" i="1" a="1"/>
  <c r="R304" i="1" s="1"/>
  <c r="R305" i="1" a="1"/>
  <c r="R305" i="1"/>
  <c r="R306" i="1" a="1"/>
  <c r="R306" i="1"/>
  <c r="R307" i="1" a="1"/>
  <c r="R307" i="1" s="1"/>
  <c r="R308" i="1" a="1"/>
  <c r="R308" i="1" s="1"/>
  <c r="R309" i="1" a="1"/>
  <c r="R309" i="1" s="1"/>
  <c r="R310" i="1" a="1"/>
  <c r="R310" i="1"/>
  <c r="R311" i="1" a="1"/>
  <c r="R311" i="1"/>
  <c r="R312" i="1" a="1"/>
  <c r="R312" i="1"/>
  <c r="R313" i="1" a="1"/>
  <c r="R313" i="1" s="1"/>
  <c r="R314" i="1" a="1"/>
  <c r="R314" i="1"/>
  <c r="R315" i="1" a="1"/>
  <c r="R315" i="1" s="1"/>
  <c r="R316" i="1" a="1"/>
  <c r="R316" i="1" s="1"/>
  <c r="R317" i="1" a="1"/>
  <c r="R317" i="1" s="1"/>
  <c r="R318" i="1" a="1"/>
  <c r="R318" i="1"/>
  <c r="R319" i="1" a="1"/>
  <c r="R319" i="1" s="1"/>
  <c r="R320" i="1" a="1"/>
  <c r="R320" i="1" s="1"/>
  <c r="R321" i="1" a="1"/>
  <c r="R321" i="1" s="1"/>
  <c r="R322" i="1" a="1"/>
  <c r="R322" i="1"/>
  <c r="R323" i="1" a="1"/>
  <c r="R323" i="1"/>
  <c r="R324" i="1" a="1"/>
  <c r="R324" i="1"/>
  <c r="R325" i="1" a="1"/>
  <c r="R325" i="1"/>
  <c r="R326" i="1" a="1"/>
  <c r="R326" i="1" s="1"/>
  <c r="R327" i="1" a="1"/>
  <c r="R327" i="1" s="1"/>
  <c r="R328" i="1" a="1"/>
  <c r="R328" i="1" s="1"/>
  <c r="R329" i="1" a="1"/>
  <c r="R329" i="1" s="1"/>
  <c r="R330" i="1" a="1"/>
  <c r="R330" i="1" s="1"/>
  <c r="R331" i="1" a="1"/>
  <c r="R331" i="1"/>
  <c r="R332" i="1" a="1"/>
  <c r="R332" i="1"/>
  <c r="R333" i="1" a="1"/>
  <c r="R333" i="1" s="1"/>
  <c r="R334" i="1" a="1"/>
  <c r="R334" i="1"/>
  <c r="R335" i="1" a="1"/>
  <c r="R335" i="1"/>
  <c r="R336" i="1" a="1"/>
  <c r="R336" i="1"/>
  <c r="R337" i="1" a="1"/>
  <c r="R337" i="1"/>
  <c r="R338" i="1" a="1"/>
  <c r="R338" i="1"/>
  <c r="R339" i="1" a="1"/>
  <c r="R339" i="1" s="1"/>
  <c r="R340" i="1" a="1"/>
  <c r="R340" i="1"/>
  <c r="R341" i="1" a="1"/>
  <c r="R341" i="1" s="1"/>
  <c r="R342" i="1" a="1"/>
  <c r="R342" i="1" s="1"/>
  <c r="R343" i="1" a="1"/>
  <c r="R343" i="1" s="1"/>
  <c r="R344" i="1" a="1"/>
  <c r="R344" i="1"/>
  <c r="R345" i="1" a="1"/>
  <c r="R345" i="1" s="1"/>
  <c r="R346" i="1" a="1"/>
  <c r="R346" i="1" s="1"/>
  <c r="R347" i="1" a="1"/>
  <c r="R347" i="1"/>
  <c r="R348" i="1" a="1"/>
  <c r="R348" i="1"/>
  <c r="R349" i="1" a="1"/>
  <c r="R349" i="1"/>
  <c r="R350" i="1" a="1"/>
  <c r="R350" i="1"/>
  <c r="R351" i="1" a="1"/>
  <c r="R351" i="1" s="1"/>
  <c r="R352" i="1" a="1"/>
  <c r="R352" i="1" s="1"/>
  <c r="R353" i="1" a="1"/>
  <c r="R353" i="1"/>
  <c r="R354" i="1" a="1"/>
  <c r="R354" i="1" s="1"/>
  <c r="R355" i="1" a="1"/>
  <c r="R355" i="1" s="1"/>
  <c r="R356" i="1" a="1"/>
  <c r="R356" i="1" s="1"/>
  <c r="R357" i="1" a="1"/>
  <c r="R357" i="1" s="1"/>
  <c r="R358" i="1" a="1"/>
  <c r="R358" i="1"/>
  <c r="R359" i="1" a="1"/>
  <c r="R359" i="1" s="1"/>
  <c r="R360" i="1" a="1"/>
  <c r="R360" i="1"/>
  <c r="R361" i="1" a="1"/>
  <c r="R361" i="1"/>
  <c r="R362" i="1" a="1"/>
  <c r="R362" i="1"/>
  <c r="R363" i="1" a="1"/>
  <c r="R363" i="1" s="1"/>
  <c r="R364" i="1" a="1"/>
  <c r="R364" i="1"/>
  <c r="R365" i="1" a="1"/>
  <c r="R365" i="1"/>
  <c r="R366" i="1" a="1"/>
  <c r="R366" i="1"/>
  <c r="R367" i="1" a="1"/>
  <c r="R367" i="1" s="1"/>
  <c r="R368" i="1" a="1"/>
  <c r="R368" i="1" s="1"/>
  <c r="R369" i="1" a="1"/>
  <c r="R369" i="1" s="1"/>
  <c r="R370" i="1" a="1"/>
  <c r="R370" i="1"/>
  <c r="R371" i="1" a="1"/>
  <c r="R371" i="1"/>
  <c r="R372" i="1" a="1"/>
  <c r="R372" i="1" s="1"/>
  <c r="R373" i="1" a="1"/>
  <c r="R373" i="1"/>
  <c r="R374" i="1" a="1"/>
  <c r="R374" i="1"/>
  <c r="R375" i="1" a="1"/>
  <c r="R375" i="1" s="1"/>
  <c r="R376" i="1" a="1"/>
  <c r="R376" i="1" s="1"/>
  <c r="R377" i="1" a="1"/>
  <c r="R377" i="1"/>
  <c r="R378" i="1" a="1"/>
  <c r="R378" i="1"/>
  <c r="R379" i="1" a="1"/>
  <c r="R379" i="1"/>
  <c r="R380" i="1" a="1"/>
  <c r="R380" i="1" s="1"/>
  <c r="R381" i="1" a="1"/>
  <c r="R381" i="1" s="1"/>
  <c r="R382" i="1" a="1"/>
  <c r="R382" i="1"/>
  <c r="R383" i="1" a="1"/>
  <c r="R383" i="1"/>
  <c r="R384" i="1" a="1"/>
  <c r="R384" i="1"/>
  <c r="R385" i="1" a="1"/>
  <c r="R385" i="1" s="1"/>
  <c r="R386" i="1" a="1"/>
  <c r="R386" i="1" s="1"/>
  <c r="R387" i="1" a="1"/>
  <c r="R387" i="1" s="1"/>
  <c r="R388" i="1" a="1"/>
  <c r="R388" i="1" s="1"/>
  <c r="R389" i="1" a="1"/>
  <c r="R389" i="1" s="1"/>
  <c r="R390" i="1" a="1"/>
  <c r="R390" i="1"/>
  <c r="R391" i="1" a="1"/>
  <c r="R391" i="1" s="1"/>
  <c r="R392" i="1" a="1"/>
  <c r="R392" i="1"/>
  <c r="R393" i="1" a="1"/>
  <c r="R393" i="1" s="1"/>
  <c r="R394" i="1" a="1"/>
  <c r="R394" i="1"/>
  <c r="R395" i="1" a="1"/>
  <c r="R395" i="1"/>
  <c r="R396" i="1" a="1"/>
  <c r="R396" i="1"/>
  <c r="R397" i="1" a="1"/>
  <c r="R397" i="1"/>
  <c r="R398" i="1" a="1"/>
  <c r="R398" i="1" s="1"/>
  <c r="R399" i="1" a="1"/>
  <c r="R399" i="1" s="1"/>
  <c r="R400" i="1" a="1"/>
  <c r="R400" i="1" s="1"/>
  <c r="R401" i="1" a="1"/>
  <c r="R401" i="1" s="1"/>
  <c r="R402" i="1" a="1"/>
  <c r="R402" i="1" s="1"/>
  <c r="R403" i="1" a="1"/>
  <c r="R403" i="1"/>
  <c r="R404" i="1" a="1"/>
  <c r="R404" i="1"/>
  <c r="R405" i="1" a="1"/>
  <c r="R405" i="1" s="1"/>
  <c r="R406" i="1" a="1"/>
  <c r="R406" i="1"/>
  <c r="R407" i="1" a="1"/>
  <c r="R407" i="1"/>
  <c r="R408" i="1" a="1"/>
  <c r="R408" i="1"/>
  <c r="R409" i="1" a="1"/>
  <c r="R409" i="1"/>
  <c r="R410" i="1" a="1"/>
  <c r="R410" i="1"/>
  <c r="R411" i="1" a="1"/>
  <c r="R411" i="1" s="1"/>
  <c r="R412" i="1" a="1"/>
  <c r="R412" i="1"/>
  <c r="R413" i="1" a="1"/>
  <c r="R413" i="1" s="1"/>
  <c r="R414" i="1" a="1"/>
  <c r="R414" i="1" s="1"/>
  <c r="R415" i="1" a="1"/>
  <c r="R415" i="1" s="1"/>
  <c r="R416" i="1" a="1"/>
  <c r="R416" i="1"/>
  <c r="R417" i="1" a="1"/>
  <c r="R417" i="1" s="1"/>
  <c r="R418" i="1" a="1"/>
  <c r="R418" i="1" s="1"/>
  <c r="R419" i="1" a="1"/>
  <c r="R419" i="1"/>
  <c r="R420" i="1" a="1"/>
  <c r="R420" i="1"/>
  <c r="R421" i="1" a="1"/>
  <c r="R421" i="1"/>
  <c r="R422" i="1" a="1"/>
  <c r="R422" i="1"/>
  <c r="R423" i="1" a="1"/>
  <c r="R423" i="1" s="1"/>
  <c r="R424" i="1" a="1"/>
  <c r="R424" i="1"/>
  <c r="R425" i="1" a="1"/>
  <c r="R425" i="1"/>
  <c r="R426" i="1" a="1"/>
  <c r="R426" i="1" s="1"/>
  <c r="R427" i="1" a="1"/>
  <c r="R427" i="1" s="1"/>
  <c r="R428" i="1" a="1"/>
  <c r="R428" i="1" s="1"/>
  <c r="R429" i="1" a="1"/>
  <c r="R429" i="1" s="1"/>
  <c r="R430" i="1" a="1"/>
  <c r="R430" i="1" s="1"/>
  <c r="R431" i="1" a="1"/>
  <c r="R431" i="1" s="1"/>
  <c r="R432" i="1" a="1"/>
  <c r="R432" i="1"/>
  <c r="R433" i="1" a="1"/>
  <c r="R433" i="1"/>
  <c r="R434" i="1" a="1"/>
  <c r="R434" i="1"/>
  <c r="R435" i="1" a="1"/>
  <c r="R435" i="1" s="1"/>
  <c r="R436" i="1" a="1"/>
  <c r="R436" i="1"/>
  <c r="R437" i="1" a="1"/>
  <c r="R437" i="1" s="1"/>
  <c r="R438" i="1" a="1"/>
  <c r="R438" i="1"/>
  <c r="R439" i="1" a="1"/>
  <c r="R439" i="1" s="1"/>
  <c r="R440" i="1" a="1"/>
  <c r="R440" i="1" s="1"/>
  <c r="R441" i="1" a="1"/>
  <c r="R441" i="1" s="1"/>
  <c r="R442" i="1" a="1"/>
  <c r="R442" i="1"/>
  <c r="R443" i="1" a="1"/>
  <c r="R443" i="1" s="1"/>
  <c r="R444" i="1" a="1"/>
  <c r="R444" i="1" s="1"/>
  <c r="R445" i="1" a="1"/>
  <c r="R445" i="1" s="1"/>
  <c r="R446" i="1" a="1"/>
  <c r="R446" i="1"/>
  <c r="R447" i="1" a="1"/>
  <c r="R447" i="1" s="1"/>
  <c r="R448" i="1" a="1"/>
  <c r="R448" i="1" s="1"/>
  <c r="R449" i="1" a="1"/>
  <c r="R449" i="1"/>
  <c r="R450" i="1" a="1"/>
  <c r="R450" i="1"/>
  <c r="R451" i="1" a="1"/>
  <c r="R451" i="1"/>
  <c r="R452" i="1" a="1"/>
  <c r="R452" i="1" s="1"/>
  <c r="R453" i="1" a="1"/>
  <c r="R453" i="1" s="1"/>
  <c r="R454" i="1" a="1"/>
  <c r="R454" i="1"/>
  <c r="R455" i="1" a="1"/>
  <c r="R455" i="1"/>
  <c r="R456" i="1" a="1"/>
  <c r="R456" i="1" s="1"/>
  <c r="R457" i="1" a="1"/>
  <c r="R457" i="1"/>
  <c r="R458" i="1" a="1"/>
  <c r="R458" i="1"/>
  <c r="R459" i="1" a="1"/>
  <c r="R459" i="1" s="1"/>
  <c r="R460" i="1" a="1"/>
  <c r="R460" i="1" s="1"/>
  <c r="R461" i="1" a="1"/>
  <c r="R461" i="1" s="1"/>
  <c r="R462" i="1" a="1"/>
  <c r="R462" i="1"/>
  <c r="R463" i="1" a="1"/>
  <c r="R463" i="1" s="1"/>
  <c r="R464" i="1" a="1"/>
  <c r="R464" i="1"/>
  <c r="R465" i="1" a="1"/>
  <c r="R465" i="1" s="1"/>
  <c r="R466" i="1" a="1"/>
  <c r="R466" i="1"/>
  <c r="R467" i="1" a="1"/>
  <c r="R467" i="1"/>
  <c r="R468" i="1" a="1"/>
  <c r="R468" i="1"/>
  <c r="R469" i="1" a="1"/>
  <c r="R469" i="1"/>
  <c r="R470" i="1" a="1"/>
  <c r="R470" i="1" s="1"/>
  <c r="R471" i="1" a="1"/>
  <c r="R471" i="1" s="1"/>
  <c r="R472" i="1" a="1"/>
  <c r="R472" i="1" s="1"/>
  <c r="R473" i="1" a="1"/>
  <c r="R473" i="1" s="1"/>
  <c r="R474" i="1" a="1"/>
  <c r="R474" i="1" s="1"/>
  <c r="R475" i="1" a="1"/>
  <c r="R475" i="1"/>
  <c r="R476" i="1" a="1"/>
  <c r="R476" i="1"/>
  <c r="R477" i="1" a="1"/>
  <c r="R477" i="1" s="1"/>
  <c r="R478" i="1" a="1"/>
  <c r="R478" i="1" s="1"/>
  <c r="R479" i="1" a="1"/>
  <c r="R479" i="1"/>
  <c r="R480" i="1" a="1"/>
  <c r="R480" i="1"/>
  <c r="R481" i="1" a="1"/>
  <c r="R481" i="1"/>
  <c r="R482" i="1" a="1"/>
  <c r="R482" i="1"/>
  <c r="R483" i="1" a="1"/>
  <c r="R483" i="1" s="1"/>
  <c r="R484" i="1" a="1"/>
  <c r="R484" i="1"/>
  <c r="R485" i="1" a="1"/>
  <c r="R485" i="1" s="1"/>
  <c r="R486" i="1" a="1"/>
  <c r="R486" i="1" s="1"/>
  <c r="R487" i="1" a="1"/>
  <c r="R487" i="1" s="1"/>
  <c r="R488" i="1" a="1"/>
  <c r="R488" i="1"/>
  <c r="R489" i="1" a="1"/>
  <c r="R489" i="1" s="1"/>
  <c r="R490" i="1" a="1"/>
  <c r="R490" i="1" s="1"/>
  <c r="R491" i="1" a="1"/>
  <c r="R491" i="1"/>
  <c r="R492" i="1" a="1"/>
  <c r="R492" i="1"/>
  <c r="R493" i="1" a="1"/>
  <c r="R493" i="1"/>
  <c r="R494" i="1" a="1"/>
  <c r="R494" i="1"/>
  <c r="R495" i="1" a="1"/>
  <c r="R495" i="1" s="1"/>
  <c r="R496" i="1" a="1"/>
  <c r="R496" i="1" s="1"/>
  <c r="R497" i="1" a="1"/>
  <c r="R497" i="1"/>
  <c r="R498" i="1" a="1"/>
  <c r="R498" i="1" s="1"/>
  <c r="R499" i="1" a="1"/>
  <c r="R499" i="1" s="1"/>
  <c r="R500" i="1" a="1"/>
  <c r="R500" i="1" s="1"/>
  <c r="R501" i="1" a="1"/>
  <c r="R501" i="1" s="1"/>
  <c r="R502" i="1" a="1"/>
  <c r="R502" i="1"/>
  <c r="R503" i="1" a="1"/>
  <c r="R503" i="1" s="1"/>
  <c r="R504" i="1" a="1"/>
  <c r="R504" i="1" s="1"/>
  <c r="R505" i="1" a="1"/>
  <c r="R505" i="1"/>
  <c r="R506" i="1" a="1"/>
  <c r="R506" i="1"/>
  <c r="R507" i="1" a="1"/>
  <c r="R507" i="1" s="1"/>
  <c r="R508" i="1" a="1"/>
  <c r="R508" i="1"/>
  <c r="R509" i="1" a="1"/>
  <c r="R509" i="1"/>
  <c r="R510" i="1" a="1"/>
  <c r="R510" i="1"/>
  <c r="R511" i="1" a="1"/>
  <c r="R511" i="1" s="1"/>
  <c r="R512" i="1" a="1"/>
  <c r="R512" i="1" s="1"/>
  <c r="R513" i="1" a="1"/>
  <c r="R513" i="1" s="1"/>
  <c r="R514" i="1" a="1"/>
  <c r="R514" i="1"/>
  <c r="R515" i="1" a="1"/>
  <c r="R515" i="1" s="1"/>
  <c r="R516" i="1" a="1"/>
  <c r="R516" i="1"/>
  <c r="R517" i="1" a="1"/>
  <c r="R517" i="1" s="1"/>
  <c r="R518" i="1" a="1"/>
  <c r="R518" i="1" s="1"/>
  <c r="R519" i="1" a="1"/>
  <c r="R519" i="1" s="1"/>
  <c r="R520" i="1" a="1"/>
  <c r="R520" i="1"/>
  <c r="R521" i="1" a="1"/>
  <c r="R521" i="1"/>
  <c r="R522" i="1" a="1"/>
  <c r="R522" i="1"/>
  <c r="R523" i="1" a="1"/>
  <c r="R523" i="1" s="1"/>
  <c r="R524" i="1" a="1"/>
  <c r="R524" i="1" s="1"/>
  <c r="R525" i="1" a="1"/>
  <c r="R525" i="1" s="1"/>
  <c r="R526" i="1" a="1"/>
  <c r="R526" i="1"/>
  <c r="R527" i="1" a="1"/>
  <c r="R527" i="1" s="1"/>
  <c r="R528" i="1" a="1"/>
  <c r="R528" i="1"/>
  <c r="R529" i="1" a="1"/>
  <c r="R529" i="1" s="1"/>
  <c r="R530" i="1" a="1"/>
  <c r="R530" i="1" s="1"/>
  <c r="R531" i="1" a="1"/>
  <c r="R531" i="1" s="1"/>
  <c r="R532" i="1" a="1"/>
  <c r="R532" i="1"/>
  <c r="R533" i="1" a="1"/>
  <c r="R533" i="1"/>
  <c r="R534" i="1" a="1"/>
  <c r="R534" i="1"/>
  <c r="R535" i="1" a="1"/>
  <c r="R535" i="1" s="1"/>
  <c r="R536" i="1" a="1"/>
  <c r="R536" i="1" s="1"/>
  <c r="R537" i="1" a="1"/>
  <c r="R537" i="1" s="1"/>
  <c r="R538" i="1" a="1"/>
  <c r="R538" i="1"/>
  <c r="R539" i="1" a="1"/>
  <c r="R539" i="1" s="1"/>
  <c r="R540" i="1" a="1"/>
  <c r="R540" i="1"/>
  <c r="R541" i="1" a="1"/>
  <c r="R541" i="1" s="1"/>
  <c r="R542" i="1" a="1"/>
  <c r="R542" i="1" s="1"/>
  <c r="R543" i="1" a="1"/>
  <c r="R543" i="1" s="1"/>
  <c r="R544" i="1" a="1"/>
  <c r="R544" i="1"/>
  <c r="R545" i="1" a="1"/>
  <c r="R545" i="1"/>
  <c r="R546" i="1" a="1"/>
  <c r="R546" i="1"/>
  <c r="R547" i="1" a="1"/>
  <c r="R547" i="1" s="1"/>
  <c r="R548" i="1" a="1"/>
  <c r="R548" i="1" s="1"/>
  <c r="R549" i="1" a="1"/>
  <c r="R549" i="1" s="1"/>
  <c r="R550" i="1" a="1"/>
  <c r="R550" i="1"/>
  <c r="R551" i="1" a="1"/>
  <c r="R551" i="1" s="1"/>
  <c r="R552" i="1" a="1"/>
  <c r="R552" i="1"/>
  <c r="R553" i="1" a="1"/>
  <c r="R553" i="1" s="1"/>
  <c r="R554" i="1" a="1"/>
  <c r="R554" i="1" s="1"/>
  <c r="R555" i="1" a="1"/>
  <c r="R555" i="1" s="1"/>
  <c r="R556" i="1" a="1"/>
  <c r="R556" i="1"/>
  <c r="R557" i="1" a="1"/>
  <c r="R557" i="1"/>
  <c r="R558" i="1" a="1"/>
  <c r="R558" i="1"/>
  <c r="R559" i="1" a="1"/>
  <c r="R559" i="1" s="1"/>
  <c r="R560" i="1" a="1"/>
  <c r="R560" i="1" s="1"/>
  <c r="R561" i="1" a="1"/>
  <c r="R561" i="1" s="1"/>
  <c r="R562" i="1" a="1"/>
  <c r="R562" i="1"/>
  <c r="R563" i="1" a="1"/>
  <c r="R563" i="1" s="1"/>
  <c r="R564" i="1" a="1"/>
  <c r="R564" i="1"/>
  <c r="R565" i="1" a="1"/>
  <c r="R565" i="1" s="1"/>
  <c r="R566" i="1" a="1"/>
  <c r="R566" i="1" s="1"/>
  <c r="R567" i="1" a="1"/>
  <c r="R567" i="1" s="1"/>
  <c r="R568" i="1" a="1"/>
  <c r="R568" i="1"/>
  <c r="R569" i="1" a="1"/>
  <c r="R569" i="1"/>
  <c r="R570" i="1" a="1"/>
  <c r="R570" i="1"/>
  <c r="R571" i="1" a="1"/>
  <c r="R571" i="1" s="1"/>
  <c r="R572" i="1" a="1"/>
  <c r="R572" i="1" s="1"/>
  <c r="R573" i="1" a="1"/>
  <c r="R573" i="1" s="1"/>
  <c r="R574" i="1" a="1"/>
  <c r="R574" i="1"/>
  <c r="R575" i="1" a="1"/>
  <c r="R575" i="1" s="1"/>
  <c r="R576" i="1" a="1"/>
  <c r="R576" i="1"/>
  <c r="R577" i="1" a="1"/>
  <c r="R577" i="1" s="1"/>
  <c r="R578" i="1" a="1"/>
  <c r="R578" i="1" s="1"/>
  <c r="R579" i="1" a="1"/>
  <c r="R579" i="1" s="1"/>
  <c r="R580" i="1" a="1"/>
  <c r="R580" i="1"/>
  <c r="R581" i="1" a="1"/>
  <c r="R581" i="1"/>
  <c r="R582" i="1" a="1"/>
  <c r="R582" i="1"/>
  <c r="R583" i="1" a="1"/>
  <c r="R583" i="1" s="1"/>
  <c r="R584" i="1" a="1"/>
  <c r="R584" i="1" s="1"/>
  <c r="R585" i="1" a="1"/>
  <c r="R585" i="1" s="1"/>
  <c r="R586" i="1" a="1"/>
  <c r="R586" i="1"/>
  <c r="R587" i="1" a="1"/>
  <c r="R587" i="1" s="1"/>
  <c r="R588" i="1" a="1"/>
  <c r="R588" i="1"/>
  <c r="R589" i="1" a="1"/>
  <c r="R589" i="1" s="1"/>
  <c r="R590" i="1" a="1"/>
  <c r="R590" i="1" s="1"/>
  <c r="R591" i="1" a="1"/>
  <c r="R591" i="1" s="1"/>
  <c r="R592" i="1" a="1"/>
  <c r="R592" i="1" s="1"/>
  <c r="R593" i="1" a="1"/>
  <c r="R593" i="1"/>
  <c r="R594" i="1" a="1"/>
  <c r="R594" i="1"/>
  <c r="R595" i="1" a="1"/>
  <c r="R595" i="1" s="1"/>
  <c r="R596" i="1" a="1"/>
  <c r="R596" i="1" s="1"/>
  <c r="R597" i="1" a="1"/>
  <c r="R597" i="1" s="1"/>
  <c r="R598" i="1" a="1"/>
  <c r="R598" i="1" s="1"/>
  <c r="R599" i="1" a="1"/>
  <c r="R599" i="1" s="1"/>
  <c r="R600" i="1" a="1"/>
  <c r="R600" i="1"/>
  <c r="R601" i="1" a="1"/>
  <c r="R601" i="1" s="1"/>
  <c r="R602" i="1" a="1"/>
  <c r="R602" i="1" s="1"/>
  <c r="R603" i="1" a="1"/>
  <c r="R603" i="1" s="1"/>
  <c r="R604" i="1" a="1"/>
  <c r="R604" i="1" s="1"/>
  <c r="R605" i="1" a="1"/>
  <c r="R605" i="1"/>
  <c r="R606" i="1" a="1"/>
  <c r="R606" i="1"/>
  <c r="R607" i="1" a="1"/>
  <c r="R607" i="1" s="1"/>
  <c r="R608" i="1" a="1"/>
  <c r="R608" i="1" s="1"/>
  <c r="R609" i="1" a="1"/>
  <c r="R609" i="1" s="1"/>
  <c r="R610" i="1" a="1"/>
  <c r="R610" i="1"/>
  <c r="R611" i="1" a="1"/>
  <c r="R611" i="1" s="1"/>
  <c r="R612" i="1" a="1"/>
  <c r="R612" i="1"/>
  <c r="R613" i="1" a="1"/>
  <c r="R613" i="1" s="1"/>
  <c r="R614" i="1" a="1"/>
  <c r="R614" i="1" s="1"/>
  <c r="R615" i="1" a="1"/>
  <c r="R615" i="1" s="1"/>
  <c r="R616" i="1" a="1"/>
  <c r="R616" i="1" s="1"/>
  <c r="R617" i="1" a="1"/>
  <c r="R617" i="1"/>
  <c r="R618" i="1" a="1"/>
  <c r="R618" i="1"/>
  <c r="R619" i="1" a="1"/>
  <c r="R619" i="1" s="1"/>
  <c r="R620" i="1" a="1"/>
  <c r="R620" i="1" s="1"/>
  <c r="R621" i="1" a="1"/>
  <c r="R621" i="1" s="1"/>
  <c r="R622" i="1" a="1"/>
  <c r="R622" i="1" s="1"/>
  <c r="R623" i="1" a="1"/>
  <c r="R623" i="1" s="1"/>
  <c r="R624" i="1" a="1"/>
  <c r="R624" i="1"/>
  <c r="R625" i="1" a="1"/>
  <c r="R625" i="1" s="1"/>
  <c r="R626" i="1" a="1"/>
  <c r="R626" i="1" s="1"/>
  <c r="R627" i="1" a="1"/>
  <c r="R627" i="1" s="1"/>
  <c r="R628" i="1" a="1"/>
  <c r="R628" i="1" s="1"/>
  <c r="R629" i="1" a="1"/>
  <c r="R629" i="1"/>
  <c r="R630" i="1" a="1"/>
  <c r="R630" i="1"/>
  <c r="R631" i="1" a="1"/>
  <c r="R631" i="1" s="1"/>
  <c r="R632" i="1" a="1"/>
  <c r="R632" i="1" s="1"/>
  <c r="R633" i="1" a="1"/>
  <c r="R633" i="1" s="1"/>
  <c r="R634" i="1" a="1"/>
  <c r="R634" i="1"/>
  <c r="R635" i="1" a="1"/>
  <c r="R635" i="1" s="1"/>
  <c r="R636" i="1" a="1"/>
  <c r="R636" i="1"/>
  <c r="R637" i="1" a="1"/>
  <c r="R637" i="1" s="1"/>
  <c r="R638" i="1" a="1"/>
  <c r="R638" i="1" s="1"/>
  <c r="R639" i="1" a="1"/>
  <c r="R639" i="1" s="1"/>
  <c r="R640" i="1" a="1"/>
  <c r="R640" i="1" s="1"/>
  <c r="R641" i="1" a="1"/>
  <c r="R641" i="1"/>
  <c r="R642" i="1" a="1"/>
  <c r="R642" i="1"/>
  <c r="R643" i="1" a="1"/>
  <c r="R643" i="1" s="1"/>
  <c r="R644" i="1" a="1"/>
  <c r="R644" i="1" s="1"/>
  <c r="R645" i="1" a="1"/>
  <c r="R645" i="1" s="1"/>
  <c r="R646" i="1" a="1"/>
  <c r="R646" i="1" s="1"/>
  <c r="R647" i="1" a="1"/>
  <c r="R647" i="1" s="1"/>
  <c r="R648" i="1" a="1"/>
  <c r="R648" i="1"/>
  <c r="R649" i="1" a="1"/>
  <c r="R649" i="1" s="1"/>
  <c r="R650" i="1" a="1"/>
  <c r="R650" i="1" s="1"/>
  <c r="R651" i="1" a="1"/>
  <c r="R651" i="1" s="1"/>
  <c r="R652" i="1" a="1"/>
  <c r="R652" i="1" s="1"/>
  <c r="R653" i="1" a="1"/>
  <c r="R653" i="1"/>
  <c r="R654" i="1" a="1"/>
  <c r="R654" i="1"/>
  <c r="R655" i="1" a="1"/>
  <c r="R655" i="1" s="1"/>
  <c r="R656" i="1" a="1"/>
  <c r="R656" i="1" s="1"/>
  <c r="R657" i="1" a="1"/>
  <c r="R657" i="1" s="1"/>
  <c r="R658" i="1" a="1"/>
  <c r="R658" i="1"/>
  <c r="R659" i="1" a="1"/>
  <c r="R659" i="1" s="1"/>
  <c r="R660" i="1" a="1"/>
  <c r="R660" i="1"/>
  <c r="R661" i="1" a="1"/>
  <c r="R661" i="1" s="1"/>
  <c r="R662" i="1" a="1"/>
  <c r="R662" i="1" s="1"/>
  <c r="R663" i="1" a="1"/>
  <c r="R663" i="1" s="1"/>
  <c r="R664" i="1" a="1"/>
  <c r="R664" i="1" s="1"/>
  <c r="R665" i="1" a="1"/>
  <c r="R665" i="1"/>
  <c r="R666" i="1" a="1"/>
  <c r="R666" i="1"/>
  <c r="R667" i="1" a="1"/>
  <c r="R667" i="1" s="1"/>
  <c r="R668" i="1" a="1"/>
  <c r="R668" i="1" s="1"/>
  <c r="R669" i="1" a="1"/>
  <c r="R669" i="1" s="1"/>
  <c r="R670" i="1" a="1"/>
  <c r="R670" i="1" s="1"/>
  <c r="R671" i="1" a="1"/>
  <c r="R671" i="1" s="1"/>
  <c r="R672" i="1" a="1"/>
  <c r="R672" i="1"/>
  <c r="R673" i="1" a="1"/>
  <c r="R673" i="1" s="1"/>
  <c r="R674" i="1" a="1"/>
  <c r="R674" i="1" s="1"/>
  <c r="R675" i="1" a="1"/>
  <c r="R675" i="1" s="1"/>
  <c r="R676" i="1" a="1"/>
  <c r="R676" i="1" s="1"/>
  <c r="R677" i="1" a="1"/>
  <c r="R677" i="1"/>
  <c r="R678" i="1" a="1"/>
  <c r="R678" i="1"/>
  <c r="R679" i="1" a="1"/>
  <c r="R679" i="1" s="1"/>
  <c r="R680" i="1" a="1"/>
  <c r="R680" i="1" s="1"/>
  <c r="R681" i="1" a="1"/>
  <c r="R681" i="1" s="1"/>
  <c r="R682" i="1" a="1"/>
  <c r="R682" i="1"/>
  <c r="R683" i="1" a="1"/>
  <c r="R683" i="1"/>
  <c r="R684" i="1" a="1"/>
  <c r="R684" i="1"/>
  <c r="R685" i="1" a="1"/>
  <c r="R685" i="1" s="1"/>
  <c r="R686" i="1" a="1"/>
  <c r="R686" i="1" s="1"/>
  <c r="R687" i="1" a="1"/>
  <c r="R687" i="1" s="1"/>
  <c r="R688" i="1" a="1"/>
  <c r="R688" i="1" s="1"/>
  <c r="R689" i="1" a="1"/>
  <c r="R689" i="1"/>
  <c r="R690" i="1" a="1"/>
  <c r="R690" i="1"/>
  <c r="R691" i="1" a="1"/>
  <c r="R691" i="1" s="1"/>
  <c r="R692" i="1" a="1"/>
  <c r="R692" i="1" s="1"/>
  <c r="R693" i="1" a="1"/>
  <c r="R693" i="1" s="1"/>
  <c r="R694" i="1" a="1"/>
  <c r="R694" i="1" s="1"/>
  <c r="R695" i="1" a="1"/>
  <c r="R695" i="1" s="1"/>
  <c r="R696" i="1" a="1"/>
  <c r="R696" i="1"/>
  <c r="R697" i="1" a="1"/>
  <c r="R697" i="1" s="1"/>
  <c r="R698" i="1" a="1"/>
  <c r="R698" i="1" s="1"/>
  <c r="R699" i="1" a="1"/>
  <c r="R699" i="1" s="1"/>
  <c r="R700" i="1" a="1"/>
  <c r="R700" i="1" s="1"/>
  <c r="R701" i="1" a="1"/>
  <c r="R701" i="1"/>
  <c r="R702" i="1" a="1"/>
  <c r="R702" i="1"/>
  <c r="R703" i="1" a="1"/>
  <c r="R703" i="1" s="1"/>
  <c r="R704" i="1" a="1"/>
  <c r="R704" i="1" s="1"/>
  <c r="R705" i="1" a="1"/>
  <c r="R705" i="1" s="1"/>
  <c r="R706" i="1" a="1"/>
  <c r="R706" i="1"/>
  <c r="R707" i="1" a="1"/>
  <c r="R707" i="1"/>
  <c r="R708" i="1" a="1"/>
  <c r="R708" i="1"/>
  <c r="R709" i="1" a="1"/>
  <c r="R709" i="1" s="1"/>
  <c r="R710" i="1" a="1"/>
  <c r="R710" i="1" s="1"/>
  <c r="R711" i="1" a="1"/>
  <c r="R711" i="1" s="1"/>
  <c r="R712" i="1" a="1"/>
  <c r="R712" i="1" s="1"/>
  <c r="R713" i="1" a="1"/>
  <c r="R713" i="1"/>
  <c r="R714" i="1" a="1"/>
  <c r="R714" i="1"/>
  <c r="R715" i="1" a="1"/>
  <c r="R715" i="1" s="1"/>
  <c r="R716" i="1" a="1"/>
  <c r="R716" i="1" s="1"/>
  <c r="R717" i="1" a="1"/>
  <c r="R717" i="1" s="1"/>
  <c r="R718" i="1" a="1"/>
  <c r="R718" i="1" s="1"/>
  <c r="R719" i="1" a="1"/>
  <c r="R719" i="1" s="1"/>
  <c r="R720" i="1" a="1"/>
  <c r="R720" i="1"/>
  <c r="R721" i="1" a="1"/>
  <c r="R721" i="1" s="1"/>
  <c r="R722" i="1" a="1"/>
  <c r="R722" i="1" s="1"/>
  <c r="R723" i="1" a="1"/>
  <c r="R723" i="1" s="1"/>
  <c r="R724" i="1" a="1"/>
  <c r="R724" i="1" s="1"/>
  <c r="R725" i="1" a="1"/>
  <c r="R725" i="1"/>
  <c r="R726" i="1" a="1"/>
  <c r="R726" i="1"/>
  <c r="R727" i="1" a="1"/>
  <c r="R727" i="1" s="1"/>
  <c r="R728" i="1" a="1"/>
  <c r="R728" i="1" s="1"/>
  <c r="R729" i="1" a="1"/>
  <c r="R729" i="1" s="1"/>
  <c r="R730" i="1" a="1"/>
  <c r="R730" i="1"/>
  <c r="R731" i="1" a="1"/>
  <c r="R731" i="1"/>
  <c r="R732" i="1" a="1"/>
  <c r="R732" i="1"/>
  <c r="R733" i="1" a="1"/>
  <c r="R733" i="1" s="1"/>
  <c r="R734" i="1" a="1"/>
  <c r="R734" i="1" s="1"/>
  <c r="R735" i="1" a="1"/>
  <c r="R735" i="1" s="1"/>
  <c r="R736" i="1" a="1"/>
  <c r="R736" i="1" s="1"/>
  <c r="R737" i="1" a="1"/>
  <c r="R737" i="1"/>
  <c r="R738" i="1" a="1"/>
  <c r="R738" i="1"/>
  <c r="R739" i="1" a="1"/>
  <c r="R739" i="1" s="1"/>
  <c r="R740" i="1" a="1"/>
  <c r="R740" i="1" s="1"/>
  <c r="R741" i="1" a="1"/>
  <c r="R741" i="1" s="1"/>
  <c r="R742" i="1" a="1"/>
  <c r="R742" i="1" s="1"/>
  <c r="R743" i="1" a="1"/>
  <c r="R743" i="1" s="1"/>
  <c r="R744" i="1" a="1"/>
  <c r="R744" i="1"/>
  <c r="R745" i="1" a="1"/>
  <c r="R745" i="1" s="1"/>
  <c r="R746" i="1" a="1"/>
  <c r="R746" i="1" s="1"/>
  <c r="R747" i="1" a="1"/>
  <c r="R747" i="1" s="1"/>
  <c r="R748" i="1" a="1"/>
  <c r="R748" i="1" s="1"/>
  <c r="R749" i="1" a="1"/>
  <c r="R749" i="1"/>
  <c r="R750" i="1" a="1"/>
  <c r="R750" i="1"/>
  <c r="R751" i="1" a="1"/>
  <c r="R751" i="1" s="1"/>
  <c r="R752" i="1" a="1"/>
  <c r="R752" i="1" s="1"/>
  <c r="R753" i="1" a="1"/>
  <c r="R753" i="1" s="1"/>
  <c r="R754" i="1" a="1"/>
  <c r="R754" i="1"/>
  <c r="R755" i="1" a="1"/>
  <c r="R755" i="1" s="1"/>
  <c r="R756" i="1" a="1"/>
  <c r="R756" i="1"/>
  <c r="R757" i="1" a="1"/>
  <c r="R757" i="1" s="1"/>
  <c r="R758" i="1" a="1"/>
  <c r="R758" i="1" s="1"/>
  <c r="R759" i="1" a="1"/>
  <c r="R759" i="1" s="1"/>
  <c r="R760" i="1" a="1"/>
  <c r="R760" i="1" s="1"/>
  <c r="R761" i="1" a="1"/>
  <c r="R761" i="1"/>
  <c r="R762" i="1" a="1"/>
  <c r="R762" i="1"/>
  <c r="R763" i="1" a="1"/>
  <c r="R763" i="1" s="1"/>
  <c r="R764" i="1" a="1"/>
  <c r="R764" i="1" s="1"/>
  <c r="R765" i="1" a="1"/>
  <c r="R765" i="1" s="1"/>
  <c r="R766" i="1" a="1"/>
  <c r="R766" i="1" s="1"/>
  <c r="R767" i="1" a="1"/>
  <c r="R767" i="1" s="1"/>
  <c r="R768" i="1" a="1"/>
  <c r="R768" i="1"/>
  <c r="R769" i="1" a="1"/>
  <c r="R769" i="1" s="1"/>
  <c r="R770" i="1" a="1"/>
  <c r="R770" i="1" s="1"/>
  <c r="R771" i="1" a="1"/>
  <c r="R771" i="1" s="1"/>
  <c r="R772" i="1" a="1"/>
  <c r="R772" i="1" s="1"/>
  <c r="R773" i="1" a="1"/>
  <c r="R773" i="1"/>
  <c r="R774" i="1" a="1"/>
  <c r="R774" i="1"/>
  <c r="R775" i="1" a="1"/>
  <c r="R775" i="1" s="1"/>
  <c r="R776" i="1" a="1"/>
  <c r="R776" i="1" s="1"/>
  <c r="R777" i="1" a="1"/>
  <c r="R777" i="1" s="1"/>
  <c r="R778" i="1" a="1"/>
  <c r="R778" i="1"/>
  <c r="R779" i="1" a="1"/>
  <c r="R779" i="1"/>
  <c r="R780" i="1" a="1"/>
  <c r="R780" i="1"/>
  <c r="R781" i="1" a="1"/>
  <c r="R781" i="1" s="1"/>
  <c r="R782" i="1" a="1"/>
  <c r="R782" i="1" s="1"/>
  <c r="R783" i="1" a="1"/>
  <c r="R783" i="1" s="1"/>
  <c r="R784" i="1" a="1"/>
  <c r="R784" i="1" s="1"/>
  <c r="R785" i="1" a="1"/>
  <c r="R785" i="1"/>
  <c r="R786" i="1" a="1"/>
  <c r="R786" i="1"/>
  <c r="R787" i="1" a="1"/>
  <c r="R787" i="1" s="1"/>
  <c r="R788" i="1" a="1"/>
  <c r="R788" i="1" s="1"/>
  <c r="R789" i="1" a="1"/>
  <c r="R789" i="1" s="1"/>
  <c r="R790" i="1" a="1"/>
  <c r="R790" i="1" s="1"/>
  <c r="R791" i="1" a="1"/>
  <c r="R791" i="1" s="1"/>
  <c r="R792" i="1" a="1"/>
  <c r="R792" i="1"/>
  <c r="R793" i="1" a="1"/>
  <c r="R793" i="1" s="1"/>
  <c r="R794" i="1" a="1"/>
  <c r="R794" i="1" s="1"/>
  <c r="R795" i="1" a="1"/>
  <c r="R795" i="1" s="1"/>
  <c r="R796" i="1" a="1"/>
  <c r="R796" i="1" s="1"/>
  <c r="R797" i="1" a="1"/>
  <c r="R797" i="1"/>
  <c r="R798" i="1" a="1"/>
  <c r="R798" i="1"/>
  <c r="R799" i="1" a="1"/>
  <c r="R799" i="1" s="1"/>
  <c r="R800" i="1" a="1"/>
  <c r="R800" i="1" s="1"/>
  <c r="R801" i="1" a="1"/>
  <c r="R801" i="1" s="1"/>
  <c r="R802" i="1" a="1"/>
  <c r="R802" i="1"/>
  <c r="R803" i="1" a="1"/>
  <c r="R803" i="1"/>
  <c r="R804" i="1" a="1"/>
  <c r="R804" i="1"/>
  <c r="R805" i="1" a="1"/>
  <c r="R805" i="1" s="1"/>
  <c r="R806" i="1" a="1"/>
  <c r="R806" i="1" s="1"/>
  <c r="R807" i="1" a="1"/>
  <c r="R807" i="1" s="1"/>
  <c r="R808" i="1" a="1"/>
  <c r="R808" i="1" s="1"/>
  <c r="R809" i="1" a="1"/>
  <c r="R809" i="1"/>
  <c r="R810" i="1" a="1"/>
  <c r="R810" i="1"/>
  <c r="R811" i="1" a="1"/>
  <c r="R811" i="1" s="1"/>
  <c r="R812" i="1" a="1"/>
  <c r="R812" i="1"/>
  <c r="R813" i="1" a="1"/>
  <c r="R813" i="1" s="1"/>
  <c r="R814" i="1" a="1"/>
  <c r="R814" i="1" s="1"/>
  <c r="R815" i="1" a="1"/>
  <c r="R815" i="1"/>
  <c r="R816" i="1" a="1"/>
  <c r="R816" i="1"/>
  <c r="R817" i="1" a="1"/>
  <c r="R817" i="1"/>
  <c r="R818" i="1" a="1"/>
  <c r="R818" i="1"/>
  <c r="R819" i="1" a="1"/>
  <c r="R819" i="1" s="1"/>
  <c r="R820" i="1" a="1"/>
  <c r="R820" i="1" s="1"/>
  <c r="R821" i="1" a="1"/>
  <c r="R821" i="1"/>
  <c r="R822" i="1" a="1"/>
  <c r="R822" i="1"/>
  <c r="R823" i="1" a="1"/>
  <c r="R823" i="1"/>
  <c r="R824" i="1" a="1"/>
  <c r="R824" i="1"/>
  <c r="R825" i="1" a="1"/>
  <c r="R825" i="1" s="1"/>
  <c r="R826" i="1" a="1"/>
  <c r="R826" i="1" s="1"/>
  <c r="R827" i="1" a="1"/>
  <c r="R827" i="1"/>
  <c r="R828" i="1" a="1"/>
  <c r="R828" i="1"/>
  <c r="R829" i="1" a="1"/>
  <c r="R829" i="1"/>
  <c r="R830" i="1" a="1"/>
  <c r="R830" i="1"/>
  <c r="R831" i="1" a="1"/>
  <c r="R831" i="1" s="1"/>
  <c r="R832" i="1" a="1"/>
  <c r="R832" i="1" s="1"/>
  <c r="R833" i="1" a="1"/>
  <c r="R833" i="1"/>
  <c r="R834" i="1" a="1"/>
  <c r="R834" i="1"/>
  <c r="R835" i="1" a="1"/>
  <c r="R835" i="1"/>
  <c r="R836" i="1" a="1"/>
  <c r="R836" i="1"/>
  <c r="R837" i="1" a="1"/>
  <c r="R837" i="1" s="1"/>
  <c r="R838" i="1" a="1"/>
  <c r="R838" i="1" s="1"/>
  <c r="R839" i="1" a="1"/>
  <c r="R839" i="1"/>
  <c r="R840" i="1" a="1"/>
  <c r="R840" i="1"/>
  <c r="R841" i="1" a="1"/>
  <c r="R841" i="1"/>
  <c r="R842" i="1" a="1"/>
  <c r="R842" i="1"/>
  <c r="R843" i="1" a="1"/>
  <c r="R843" i="1" s="1"/>
  <c r="R844" i="1" a="1"/>
  <c r="R844" i="1" s="1"/>
  <c r="R845" i="1" a="1"/>
  <c r="R845" i="1"/>
  <c r="R846" i="1" a="1"/>
  <c r="R846" i="1"/>
  <c r="R847" i="1" a="1"/>
  <c r="R847" i="1"/>
  <c r="R848" i="1" a="1"/>
  <c r="R848" i="1"/>
  <c r="R849" i="1" a="1"/>
  <c r="R849" i="1" s="1"/>
  <c r="R850" i="1" a="1"/>
  <c r="R850" i="1" s="1"/>
  <c r="R851" i="1" a="1"/>
  <c r="R851" i="1"/>
  <c r="R852" i="1" a="1"/>
  <c r="R852" i="1"/>
  <c r="R853" i="1" a="1"/>
  <c r="R853" i="1"/>
  <c r="R854" i="1" a="1"/>
  <c r="R854" i="1"/>
  <c r="R855" i="1" a="1"/>
  <c r="R855" i="1" s="1"/>
  <c r="R856" i="1" a="1"/>
  <c r="R856" i="1" s="1"/>
  <c r="R857" i="1" a="1"/>
  <c r="R857" i="1"/>
  <c r="R858" i="1" a="1"/>
  <c r="R858" i="1"/>
  <c r="R859" i="1" a="1"/>
  <c r="R859" i="1"/>
  <c r="R860" i="1" a="1"/>
  <c r="R860" i="1" s="1"/>
  <c r="R861" i="1" a="1"/>
  <c r="R861" i="1" s="1"/>
  <c r="R862" i="1" a="1"/>
  <c r="R862" i="1" s="1"/>
  <c r="R863" i="1" a="1"/>
  <c r="R863" i="1"/>
  <c r="R864" i="1" a="1"/>
  <c r="R864" i="1"/>
  <c r="R865" i="1" a="1"/>
  <c r="R865" i="1"/>
  <c r="R866" i="1" a="1"/>
  <c r="R866" i="1" s="1"/>
  <c r="R867" i="1" a="1"/>
  <c r="R867" i="1" s="1"/>
  <c r="R868" i="1" a="1"/>
  <c r="R868" i="1" s="1"/>
  <c r="R869" i="1" a="1"/>
  <c r="R869" i="1"/>
  <c r="R870" i="1" a="1"/>
  <c r="R870" i="1"/>
  <c r="R871" i="1" a="1"/>
  <c r="R871" i="1"/>
  <c r="R872" i="1" a="1"/>
  <c r="R872" i="1" s="1"/>
  <c r="R873" i="1" a="1"/>
  <c r="R873" i="1" s="1"/>
  <c r="R874" i="1" a="1"/>
  <c r="R874" i="1" s="1"/>
  <c r="R875" i="1" a="1"/>
  <c r="R875" i="1"/>
  <c r="R876" i="1" a="1"/>
  <c r="R876" i="1"/>
  <c r="R877" i="1" a="1"/>
  <c r="R877" i="1"/>
  <c r="R878" i="1" a="1"/>
  <c r="R878" i="1" s="1"/>
  <c r="R879" i="1" a="1"/>
  <c r="R879" i="1" s="1"/>
  <c r="R880" i="1" a="1"/>
  <c r="R880" i="1" s="1"/>
  <c r="R881" i="1" a="1"/>
  <c r="R881" i="1"/>
  <c r="R882" i="1" a="1"/>
  <c r="R882" i="1"/>
  <c r="R883" i="1" a="1"/>
  <c r="R883" i="1"/>
  <c r="R884" i="1" a="1"/>
  <c r="R884" i="1" s="1"/>
  <c r="R885" i="1" a="1"/>
  <c r="R885" i="1" s="1"/>
  <c r="R886" i="1" a="1"/>
  <c r="R886" i="1" s="1"/>
  <c r="R887" i="1" a="1"/>
  <c r="R887" i="1"/>
  <c r="R888" i="1" a="1"/>
  <c r="R888" i="1"/>
  <c r="R889" i="1" a="1"/>
  <c r="R889" i="1"/>
  <c r="R890" i="1" a="1"/>
  <c r="R890" i="1" s="1"/>
  <c r="R891" i="1" a="1"/>
  <c r="R891" i="1" s="1"/>
  <c r="R892" i="1" a="1"/>
  <c r="R892" i="1" s="1"/>
  <c r="R893" i="1" a="1"/>
  <c r="R893" i="1"/>
  <c r="R894" i="1" a="1"/>
  <c r="R894" i="1"/>
  <c r="R895" i="1" a="1"/>
  <c r="R895" i="1"/>
  <c r="R896" i="1" a="1"/>
  <c r="R896" i="1" s="1"/>
  <c r="R897" i="1" a="1"/>
  <c r="R897" i="1" s="1"/>
  <c r="R898" i="1" a="1"/>
  <c r="R898" i="1" s="1"/>
  <c r="R899" i="1" a="1"/>
  <c r="R899" i="1"/>
  <c r="R900" i="1" a="1"/>
  <c r="R900" i="1"/>
  <c r="R901" i="1" a="1"/>
  <c r="R901" i="1"/>
  <c r="R902" i="1" a="1"/>
  <c r="R902" i="1" s="1"/>
  <c r="R903" i="1" a="1"/>
  <c r="R903" i="1" s="1"/>
  <c r="R904" i="1" a="1"/>
  <c r="R904" i="1" s="1"/>
  <c r="R905" i="1" a="1"/>
  <c r="R905" i="1"/>
  <c r="R906" i="1" a="1"/>
  <c r="R906" i="1"/>
  <c r="R907" i="1" a="1"/>
  <c r="R907" i="1"/>
  <c r="R908" i="1" a="1"/>
  <c r="R908" i="1" s="1"/>
  <c r="R909" i="1" a="1"/>
  <c r="R909" i="1" s="1"/>
  <c r="R910" i="1" a="1"/>
  <c r="R910" i="1" s="1"/>
  <c r="R911" i="1" a="1"/>
  <c r="R911" i="1"/>
  <c r="R912" i="1" a="1"/>
  <c r="R912" i="1"/>
  <c r="R913" i="1" a="1"/>
  <c r="R913" i="1"/>
  <c r="R914" i="1" a="1"/>
  <c r="R914" i="1" s="1"/>
  <c r="R915" i="1" a="1"/>
  <c r="R915" i="1" s="1"/>
  <c r="R916" i="1" a="1"/>
  <c r="R916" i="1" s="1"/>
  <c r="R917" i="1" a="1"/>
  <c r="R917" i="1"/>
  <c r="R918" i="1" a="1"/>
  <c r="R918" i="1"/>
  <c r="R919" i="1" a="1"/>
  <c r="R919" i="1"/>
  <c r="R920" i="1" a="1"/>
  <c r="R920" i="1" s="1"/>
  <c r="R921" i="1" a="1"/>
  <c r="R921" i="1" s="1"/>
  <c r="R922" i="1" a="1"/>
  <c r="R922" i="1" s="1"/>
  <c r="R923" i="1" a="1"/>
  <c r="R923" i="1"/>
  <c r="R924" i="1" a="1"/>
  <c r="R924" i="1"/>
  <c r="R925" i="1" a="1"/>
  <c r="R925" i="1"/>
  <c r="R926" i="1" a="1"/>
  <c r="R926" i="1" s="1"/>
  <c r="R927" i="1" a="1"/>
  <c r="R927" i="1" s="1"/>
  <c r="R928" i="1" a="1"/>
  <c r="R928" i="1" s="1"/>
  <c r="R929" i="1" a="1"/>
  <c r="R929" i="1"/>
  <c r="R930" i="1" a="1"/>
  <c r="R930" i="1"/>
  <c r="R931" i="1" a="1"/>
  <c r="R931" i="1"/>
  <c r="R932" i="1" a="1"/>
  <c r="R932" i="1" s="1"/>
  <c r="R933" i="1" a="1"/>
  <c r="R933" i="1" s="1"/>
  <c r="R934" i="1" a="1"/>
  <c r="R934" i="1" s="1"/>
  <c r="R935" i="1" a="1"/>
  <c r="R935" i="1"/>
  <c r="R936" i="1" a="1"/>
  <c r="R936" i="1"/>
  <c r="R937" i="1" a="1"/>
  <c r="R937" i="1"/>
  <c r="R938" i="1" a="1"/>
  <c r="R938" i="1" s="1"/>
  <c r="R939" i="1" a="1"/>
  <c r="R939" i="1" s="1"/>
  <c r="R940" i="1" a="1"/>
  <c r="R940" i="1" s="1"/>
  <c r="R941" i="1" a="1"/>
  <c r="R941" i="1"/>
  <c r="R942" i="1" a="1"/>
  <c r="R942" i="1"/>
  <c r="R943" i="1" a="1"/>
  <c r="R943" i="1"/>
  <c r="R944" i="1" a="1"/>
  <c r="R944" i="1" s="1"/>
  <c r="R945" i="1" a="1"/>
  <c r="R945" i="1" s="1"/>
  <c r="R946" i="1" a="1"/>
  <c r="R946" i="1" s="1"/>
  <c r="R947" i="1" a="1"/>
  <c r="R947" i="1"/>
  <c r="R948" i="1" a="1"/>
  <c r="R948" i="1"/>
  <c r="R949" i="1" a="1"/>
  <c r="R949" i="1"/>
  <c r="R950" i="1" a="1"/>
  <c r="R950" i="1" s="1"/>
  <c r="R951" i="1" a="1"/>
  <c r="R951" i="1" s="1"/>
  <c r="R952" i="1" a="1"/>
  <c r="R952" i="1" s="1"/>
  <c r="R953" i="1" a="1"/>
  <c r="R953" i="1"/>
  <c r="R954" i="1" a="1"/>
  <c r="R954" i="1"/>
  <c r="R955" i="1" a="1"/>
  <c r="R955" i="1"/>
  <c r="R956" i="1" a="1"/>
  <c r="R956" i="1" s="1"/>
  <c r="R957" i="1" a="1"/>
  <c r="R957" i="1" s="1"/>
  <c r="R958" i="1" a="1"/>
  <c r="R958" i="1" s="1"/>
  <c r="R959" i="1" a="1"/>
  <c r="R959" i="1"/>
  <c r="R960" i="1" a="1"/>
  <c r="R960" i="1"/>
  <c r="R961" i="1" a="1"/>
  <c r="R961" i="1"/>
  <c r="R962" i="1" a="1"/>
  <c r="R962" i="1" s="1"/>
  <c r="R963" i="1" a="1"/>
  <c r="R963" i="1" s="1"/>
  <c r="R964" i="1" a="1"/>
  <c r="R964" i="1" s="1"/>
  <c r="R965" i="1" a="1"/>
  <c r="R965" i="1"/>
  <c r="R966" i="1" a="1"/>
  <c r="R966" i="1"/>
  <c r="R967" i="1" a="1"/>
  <c r="R967" i="1"/>
  <c r="R968" i="1" a="1"/>
  <c r="R968" i="1" s="1"/>
  <c r="R969" i="1" a="1"/>
  <c r="R969" i="1" s="1"/>
  <c r="R970" i="1" a="1"/>
  <c r="R970" i="1" s="1"/>
  <c r="R971" i="1" a="1"/>
  <c r="R971" i="1"/>
  <c r="R972" i="1" a="1"/>
  <c r="R972" i="1"/>
  <c r="R973" i="1" a="1"/>
  <c r="R973" i="1"/>
  <c r="R974" i="1" a="1"/>
  <c r="R974" i="1" s="1"/>
  <c r="R975" i="1" a="1"/>
  <c r="R975" i="1" s="1"/>
  <c r="R976" i="1" a="1"/>
  <c r="R976" i="1" s="1"/>
  <c r="R977" i="1" a="1"/>
  <c r="R977" i="1"/>
  <c r="R978" i="1" a="1"/>
  <c r="R978" i="1"/>
  <c r="R979" i="1" a="1"/>
  <c r="R979" i="1"/>
  <c r="R980" i="1" a="1"/>
  <c r="R980" i="1" s="1"/>
  <c r="R981" i="1" a="1"/>
  <c r="R981" i="1" s="1"/>
  <c r="R982" i="1" a="1"/>
  <c r="R982" i="1" s="1"/>
  <c r="R983" i="1" a="1"/>
  <c r="R983" i="1"/>
  <c r="R984" i="1" a="1"/>
  <c r="R984" i="1"/>
  <c r="R985" i="1" a="1"/>
  <c r="R985" i="1"/>
  <c r="R986" i="1" a="1"/>
  <c r="R986" i="1" s="1"/>
  <c r="R987" i="1" a="1"/>
  <c r="R987" i="1" s="1"/>
  <c r="R988" i="1" a="1"/>
  <c r="R988" i="1" s="1"/>
  <c r="R989" i="1" a="1"/>
  <c r="R989" i="1"/>
  <c r="R990" i="1" a="1"/>
  <c r="R990" i="1"/>
  <c r="R991" i="1" a="1"/>
  <c r="R991" i="1"/>
  <c r="R992" i="1" a="1"/>
  <c r="R992" i="1" s="1"/>
  <c r="R993" i="1" a="1"/>
  <c r="R993" i="1" s="1"/>
  <c r="R994" i="1" a="1"/>
  <c r="R994" i="1" s="1"/>
  <c r="R995" i="1" a="1"/>
  <c r="R995" i="1"/>
  <c r="R996" i="1" a="1"/>
  <c r="R996" i="1"/>
  <c r="R997" i="1" a="1"/>
  <c r="R997" i="1"/>
  <c r="R998" i="1" a="1"/>
  <c r="R998" i="1" s="1"/>
  <c r="R999" i="1" a="1"/>
  <c r="R999" i="1" s="1"/>
  <c r="R1000" i="1" a="1"/>
  <c r="R1000" i="1" s="1"/>
  <c r="R1001" i="1" a="1"/>
  <c r="R1001" i="1"/>
  <c r="R2" i="1" a="1"/>
  <c r="R2" i="1" s="1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<sst xmlns="http://schemas.openxmlformats.org/spreadsheetml/2006/main" count="13092" uniqueCount="285">
  <si>
    <t>Invoice ID</t>
  </si>
  <si>
    <t>East</t>
  </si>
  <si>
    <t>south</t>
  </si>
  <si>
    <t>West</t>
  </si>
  <si>
    <t>southout</t>
  </si>
  <si>
    <t>State</t>
  </si>
  <si>
    <t>NY</t>
  </si>
  <si>
    <t>TX</t>
  </si>
  <si>
    <t>CA</t>
  </si>
  <si>
    <t>Branch</t>
  </si>
  <si>
    <t>Gender</t>
  </si>
  <si>
    <t>Female</t>
  </si>
  <si>
    <t>Male</t>
  </si>
  <si>
    <t>loyalty member</t>
  </si>
  <si>
    <t>Member</t>
  </si>
  <si>
    <t>Normal</t>
  </si>
  <si>
    <t>Product line</t>
  </si>
  <si>
    <t>Health and beauty</t>
  </si>
  <si>
    <t>Electronic accessories</t>
  </si>
  <si>
    <t>Home and lifestyle</t>
  </si>
  <si>
    <t>Sports and travel</t>
  </si>
  <si>
    <t>Food and beverages</t>
  </si>
  <si>
    <t>Fashion accessories</t>
  </si>
  <si>
    <t>Unit price</t>
  </si>
  <si>
    <t>Quantity</t>
  </si>
  <si>
    <t>Tax 5%</t>
  </si>
  <si>
    <t>Total</t>
  </si>
  <si>
    <t>Date</t>
  </si>
  <si>
    <t>Time</t>
  </si>
  <si>
    <t>05:58:PM</t>
  </si>
  <si>
    <t>11:41:PM</t>
  </si>
  <si>
    <t>05:43:AM</t>
  </si>
  <si>
    <t>04:48:PM</t>
  </si>
  <si>
    <t>11:47:AM</t>
  </si>
  <si>
    <t>06:11:AM</t>
  </si>
  <si>
    <t>05:08:AM</t>
  </si>
  <si>
    <t>04:27:PM</t>
  </si>
  <si>
    <t>04:13:PM</t>
  </si>
  <si>
    <t>12:43:PM</t>
  </si>
  <si>
    <t>08:53:PM</t>
  </si>
  <si>
    <t>10:17:PM</t>
  </si>
  <si>
    <t>02:20:AM</t>
  </si>
  <si>
    <t>05:15:AM</t>
  </si>
  <si>
    <t>03:37:AM</t>
  </si>
  <si>
    <t>07:43:PM</t>
  </si>
  <si>
    <t>05:51:PM</t>
  </si>
  <si>
    <t>09:20:AM</t>
  </si>
  <si>
    <t>06:18:AM</t>
  </si>
  <si>
    <t>08:32:PM</t>
  </si>
  <si>
    <t>02:49:PM</t>
  </si>
  <si>
    <t>06:54:PM</t>
  </si>
  <si>
    <t>07:49:AM</t>
  </si>
  <si>
    <t>07:21:AM</t>
  </si>
  <si>
    <t>06:40:PM</t>
  </si>
  <si>
    <t>10:58:AM</t>
  </si>
  <si>
    <t>03:52:PM</t>
  </si>
  <si>
    <t>07:28:AM</t>
  </si>
  <si>
    <t>05:22:AM</t>
  </si>
  <si>
    <t>05:30:PM</t>
  </si>
  <si>
    <t>06:39:AM</t>
  </si>
  <si>
    <t>04:33:AM</t>
  </si>
  <si>
    <t>12:57:PM</t>
  </si>
  <si>
    <t>10:45:PM</t>
  </si>
  <si>
    <t>11:34:PM</t>
  </si>
  <si>
    <t>09:49:PM</t>
  </si>
  <si>
    <t>10:03:PM</t>
  </si>
  <si>
    <t>03:03:PM</t>
  </si>
  <si>
    <t>11:20:PM</t>
  </si>
  <si>
    <t>12:56:AM</t>
  </si>
  <si>
    <t>03:31:PM</t>
  </si>
  <si>
    <t>01:39:PM</t>
  </si>
  <si>
    <t>03:17:PM</t>
  </si>
  <si>
    <t>02:13:AM</t>
  </si>
  <si>
    <t>07:01:PM</t>
  </si>
  <si>
    <t>02:14:PM</t>
  </si>
  <si>
    <t>05:02:PM</t>
  </si>
  <si>
    <t>07:00:AM</t>
  </si>
  <si>
    <t>07:15:PM</t>
  </si>
  <si>
    <t>08:03:AM</t>
  </si>
  <si>
    <t>07:56:AM</t>
  </si>
  <si>
    <t>07:14:AM</t>
  </si>
  <si>
    <t>11:05:AM</t>
  </si>
  <si>
    <t>06:46:AM</t>
  </si>
  <si>
    <t>08:24:AM</t>
  </si>
  <si>
    <t>12:01:PM</t>
  </si>
  <si>
    <t>11:55:PM</t>
  </si>
  <si>
    <t>10:24:PM</t>
  </si>
  <si>
    <t>11:33:AM</t>
  </si>
  <si>
    <t>08:31:AM</t>
  </si>
  <si>
    <t>09:34:AM</t>
  </si>
  <si>
    <t>11:48:PM</t>
  </si>
  <si>
    <t>08:25:PM</t>
  </si>
  <si>
    <t>12:22:PM</t>
  </si>
  <si>
    <t>01:31:AM</t>
  </si>
  <si>
    <t>10:37:AM</t>
  </si>
  <si>
    <t>05:23:PM</t>
  </si>
  <si>
    <t>11:06:PM</t>
  </si>
  <si>
    <t>08:17:AM</t>
  </si>
  <si>
    <t>06:47:PM</t>
  </si>
  <si>
    <t>10:59:PM</t>
  </si>
  <si>
    <t>02:21:PM</t>
  </si>
  <si>
    <t>03:59:PM</t>
  </si>
  <si>
    <t>01:18:PM</t>
  </si>
  <si>
    <t>02:27:AM</t>
  </si>
  <si>
    <t>12:35:AM</t>
  </si>
  <si>
    <t>03:16:AM</t>
  </si>
  <si>
    <t>01:45:AM</t>
  </si>
  <si>
    <t>04:26:AM</t>
  </si>
  <si>
    <t>04:55:PM</t>
  </si>
  <si>
    <t>07:50:PM</t>
  </si>
  <si>
    <t>02:07:PM</t>
  </si>
  <si>
    <t>01:38:AM</t>
  </si>
  <si>
    <t>03:45:PM</t>
  </si>
  <si>
    <t>08:10:AM</t>
  </si>
  <si>
    <t>12:28:AM</t>
  </si>
  <si>
    <t>08:46:PM</t>
  </si>
  <si>
    <t>12:00:AM</t>
  </si>
  <si>
    <t>02:28:PM</t>
  </si>
  <si>
    <t>08:45:AM</t>
  </si>
  <si>
    <t>01:24:AM</t>
  </si>
  <si>
    <t>06:33:PM</t>
  </si>
  <si>
    <t>02:56:PM</t>
  </si>
  <si>
    <t>05:01:AM</t>
  </si>
  <si>
    <t>01:53:PM</t>
  </si>
  <si>
    <t>03:10:PM</t>
  </si>
  <si>
    <t>12:07:AM</t>
  </si>
  <si>
    <t>07:57:PM</t>
  </si>
  <si>
    <t>06:12:PM</t>
  </si>
  <si>
    <t>12:21:AM</t>
  </si>
  <si>
    <t>06:04:AM</t>
  </si>
  <si>
    <t>11:27:PM</t>
  </si>
  <si>
    <t>11:40:AM</t>
  </si>
  <si>
    <t>04:20:PM</t>
  </si>
  <si>
    <t>09:00:PM</t>
  </si>
  <si>
    <t>11:12:AM</t>
  </si>
  <si>
    <t>05:36:AM</t>
  </si>
  <si>
    <t>08:11:PM</t>
  </si>
  <si>
    <t>04:34:PM</t>
  </si>
  <si>
    <t>02:55:AM</t>
  </si>
  <si>
    <t>12:42:AM</t>
  </si>
  <si>
    <t>08:04:PM</t>
  </si>
  <si>
    <t>02:35:PM</t>
  </si>
  <si>
    <t>05:09:PM</t>
  </si>
  <si>
    <t>04:41:PM</t>
  </si>
  <si>
    <t>03:24:PM</t>
  </si>
  <si>
    <t>02:00:PM</t>
  </si>
  <si>
    <t>02:06:AM</t>
  </si>
  <si>
    <t>10:23:AM</t>
  </si>
  <si>
    <t>09:56:PM</t>
  </si>
  <si>
    <t>12:29:PM</t>
  </si>
  <si>
    <t>01:04:PM</t>
  </si>
  <si>
    <t>02:34:AM</t>
  </si>
  <si>
    <t>01:11:PM</t>
  </si>
  <si>
    <t>01:59:AM</t>
  </si>
  <si>
    <t>01:52:AM</t>
  </si>
  <si>
    <t>06:53:AM</t>
  </si>
  <si>
    <t>12:15:PM</t>
  </si>
  <si>
    <t>08:38:AM</t>
  </si>
  <si>
    <t>09:28:PM</t>
  </si>
  <si>
    <t>03:38:PM</t>
  </si>
  <si>
    <t>08:18:PM</t>
  </si>
  <si>
    <t>03:44:AM</t>
  </si>
  <si>
    <t>01:03:AM</t>
  </si>
  <si>
    <t>05:29:AM</t>
  </si>
  <si>
    <t>10:10:PM</t>
  </si>
  <si>
    <t>01:32:PM</t>
  </si>
  <si>
    <t>06:05:PM</t>
  </si>
  <si>
    <t>07:08:PM</t>
  </si>
  <si>
    <t>11:26:AM</t>
  </si>
  <si>
    <t>02:42:PM</t>
  </si>
  <si>
    <t>02:41:AM</t>
  </si>
  <si>
    <t>12:14:AM</t>
  </si>
  <si>
    <t>09:48:AM</t>
  </si>
  <si>
    <t>06:32:AM</t>
  </si>
  <si>
    <t>07:36:PM</t>
  </si>
  <si>
    <t>01:17:AM</t>
  </si>
  <si>
    <t>11:13:PM</t>
  </si>
  <si>
    <t>10:51:AM</t>
  </si>
  <si>
    <t>03:51:AM</t>
  </si>
  <si>
    <t>05:50:AM</t>
  </si>
  <si>
    <t>09:06:AM</t>
  </si>
  <si>
    <t>12:36:PM</t>
  </si>
  <si>
    <t>02:48:AM</t>
  </si>
  <si>
    <t>09:14:PM</t>
  </si>
  <si>
    <t>09:07:PM</t>
  </si>
  <si>
    <t>08:52:AM</t>
  </si>
  <si>
    <t>07:29:PM</t>
  </si>
  <si>
    <t>10:30:AM</t>
  </si>
  <si>
    <t>04:12:AM</t>
  </si>
  <si>
    <t>06:25:AM</t>
  </si>
  <si>
    <t>03:23:AM</t>
  </si>
  <si>
    <t>09:13:AM</t>
  </si>
  <si>
    <t>10:31:PM</t>
  </si>
  <si>
    <t>11:54:AM</t>
  </si>
  <si>
    <t>09:42:PM</t>
  </si>
  <si>
    <t>07:22:PM</t>
  </si>
  <si>
    <t>01:46:PM</t>
  </si>
  <si>
    <t>03:30:AM</t>
  </si>
  <si>
    <t>07:07:AM</t>
  </si>
  <si>
    <t>09:27:AM</t>
  </si>
  <si>
    <t>08:59:AM</t>
  </si>
  <si>
    <t>09:21:PM</t>
  </si>
  <si>
    <t>10:38:PM</t>
  </si>
  <si>
    <t>03:09:AM</t>
  </si>
  <si>
    <t>09:55:AM</t>
  </si>
  <si>
    <t>04:19:AM</t>
  </si>
  <si>
    <t>05:57:AM</t>
  </si>
  <si>
    <t>09:41:AM</t>
  </si>
  <si>
    <t>01:25:PM</t>
  </si>
  <si>
    <t>05:37:PM</t>
  </si>
  <si>
    <t>10:44:AM</t>
  </si>
  <si>
    <t>04:06:PM</t>
  </si>
  <si>
    <t>10:09:AM</t>
  </si>
  <si>
    <t>12:50:PM</t>
  </si>
  <si>
    <t>12:49:AM</t>
  </si>
  <si>
    <t>05:16:PM</t>
  </si>
  <si>
    <t>07:42:AM</t>
  </si>
  <si>
    <t>03:58:AM</t>
  </si>
  <si>
    <t>08:39:PM</t>
  </si>
  <si>
    <t>06:19:PM</t>
  </si>
  <si>
    <t>09:35:PM</t>
  </si>
  <si>
    <t>12:08:PM</t>
  </si>
  <si>
    <t>04:05:AM</t>
  </si>
  <si>
    <t>05:44:PM</t>
  </si>
  <si>
    <t>11:19:AM</t>
  </si>
  <si>
    <t>04:54:AM</t>
  </si>
  <si>
    <t>01:10:AM</t>
  </si>
  <si>
    <t>04:47:AM</t>
  </si>
  <si>
    <t>03:02:AM</t>
  </si>
  <si>
    <t>10:52:PM</t>
  </si>
  <si>
    <t>10:02:AM</t>
  </si>
  <si>
    <t>10:16:AM</t>
  </si>
  <si>
    <t>06:26:PM</t>
  </si>
  <si>
    <t>04:40:AM</t>
  </si>
  <si>
    <t>Payment</t>
  </si>
  <si>
    <t>Ewallet</t>
  </si>
  <si>
    <t>Cash</t>
  </si>
  <si>
    <t>Credit card</t>
  </si>
  <si>
    <t>cogs</t>
  </si>
  <si>
    <t>gross margin percentage</t>
  </si>
  <si>
    <t>gross income</t>
  </si>
  <si>
    <t>Rating</t>
  </si>
  <si>
    <t>Row Labels</t>
  </si>
  <si>
    <t>Grand Total</t>
  </si>
  <si>
    <t>Sum of Quantity</t>
  </si>
  <si>
    <t>Average of Total</t>
  </si>
  <si>
    <t>Average of Rating</t>
  </si>
  <si>
    <t>Demand Pattern Analysis</t>
  </si>
  <si>
    <t>12 AM</t>
  </si>
  <si>
    <t>1 AM</t>
  </si>
  <si>
    <t>2 AM</t>
  </si>
  <si>
    <t>3 AM</t>
  </si>
  <si>
    <t>4 AM</t>
  </si>
  <si>
    <t>5 AM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</si>
  <si>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</si>
  <si>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</si>
  <si>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</si>
  <si>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</si>
  <si>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</si>
  <si>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</si>
  <si>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</si>
  <si>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</si>
  <si>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</si>
  <si>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</si>
  <si>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</si>
  <si>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</si>
  <si>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</si>
  <si>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</si>
  <si>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</si>
  <si>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</si>
  <si>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</si>
  <si>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</si>
  <si>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Loyalty Impact Analysis</t>
  </si>
  <si>
    <t>Time vs Sales</t>
  </si>
  <si>
    <t>Region vs Sales and Ratings</t>
  </si>
  <si>
    <t>Product Line vs Average Sales and Total Quantity sold</t>
  </si>
  <si>
    <t>Member vs Average Sales</t>
  </si>
  <si>
    <t>Loyalty Member</t>
  </si>
  <si>
    <t>Number of Products sold</t>
  </si>
  <si>
    <t>New York</t>
  </si>
  <si>
    <t>Texas</t>
  </si>
  <si>
    <t>California</t>
  </si>
  <si>
    <t>Count of Quantity</t>
  </si>
  <si>
    <t>Branch Wise Performance</t>
  </si>
  <si>
    <t>Merchandise Wise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</si>
</sst>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:ss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right" wrapText="1"/>
    </xf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1" fillId="0" borderId="0" xfId="0" applyNumberFormat="1" applyFont="1" applyAlignment="1">
      <alignment wrapText="1"/>
    </xf>
    <xf numFmtId="164" fontId="0" fillId="0" borderId="0" xfId="0" applyNumberFormat="1"/>
    <xf numFmtId="165" fontId="1" fillId="0" borderId="0" xfId="0" applyNumberFormat="1" applyFont="1" applyAlignment="1">
      <alignment wrapText="1"/>
    </xf>
    <xf numFmtId="165" fontId="0" fillId="0" borderId="0" xfId="0" applyNumberFormat="1"/>
    <xf numFmtId="0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Sengupta" refreshedDate="46080.500008101852" createdVersion="8" refreshedVersion="8" minRefreshableVersion="3" recordCount="1000" xr:uid="{603241ED-AC4E-4127-AA00-A0F5EF1DAC9C}">
  <cacheSource type="worksheet">
    <worksheetSource ref="A1:Q1001" sheet="clean_data"/>
  </cacheSource>
  <cacheFields count="19">
    <cacheField name="Branch" numFmtId="0">
      <sharedItems/>
    </cacheField>
    <cacheField name="State" numFmtId="49">
      <sharedItems count="6">
        <s v="New York"/>
        <s v="Texas"/>
        <s v="California"/>
        <s v="NY" u="1"/>
        <s v="TX" u="1"/>
        <s v="CA" u="1"/>
      </sharedItems>
    </cacheField>
    <cacheField name="Date" numFmtId="14">
      <sharedItems containsSemiMixedTypes="0" containsNonDate="0" containsDate="1" containsString="0" minDate="2017-03-01T00:00:00" maxDate="2019-01-02T00:00:00"/>
    </cacheField>
    <cacheField name="Time" numFmtId="164">
      <sharedItems containsSemiMixedTypes="0" containsNonDate="0" containsDate="1" containsString="0" minDate="1899-12-30T00:00:00" maxDate="1899-12-30T23:55:00" count="205">
        <d v="1899-12-30T17:58:00"/>
        <d v="1899-12-30T23:41:00"/>
        <d v="1899-12-30T05:43:00"/>
        <d v="1899-12-30T16:48:00"/>
        <d v="1899-12-30T11:47:00"/>
        <d v="1899-12-30T06:11:00"/>
        <d v="1899-12-30T05:08:00"/>
        <d v="1899-12-30T16:27:00"/>
        <d v="1899-12-30T16:13:00"/>
        <d v="1899-12-30T12:43:00"/>
        <d v="1899-12-30T20:53:00"/>
        <d v="1899-12-30T22:17:00"/>
        <d v="1899-12-30T02:20:00"/>
        <d v="1899-12-30T05:15:00"/>
        <d v="1899-12-30T03:37:00"/>
        <d v="1899-12-30T19:43:00"/>
        <d v="1899-12-30T17:51:00"/>
        <d v="1899-12-30T09:20:00"/>
        <d v="1899-12-30T06:18:00"/>
        <d v="1899-12-30T20:32:00"/>
        <d v="1899-12-30T14:49:00"/>
        <d v="1899-12-30T18:54:00"/>
        <d v="1899-12-30T07:49:00"/>
        <d v="1899-12-30T07:21:00"/>
        <d v="1899-12-30T18:40:00"/>
        <d v="1899-12-30T10:58:00"/>
        <d v="1899-12-30T15:52:00"/>
        <d v="1899-12-30T07:28:00"/>
        <d v="1899-12-30T05:22:00"/>
        <d v="1899-12-30T17:30:00"/>
        <d v="1899-12-30T06:39:00"/>
        <d v="1899-12-30T04:33:00"/>
        <d v="1899-12-30T12:57:00"/>
        <d v="1899-12-30T22:45:00"/>
        <d v="1899-12-30T23:34:00"/>
        <d v="1899-12-30T21:49:00"/>
        <d v="1899-12-30T22:03:00"/>
        <d v="1899-12-30T15:03:00"/>
        <d v="1899-12-30T23:20:00"/>
        <d v="1899-12-30T00:56:00"/>
        <d v="1899-12-30T15:31:00"/>
        <d v="1899-12-30T13:39:00"/>
        <d v="1899-12-30T15:17:00"/>
        <d v="1899-12-30T02:13:00"/>
        <d v="1899-12-30T19:01:00"/>
        <d v="1899-12-30T14:14:00"/>
        <d v="1899-12-30T17:02:00"/>
        <d v="1899-12-30T07:00:00"/>
        <d v="1899-12-30T19:15:00"/>
        <d v="1899-12-30T08:03:00"/>
        <d v="1899-12-30T07:56:00"/>
        <d v="1899-12-30T07:14:00"/>
        <d v="1899-12-30T11:05:00"/>
        <d v="1899-12-30T06:46:00"/>
        <d v="1899-12-30T08:24:00"/>
        <d v="1899-12-30T12:01:00"/>
        <d v="1899-12-30T23:55:00"/>
        <d v="1899-12-30T22:24:00"/>
        <d v="1899-12-30T11:33:00"/>
        <d v="1899-12-30T08:31:00"/>
        <d v="1899-12-30T09:34:00"/>
        <d v="1899-12-30T23:48:00"/>
        <d v="1899-12-30T20:25:00"/>
        <d v="1899-12-30T12:22:00"/>
        <d v="1899-12-30T01:31:00"/>
        <d v="1899-12-30T10:37:00"/>
        <d v="1899-12-30T17:23:00"/>
        <d v="1899-12-30T23:06:00"/>
        <d v="1899-12-30T08:17:00"/>
        <d v="1899-12-30T18:47:00"/>
        <d v="1899-12-30T22:59:00"/>
        <d v="1899-12-30T14:21:00"/>
        <d v="1899-12-30T15:59:00"/>
        <d v="1899-12-30T13:18:00"/>
        <d v="1899-12-30T02:27:00"/>
        <d v="1899-12-30T00:35:00"/>
        <d v="1899-12-30T03:16:00"/>
        <d v="1899-12-30T01:45:00"/>
        <d v="1899-12-30T04:26:00"/>
        <d v="1899-12-30T16:55:00"/>
        <d v="1899-12-30T19:50:00"/>
        <d v="1899-12-30T14:07:00"/>
        <d v="1899-12-30T01:38:00"/>
        <d v="1899-12-30T15:45:00"/>
        <d v="1899-12-30T08:10:00"/>
        <d v="1899-12-30T00:28:00"/>
        <d v="1899-12-30T20:46:00"/>
        <d v="1899-12-30T00:00:00"/>
        <d v="1899-12-30T14:28:00"/>
        <d v="1899-12-30T08:45:00"/>
        <d v="1899-12-30T01:24:00"/>
        <d v="1899-12-30T18:33:00"/>
        <d v="1899-12-30T14:56:00"/>
        <d v="1899-12-30T05:01:00"/>
        <d v="1899-12-30T13:53:00"/>
        <d v="1899-12-30T15:10:00"/>
        <d v="1899-12-30T00:07:00"/>
        <d v="1899-12-30T19:57:00"/>
        <d v="1899-12-30T18:12:00"/>
        <d v="1899-12-30T00:21:00"/>
        <d v="1899-12-30T06:04:00"/>
        <d v="1899-12-30T23:27:00"/>
        <d v="1899-12-30T11:40:00"/>
        <d v="1899-12-30T16:20:00"/>
        <d v="1899-12-30T21:00:00"/>
        <d v="1899-12-30T11:12:00"/>
        <d v="1899-12-30T05:36:00"/>
        <d v="1899-12-30T20:11:00"/>
        <d v="1899-12-30T16:34:00"/>
        <d v="1899-12-30T02:55:00"/>
        <d v="1899-12-30T00:42:00"/>
        <d v="1899-12-30T20:04:00"/>
        <d v="1899-12-30T14:35:00"/>
        <d v="1899-12-30T17:09:00"/>
        <d v="1899-12-30T16:41:00"/>
        <d v="1899-12-30T15:24:00"/>
        <d v="1899-12-30T14:00:00"/>
        <d v="1899-12-30T02:06:00"/>
        <d v="1899-12-30T10:23:00"/>
        <d v="1899-12-30T21:56:00"/>
        <d v="1899-12-30T12:29:00"/>
        <d v="1899-12-30T13:04:00"/>
        <d v="1899-12-30T02:34:00"/>
        <d v="1899-12-30T13:11:00"/>
        <d v="1899-12-30T01:59:00"/>
        <d v="1899-12-30T01:52:00"/>
        <d v="1899-12-30T06:53:00"/>
        <d v="1899-12-30T12:15:00"/>
        <d v="1899-12-30T08:38:00"/>
        <d v="1899-12-30T21:28:00"/>
        <d v="1899-12-30T15:38:00"/>
        <d v="1899-12-30T20:18:00"/>
        <d v="1899-12-30T03:44:00"/>
        <d v="1899-12-30T01:03:00"/>
        <d v="1899-12-30T05:29:00"/>
        <d v="1899-12-30T22:10:00"/>
        <d v="1899-12-30T13:32:00"/>
        <d v="1899-12-30T18:05:00"/>
        <d v="1899-12-30T19:08:00"/>
        <d v="1899-12-30T11:26:00"/>
        <d v="1899-12-30T14:42:00"/>
        <d v="1899-12-30T02:41:00"/>
        <d v="1899-12-30T00:14:00"/>
        <d v="1899-12-30T09:48:00"/>
        <d v="1899-12-30T06:32:00"/>
        <d v="1899-12-30T19:36:00"/>
        <d v="1899-12-30T01:17:00"/>
        <d v="1899-12-30T23:13:00"/>
        <d v="1899-12-30T10:51:00"/>
        <d v="1899-12-30T03:51:00"/>
        <d v="1899-12-30T05:50:00"/>
        <d v="1899-12-30T09:06:00"/>
        <d v="1899-12-30T12:36:00"/>
        <d v="1899-12-30T02:48:00"/>
        <d v="1899-12-30T21:14:00"/>
        <d v="1899-12-30T21:07:00"/>
        <d v="1899-12-30T08:52:00"/>
        <d v="1899-12-30T19:29:00"/>
        <d v="1899-12-30T10:30:00"/>
        <d v="1899-12-30T04:12:00"/>
        <d v="1899-12-30T06:25:00"/>
        <d v="1899-12-30T03:23:00"/>
        <d v="1899-12-30T09:13:00"/>
        <d v="1899-12-30T22:31:00"/>
        <d v="1899-12-30T11:54:00"/>
        <d v="1899-12-30T21:42:00"/>
        <d v="1899-12-30T19:22:00"/>
        <d v="1899-12-30T13:46:00"/>
        <d v="1899-12-30T03:30:00"/>
        <d v="1899-12-30T07:07:00"/>
        <d v="1899-12-30T09:27:00"/>
        <d v="1899-12-30T08:59:00"/>
        <d v="1899-12-30T21:21:00"/>
        <d v="1899-12-30T22:38:00"/>
        <d v="1899-12-30T03:09:00"/>
        <d v="1899-12-30T09:55:00"/>
        <d v="1899-12-30T04:19:00"/>
        <d v="1899-12-30T05:57:00"/>
        <d v="1899-12-30T09:41:00"/>
        <d v="1899-12-30T13:25:00"/>
        <d v="1899-12-30T17:37:00"/>
        <d v="1899-12-30T10:44:00"/>
        <d v="1899-12-30T16:06:00"/>
        <d v="1899-12-30T10:09:00"/>
        <d v="1899-12-30T12:50:00"/>
        <d v="1899-12-30T00:49:00"/>
        <d v="1899-12-30T17:16:00"/>
        <d v="1899-12-30T07:42:00"/>
        <d v="1899-12-30T03:58:00"/>
        <d v="1899-12-30T20:39:00"/>
        <d v="1899-12-30T18:19:00"/>
        <d v="1899-12-30T21:35:00"/>
        <d v="1899-12-30T12:08:00"/>
        <d v="1899-12-30T04:05:00"/>
        <d v="1899-12-30T17:44:00"/>
        <d v="1899-12-30T11:19:00"/>
        <d v="1899-12-30T04:54:00"/>
        <d v="1899-12-30T01:10:00"/>
        <d v="1899-12-30T04:47:00"/>
        <d v="1899-12-30T03:02:00"/>
        <d v="1899-12-30T22:52:00"/>
        <d v="1899-12-30T10:02:00"/>
        <d v="1899-12-30T10:16:00"/>
        <d v="1899-12-30T18:26:00"/>
        <d v="1899-12-30T04:40:00"/>
      </sharedItems>
      <fieldGroup par="18"/>
    </cacheField>
    <cacheField name="Invoice ID" numFmtId="49">
      <sharedItems containsSemiMixedTypes="0" containsString="0" containsNumber="1" containsInteger="1" minValue="10814785" maxValue="997530999"/>
    </cacheField>
    <cacheField name="Gender" numFmtId="0">
      <sharedItems/>
    </cacheField>
    <cacheField name="loyalty member" numFmtId="0">
      <sharedItems count="2">
        <s v="Member"/>
        <s v="Normal"/>
      </sharedItems>
    </cacheField>
    <cacheField name="Payment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Rating" numFmtId="0">
      <sharedItems containsSemiMixedTypes="0" containsString="0" containsNumber="1" minValue="1" maxValue="10"/>
    </cacheField>
    <cacheField name="Unit price" numFmtId="0">
      <sharedItems containsSemiMixedTypes="0" containsString="0" containsNumber="1" minValue="10.01" maxValue="99.998000000000005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10.07" maxValue="100"/>
    </cacheField>
    <cacheField name="Total" numFmtId="0">
      <sharedItems containsSemiMixedTypes="0" containsString="0" containsNumber="1" minValue="100.08450000000001" maxValue="189.9494"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3.8764546470000001" maxValue="3.8764546470000001"/>
    </cacheField>
    <cacheField name="gross income" numFmtId="0">
      <sharedItems containsSemiMixedTypes="0" containsString="0" containsNumber="1" minValue="7.62" maxValue="99.897999999999996"/>
    </cacheField>
    <cacheField name="Minutes (Time)" numFmtId="0" databaseField="0">
      <fieldGroup base="3">
        <rangePr groupBy="minutes" startDate="1899-12-30T00:00:00" endDate="1899-12-30T23:55:00"/>
        <groupItems count="62">
          <s v="&lt;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/01/1900"/>
        </groupItems>
      </fieldGroup>
    </cacheField>
    <cacheField name="Hours (Time)" numFmtId="0" databaseField="0">
      <fieldGroup base="3">
        <rangePr groupBy="hours" startDate="1899-12-30T00:00:00" endDate="1899-12-30T23:55:00"/>
        <groupItems count="26">
          <s v="&lt;0/01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0/01/1900"/>
        </groupItems>
      </fieldGroup>
    </cacheField>
  </cacheFields>
  <extLst>
    <ext xmlns:x14="http://schemas.microsoft.com/office/spreadsheetml/2009/9/main" uri="{725AE2AE-9491-48be-B2B4-4EB974FC3084}">
      <x14:pivotCacheDefinition pivotCacheId="198259034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Sengupta" refreshedDate="46080.500155324073" createdVersion="8" refreshedVersion="8" minRefreshableVersion="3" recordCount="1000" xr:uid="{514F5251-199E-4644-99B7-5D1F5E567FA5}">
  <cacheSource type="worksheet">
    <worksheetSource ref="A1:Q1001" sheet="raw_data"/>
  </cacheSource>
  <cacheFields count="20">
    <cacheField name="Branch" numFmtId="0">
      <sharedItems count="4">
        <s v="East"/>
        <s v="south"/>
        <s v="West"/>
        <s v="southout"/>
      </sharedItems>
    </cacheField>
    <cacheField name="State" numFmtId="0">
      <sharedItems count="3">
        <s v="NY"/>
        <s v="TX"/>
        <s v="CA"/>
      </sharedItems>
    </cacheField>
    <cacheField name="Date" numFmtId="14">
      <sharedItems containsSemiMixedTypes="0" containsNonDate="0" containsDate="1" containsString="0" minDate="2017-03-01T00:00:00" maxDate="2019-01-02T00:00:00" count="531">
        <d v="2018-05-04T00:00:00"/>
        <d v="2017-12-18T00:00:00"/>
        <d v="2018-01-04T00:00:00"/>
        <d v="2018-09-16T00:00:00"/>
        <d v="2017-10-22T00:00:00"/>
        <d v="2017-07-02T00:00:00"/>
        <d v="2018-11-05T00:00:00"/>
        <d v="2018-08-13T00:00:00"/>
        <d v="2018-04-25T00:00:00"/>
        <d v="2017-03-30T00:00:00"/>
        <d v="2018-03-09T00:00:00"/>
        <d v="2017-06-03T00:00:00"/>
        <d v="2017-11-20T00:00:00"/>
        <d v="2017-10-03T00:00:00"/>
        <d v="2017-07-05T00:00:00"/>
        <d v="2017-03-13T00:00:00"/>
        <d v="2018-11-19T00:00:00"/>
        <d v="2018-01-18T00:00:00"/>
        <d v="2017-11-25T00:00:00"/>
        <d v="2017-07-20T00:00:00"/>
        <d v="2018-11-30T00:00:00"/>
        <d v="2017-05-15T00:00:00"/>
        <d v="2017-12-14T00:00:00"/>
        <d v="2018-01-25T00:00:00"/>
        <d v="2017-09-22T00:00:00"/>
        <d v="2017-08-30T00:00:00"/>
        <d v="2017-10-19T00:00:00"/>
        <d v="2018-11-13T00:00:00"/>
        <d v="2017-04-06T00:00:00"/>
        <d v="2017-03-16T00:00:00"/>
        <d v="2017-05-28T00:00:00"/>
        <d v="2017-06-27T00:00:00"/>
        <d v="2017-03-03T00:00:00"/>
        <d v="2017-10-27T00:00:00"/>
        <d v="2018-02-11T00:00:00"/>
        <d v="2017-11-13T00:00:00"/>
        <d v="2017-04-12T00:00:00"/>
        <d v="2018-04-03T00:00:00"/>
        <d v="2017-09-13T00:00:00"/>
        <d v="2018-04-16T00:00:00"/>
        <d v="2018-05-15T00:00:00"/>
        <d v="2017-10-20T00:00:00"/>
        <d v="2018-07-05T00:00:00"/>
        <d v="2018-04-02T00:00:00"/>
        <d v="2017-09-15T00:00:00"/>
        <d v="2018-05-28T00:00:00"/>
        <d v="2018-08-30T00:00:00"/>
        <d v="2017-07-17T00:00:00"/>
        <d v="2018-08-19T00:00:00"/>
        <d v="2017-06-09T00:00:00"/>
        <d v="2017-10-30T00:00:00"/>
        <d v="2017-09-23T00:00:00"/>
        <d v="2018-02-18T00:00:00"/>
        <d v="2018-02-01T00:00:00"/>
        <d v="2018-04-23T00:00:00"/>
        <d v="2017-12-27T00:00:00"/>
        <d v="2018-10-08T00:00:00"/>
        <d v="2017-05-20T00:00:00"/>
        <d v="2018-09-15T00:00:00"/>
        <d v="2017-12-05T00:00:00"/>
        <d v="2018-08-25T00:00:00"/>
        <d v="2017-08-18T00:00:00"/>
        <d v="2017-11-28T00:00:00"/>
        <d v="2018-08-27T00:00:00"/>
        <d v="2017-04-25T00:00:00"/>
        <d v="2017-04-01T00:00:00"/>
        <d v="2017-05-14T00:00:00"/>
        <d v="2018-02-02T00:00:00"/>
        <d v="2018-01-22T00:00:00"/>
        <d v="2018-10-03T00:00:00"/>
        <d v="2017-09-09T00:00:00"/>
        <d v="2017-11-14T00:00:00"/>
        <d v="2018-04-05T00:00:00"/>
        <d v="2017-08-10T00:00:00"/>
        <d v="2017-08-16T00:00:00"/>
        <d v="2017-04-23T00:00:00"/>
        <d v="2018-06-18T00:00:00"/>
        <d v="2018-11-18T00:00:00"/>
        <d v="2017-03-01T00:00:00"/>
        <d v="2017-04-17T00:00:00"/>
        <d v="2018-05-25T00:00:00"/>
        <d v="2017-09-05T00:00:00"/>
        <d v="2018-05-18T00:00:00"/>
        <d v="2017-03-26T00:00:00"/>
        <d v="2018-06-22T00:00:00"/>
        <d v="2017-04-21T00:00:00"/>
        <d v="2017-08-23T00:00:00"/>
        <d v="2018-01-30T00:00:00"/>
        <d v="2017-09-08T00:00:00"/>
        <d v="2017-03-31T00:00:00"/>
        <d v="2017-04-15T00:00:00"/>
        <d v="2017-03-07T00:00:00"/>
        <d v="2018-10-27T00:00:00"/>
        <d v="2018-05-14T00:00:00"/>
        <d v="2017-09-18T00:00:00"/>
        <d v="2018-12-13T00:00:00"/>
        <d v="2017-12-19T00:00:00"/>
        <d v="2017-07-31T00:00:00"/>
        <d v="2018-12-29T00:00:00"/>
        <d v="2017-03-19T00:00:00"/>
        <d v="2017-11-10T00:00:00"/>
        <d v="2018-06-06T00:00:00"/>
        <d v="2018-08-21T00:00:00"/>
        <d v="2018-02-22T00:00:00"/>
        <d v="2018-06-05T00:00:00"/>
        <d v="2017-04-09T00:00:00"/>
        <d v="2018-08-16T00:00:00"/>
        <d v="2018-04-09T00:00:00"/>
        <d v="2018-10-13T00:00:00"/>
        <d v="2017-06-25T00:00:00"/>
        <d v="2018-11-28T00:00:00"/>
        <d v="2017-03-14T00:00:00"/>
        <d v="2018-12-11T00:00:00"/>
        <d v="2018-01-23T00:00:00"/>
        <d v="2017-04-27T00:00:00"/>
        <d v="2017-12-26T00:00:00"/>
        <d v="2017-12-22T00:00:00"/>
        <d v="2018-11-21T00:00:00"/>
        <d v="2018-07-30T00:00:00"/>
        <d v="2018-03-23T00:00:00"/>
        <d v="2018-07-28T00:00:00"/>
        <d v="2018-07-19T00:00:00"/>
        <d v="2017-10-01T00:00:00"/>
        <d v="2018-04-11T00:00:00"/>
        <d v="2018-10-19T00:00:00"/>
        <d v="2018-12-25T00:00:00"/>
        <d v="2017-10-31T00:00:00"/>
        <d v="2018-11-07T00:00:00"/>
        <d v="2017-03-05T00:00:00"/>
        <d v="2017-12-21T00:00:00"/>
        <d v="2017-08-05T00:00:00"/>
        <d v="2018-10-22T00:00:00"/>
        <d v="2018-01-03T00:00:00"/>
        <d v="2017-06-22T00:00:00"/>
        <d v="2017-07-16T00:00:00"/>
        <d v="2017-09-17T00:00:00"/>
        <d v="2018-06-27T00:00:00"/>
        <d v="2018-12-06T00:00:00"/>
        <d v="2017-06-01T00:00:00"/>
        <d v="2017-06-06T00:00:00"/>
        <d v="2018-04-06T00:00:00"/>
        <d v="2017-08-12T00:00:00"/>
        <d v="2018-05-10T00:00:00"/>
        <d v="2018-05-02T00:00:00"/>
        <d v="2018-09-12T00:00:00"/>
        <d v="2018-06-12T00:00:00"/>
        <d v="2018-09-13T00:00:00"/>
        <d v="2017-03-10T00:00:00"/>
        <d v="2017-08-31T00:00:00"/>
        <d v="2018-09-08T00:00:00"/>
        <d v="2018-04-14T00:00:00"/>
        <d v="2018-10-23T00:00:00"/>
        <d v="2017-10-28T00:00:00"/>
        <d v="2018-03-17T00:00:00"/>
        <d v="2018-07-25T00:00:00"/>
        <d v="2017-12-04T00:00:00"/>
        <d v="2018-01-01T00:00:00"/>
        <d v="2017-07-21T00:00:00"/>
        <d v="2018-01-07T00:00:00"/>
        <d v="2018-09-22T00:00:00"/>
        <d v="2018-03-18T00:00:00"/>
        <d v="2018-12-28T00:00:00"/>
        <d v="2017-06-17T00:00:00"/>
        <d v="2017-04-03T00:00:00"/>
        <d v="2018-04-08T00:00:00"/>
        <d v="2017-07-06T00:00:00"/>
        <d v="2018-07-13T00:00:00"/>
        <d v="2017-10-24T00:00:00"/>
        <d v="2017-05-31T00:00:00"/>
        <d v="2017-04-14T00:00:00"/>
        <d v="2017-09-03T00:00:00"/>
        <d v="2018-06-21T00:00:00"/>
        <d v="2018-09-05T00:00:00"/>
        <d v="2018-12-15T00:00:00"/>
        <d v="2018-09-27T00:00:00"/>
        <d v="2017-09-07T00:00:00"/>
        <d v="2018-07-26T00:00:00"/>
        <d v="2018-07-03T00:00:00"/>
        <d v="2017-04-05T00:00:00"/>
        <d v="2017-07-03T00:00:00"/>
        <d v="2018-05-05T00:00:00"/>
        <d v="2018-07-08T00:00:00"/>
        <d v="2018-08-07T00:00:00"/>
        <d v="2017-12-12T00:00:00"/>
        <d v="2017-12-25T00:00:00"/>
        <d v="2018-02-19T00:00:00"/>
        <d v="2018-03-22T00:00:00"/>
        <d v="2017-07-07T00:00:00"/>
        <d v="2018-11-04T00:00:00"/>
        <d v="2017-07-10T00:00:00"/>
        <d v="2017-05-02T00:00:00"/>
        <d v="2017-05-03T00:00:00"/>
        <d v="2018-05-26T00:00:00"/>
        <d v="2018-12-03T00:00:00"/>
        <d v="2018-06-13T00:00:00"/>
        <d v="2017-05-11T00:00:00"/>
        <d v="2018-02-05T00:00:00"/>
        <d v="2018-05-06T00:00:00"/>
        <d v="2017-03-22T00:00:00"/>
        <d v="2017-05-06T00:00:00"/>
        <d v="2018-08-14T00:00:00"/>
        <d v="2018-07-04T00:00:00"/>
        <d v="2017-08-15T00:00:00"/>
        <d v="2017-06-28T00:00:00"/>
        <d v="2017-04-22T00:00:00"/>
        <d v="2018-12-07T00:00:00"/>
        <d v="2018-09-20T00:00:00"/>
        <d v="2018-08-08T00:00:00"/>
        <d v="2018-06-04T00:00:00"/>
        <d v="2018-05-09T00:00:00"/>
        <d v="2017-11-09T00:00:00"/>
        <d v="2018-11-17T00:00:00"/>
        <d v="2017-10-12T00:00:00"/>
        <d v="2018-05-20T00:00:00"/>
        <d v="2018-03-21T00:00:00"/>
        <d v="2017-10-08T00:00:00"/>
        <d v="2017-05-08T00:00:00"/>
        <d v="2018-04-20T00:00:00"/>
        <d v="2018-09-29T00:00:00"/>
        <d v="2018-04-15T00:00:00"/>
        <d v="2018-02-21T00:00:00"/>
        <d v="2017-06-29T00:00:00"/>
        <d v="2017-11-11T00:00:00"/>
        <d v="2018-04-04T00:00:00"/>
        <d v="2018-07-10T00:00:00"/>
        <d v="2018-09-11T00:00:00"/>
        <d v="2018-01-05T00:00:00"/>
        <d v="2018-10-30T00:00:00"/>
        <d v="2018-05-08T00:00:00"/>
        <d v="2017-08-25T00:00:00"/>
        <d v="2018-04-22T00:00:00"/>
        <d v="2017-09-30T00:00:00"/>
        <d v="2017-11-26T00:00:00"/>
        <d v="2017-04-20T00:00:00"/>
        <d v="2018-11-26T00:00:00"/>
        <d v="2018-03-14T00:00:00"/>
        <d v="2017-03-15T00:00:00"/>
        <d v="2018-01-19T00:00:00"/>
        <d v="2017-09-25T00:00:00"/>
        <d v="2018-05-11T00:00:00"/>
        <d v="2018-12-01T00:00:00"/>
        <d v="2018-01-02T00:00:00"/>
        <d v="2018-05-24T00:00:00"/>
        <d v="2017-05-13T00:00:00"/>
        <d v="2017-06-20T00:00:00"/>
        <d v="2017-11-05T00:00:00"/>
        <d v="2017-12-23T00:00:00"/>
        <d v="2017-10-05T00:00:00"/>
        <d v="2018-11-16T00:00:00"/>
        <d v="2018-09-10T00:00:00"/>
        <d v="2017-08-14T00:00:00"/>
        <d v="2018-04-10T00:00:00"/>
        <d v="2018-07-06T00:00:00"/>
        <d v="2018-08-01T00:00:00"/>
        <d v="2018-07-27T00:00:00"/>
        <d v="2018-03-19T00:00:00"/>
        <d v="2018-03-02T00:00:00"/>
        <d v="2018-07-12T00:00:00"/>
        <d v="2017-08-06T00:00:00"/>
        <d v="2017-11-08T00:00:00"/>
        <d v="2017-08-22T00:00:00"/>
        <d v="2017-11-22T00:00:00"/>
        <d v="2018-01-09T00:00:00"/>
        <d v="2018-08-20T00:00:00"/>
        <d v="2018-04-24T00:00:00"/>
        <d v="2018-11-25T00:00:00"/>
        <d v="2017-06-10T00:00:00"/>
        <d v="2018-10-15T00:00:00"/>
        <d v="2018-02-08T00:00:00"/>
        <d v="2018-01-24T00:00:00"/>
        <d v="2017-06-11T00:00:00"/>
        <d v="2017-11-27T00:00:00"/>
        <d v="2017-10-18T00:00:00"/>
        <d v="2017-04-04T00:00:00"/>
        <d v="2018-03-24T00:00:00"/>
        <d v="2017-08-07T00:00:00"/>
        <d v="2018-07-29T00:00:00"/>
        <d v="2017-05-16T00:00:00"/>
        <d v="2017-03-23T00:00:00"/>
        <d v="2018-01-17T00:00:00"/>
        <d v="2017-06-19T00:00:00"/>
        <d v="2018-01-15T00:00:00"/>
        <d v="2017-09-19T00:00:00"/>
        <d v="2018-11-03T00:00:00"/>
        <d v="2018-08-26T00:00:00"/>
        <d v="2018-02-04T00:00:00"/>
        <d v="2018-02-25T00:00:00"/>
        <d v="2017-03-21T00:00:00"/>
        <d v="2018-09-23T00:00:00"/>
        <d v="2018-05-27T00:00:00"/>
        <d v="2018-02-28T00:00:00"/>
        <d v="2018-03-29T00:00:00"/>
        <d v="2017-07-29T00:00:00"/>
        <d v="2018-11-08T00:00:00"/>
        <d v="2018-06-24T00:00:00"/>
        <d v="2017-08-19T00:00:00"/>
        <d v="2017-06-23T00:00:00"/>
        <d v="2018-12-27T00:00:00"/>
        <d v="2018-02-24T00:00:00"/>
        <d v="2018-06-23T00:00:00"/>
        <d v="2017-06-18T00:00:00"/>
        <d v="2018-03-05T00:00:00"/>
        <d v="2017-12-20T00:00:00"/>
        <d v="2017-07-30T00:00:00"/>
        <d v="2017-08-01T00:00:00"/>
        <d v="2018-11-20T00:00:00"/>
        <d v="2017-08-24T00:00:00"/>
        <d v="2018-04-29T00:00:00"/>
        <d v="2017-10-16T00:00:00"/>
        <d v="2018-10-05T00:00:00"/>
        <d v="2017-03-29T00:00:00"/>
        <d v="2017-07-04T00:00:00"/>
        <d v="2018-12-30T00:00:00"/>
        <d v="2018-08-15T00:00:00"/>
        <d v="2018-03-08T00:00:00"/>
        <d v="2018-08-09T00:00:00"/>
        <d v="2017-04-11T00:00:00"/>
        <d v="2018-04-30T00:00:00"/>
        <d v="2018-07-24T00:00:00"/>
        <d v="2017-06-13T00:00:00"/>
        <d v="2017-06-12T00:00:00"/>
        <d v="2017-04-07T00:00:00"/>
        <d v="2018-12-10T00:00:00"/>
        <d v="2017-11-23T00:00:00"/>
        <d v="2017-12-08T00:00:00"/>
        <d v="2018-10-29T00:00:00"/>
        <d v="2018-03-15T00:00:00"/>
        <d v="2017-10-15T00:00:00"/>
        <d v="2018-09-09T00:00:00"/>
        <d v="2017-12-30T00:00:00"/>
        <d v="2017-04-19T00:00:00"/>
        <d v="2017-08-13T00:00:00"/>
        <d v="2017-08-09T00:00:00"/>
        <d v="2017-11-15T00:00:00"/>
        <d v="2018-01-21T00:00:00"/>
        <d v="2018-12-14T00:00:00"/>
        <d v="2018-05-13T00:00:00"/>
        <d v="2017-05-01T00:00:00"/>
        <d v="2018-07-16T00:00:00"/>
        <d v="2018-02-06T00:00:00"/>
        <d v="2017-12-10T00:00:00"/>
        <d v="2017-08-02T00:00:00"/>
        <d v="2018-03-12T00:00:00"/>
        <d v="2018-06-20T00:00:00"/>
        <d v="2018-11-24T00:00:00"/>
        <d v="2017-05-24T00:00:00"/>
        <d v="2018-10-01T00:00:00"/>
        <d v="2018-09-01T00:00:00"/>
        <d v="2017-12-17T00:00:00"/>
        <d v="2018-08-11T00:00:00"/>
        <d v="2018-09-07T00:00:00"/>
        <d v="2018-07-20T00:00:00"/>
        <d v="2018-02-10T00:00:00"/>
        <d v="2018-12-26T00:00:00"/>
        <d v="2018-01-27T00:00:00"/>
        <d v="2018-08-04T00:00:00"/>
        <d v="2018-10-17T00:00:00"/>
        <d v="2017-11-17T00:00:00"/>
        <d v="2017-11-24T00:00:00"/>
        <d v="2018-06-14T00:00:00"/>
        <d v="2017-05-30T00:00:00"/>
        <d v="2017-12-16T00:00:00"/>
        <d v="2017-04-28T00:00:00"/>
        <d v="2017-07-15T00:00:00"/>
        <d v="2017-05-05T00:00:00"/>
        <d v="2018-07-31T00:00:00"/>
        <d v="2017-04-30T00:00:00"/>
        <d v="2018-09-18T00:00:00"/>
        <d v="2017-06-05T00:00:00"/>
        <d v="2018-04-19T00:00:00"/>
        <d v="2018-08-23T00:00:00"/>
        <d v="2017-11-16T00:00:00"/>
        <d v="2017-09-28T00:00:00"/>
        <d v="2017-05-07T00:00:00"/>
        <d v="2018-06-07T00:00:00"/>
        <d v="2018-07-14T00:00:00"/>
        <d v="2018-10-06T00:00:00"/>
        <d v="2017-09-10T00:00:00"/>
        <d v="2018-05-23T00:00:00"/>
        <d v="2018-12-20T00:00:00"/>
        <d v="2018-06-16T00:00:00"/>
        <d v="2018-11-10T00:00:00"/>
        <d v="2017-12-09T00:00:00"/>
        <d v="2017-06-04T00:00:00"/>
        <d v="2018-08-28T00:00:00"/>
        <d v="2018-06-01T00:00:00"/>
        <d v="2017-03-11T00:00:00"/>
        <d v="2017-10-14T00:00:00"/>
        <d v="2018-10-02T00:00:00"/>
        <d v="2017-06-15T00:00:00"/>
        <d v="2018-11-15T00:00:00"/>
        <d v="2017-07-18T00:00:00"/>
        <d v="2018-12-31T00:00:00"/>
        <d v="2018-08-10T00:00:00"/>
        <d v="2017-08-17T00:00:00"/>
        <d v="2018-12-19T00:00:00"/>
        <d v="2017-10-11T00:00:00"/>
        <d v="2018-03-01T00:00:00"/>
        <d v="2017-09-26T00:00:00"/>
        <d v="2018-01-20T00:00:00"/>
        <d v="2018-10-16T00:00:00"/>
        <d v="2017-08-21T00:00:00"/>
        <d v="2018-02-17T00:00:00"/>
        <d v="2018-03-20T00:00:00"/>
        <d v="2018-11-12T00:00:00"/>
        <d v="2018-02-09T00:00:00"/>
        <d v="2018-09-24T00:00:00"/>
        <d v="2017-03-17T00:00:00"/>
        <d v="2018-05-31T00:00:00"/>
        <d v="2017-06-21T00:00:00"/>
        <d v="2018-03-16T00:00:00"/>
        <d v="2018-07-22T00:00:00"/>
        <d v="2017-07-23T00:00:00"/>
        <d v="2017-12-01T00:00:00"/>
        <d v="2018-10-14T00:00:00"/>
        <d v="2018-06-28T00:00:00"/>
        <d v="2018-08-06T00:00:00"/>
        <d v="2018-05-12T00:00:00"/>
        <d v="2017-10-07T00:00:00"/>
        <d v="2018-06-30T00:00:00"/>
        <d v="2017-07-22T00:00:00"/>
        <d v="2017-07-09T00:00:00"/>
        <d v="2017-04-13T00:00:00"/>
        <d v="2017-08-08T00:00:00"/>
        <d v="2018-08-29T00:00:00"/>
        <d v="2018-06-26T00:00:00"/>
        <d v="2018-12-17T00:00:00"/>
        <d v="2017-07-13T00:00:00"/>
        <d v="2018-06-11T00:00:00"/>
        <d v="2018-12-18T00:00:00"/>
        <d v="2017-10-21T00:00:00"/>
        <d v="2018-08-12T00:00:00"/>
        <d v="2018-10-12T00:00:00"/>
        <d v="2017-10-06T00:00:00"/>
        <d v="2017-11-02T00:00:00"/>
        <d v="2018-02-03T00:00:00"/>
        <d v="2018-06-29T00:00:00"/>
        <d v="2018-02-16T00:00:00"/>
        <d v="2018-12-04T00:00:00"/>
        <d v="2017-03-28T00:00:00"/>
        <d v="2018-09-17T00:00:00"/>
        <d v="2018-12-09T00:00:00"/>
        <d v="2018-01-26T00:00:00"/>
        <d v="2017-05-19T00:00:00"/>
        <d v="2017-06-07T00:00:00"/>
        <d v="2018-04-18T00:00:00"/>
        <d v="2018-12-12T00:00:00"/>
        <d v="2018-08-05T00:00:00"/>
        <d v="2017-11-03T00:00:00"/>
        <d v="2017-05-10T00:00:00"/>
        <d v="2017-10-17T00:00:00"/>
        <d v="2018-05-21T00:00:00"/>
        <d v="2017-09-21T00:00:00"/>
        <d v="2018-02-20T00:00:00"/>
        <d v="2018-07-23T00:00:00"/>
        <d v="2018-10-04T00:00:00"/>
        <d v="2017-08-03T00:00:00"/>
        <d v="2017-06-16T00:00:00"/>
        <d v="2017-11-30T00:00:00"/>
        <d v="2017-08-26T00:00:00"/>
        <d v="2018-05-01T00:00:00"/>
        <d v="2017-08-29T00:00:00"/>
        <d v="2018-02-23T00:00:00"/>
        <d v="2018-06-17T00:00:00"/>
        <d v="2018-02-12T00:00:00"/>
        <d v="2018-07-02T00:00:00"/>
        <d v="2017-10-25T00:00:00"/>
        <d v="2018-05-29T00:00:00"/>
        <d v="2017-12-31T00:00:00"/>
        <d v="2017-11-07T00:00:00"/>
        <d v="2017-10-10T00:00:00"/>
        <d v="2017-11-12T00:00:00"/>
        <d v="2018-04-07T00:00:00"/>
        <d v="2017-05-21T00:00:00"/>
        <d v="2018-08-22T00:00:00"/>
        <d v="2018-06-19T00:00:00"/>
        <d v="2017-05-04T00:00:00"/>
        <d v="2018-03-31T00:00:00"/>
        <d v="2018-10-18T00:00:00"/>
        <d v="2017-09-14T00:00:00"/>
        <d v="2017-10-23T00:00:00"/>
        <d v="2017-11-29T00:00:00"/>
        <d v="2018-10-11T00:00:00"/>
        <d v="2018-12-16T00:00:00"/>
        <d v="2017-07-12T00:00:00"/>
        <d v="2018-04-27T00:00:00"/>
        <d v="2017-08-04T00:00:00"/>
        <d v="2018-11-09T00:00:00"/>
        <d v="2018-03-11T00:00:00"/>
        <d v="2019-01-01T00:00:00"/>
        <d v="2018-01-14T00:00:00"/>
        <d v="2018-08-03T00:00:00"/>
        <d v="2018-08-02T00:00:00"/>
        <d v="2017-05-29T00:00:00"/>
        <d v="2018-09-03T00:00:00"/>
        <d v="2018-11-14T00:00:00"/>
        <d v="2018-04-21T00:00:00"/>
        <d v="2018-01-06T00:00:00"/>
        <d v="2017-11-19T00:00:00"/>
        <d v="2018-04-26T00:00:00"/>
        <d v="2017-12-07T00:00:00"/>
        <d v="2018-11-06T00:00:00"/>
        <d v="2017-07-01T00:00:00"/>
        <d v="2017-05-26T00:00:00"/>
        <d v="2018-03-04T00:00:00"/>
        <d v="2018-03-27T00:00:00"/>
        <d v="2018-09-26T00:00:00"/>
        <d v="2017-05-17T00:00:00"/>
        <d v="2018-03-26T00:00:00"/>
        <d v="2017-11-01T00:00:00"/>
        <d v="2018-11-27T00:00:00"/>
        <d v="2018-05-16T00:00:00"/>
        <d v="2018-06-03T00:00:00"/>
        <d v="2017-11-04T00:00:00"/>
        <d v="2018-05-22T00:00:00"/>
        <d v="2017-06-24T00:00:00"/>
        <d v="2018-03-13T00:00:00"/>
        <d v="2018-04-13T00:00:00"/>
        <d v="2017-05-23T00:00:00"/>
        <d v="2017-04-10T00:00:00"/>
        <d v="2018-06-15T00:00:00"/>
        <d v="2018-07-11T00:00:00"/>
        <d v="2017-07-11T00:00:00"/>
        <d v="2017-09-04T00:00:00"/>
        <d v="2017-08-27T00:00:00"/>
        <d v="2018-04-28T00:00:00"/>
        <d v="2018-10-26T00:00:00"/>
        <d v="2017-09-11T00:00:00"/>
        <d v="2018-01-29T00:00:00"/>
        <d v="2017-07-24T00:00:00"/>
        <d v="2018-03-07T00:00:00"/>
      </sharedItems>
      <fieldGroup par="19"/>
    </cacheField>
    <cacheField name="Time" numFmtId="165">
      <sharedItems/>
    </cacheField>
    <cacheField name="Invoice ID" numFmtId="49">
      <sharedItems containsSemiMixedTypes="0" containsString="0" containsNumber="1" containsInteger="1" minValue="11908730" maxValue="999260658"/>
    </cacheField>
    <cacheField name="Gender" numFmtId="0">
      <sharedItems/>
    </cacheField>
    <cacheField name="loyalty member" numFmtId="0">
      <sharedItems/>
    </cacheField>
    <cacheField name="Payment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Rating" numFmtId="0">
      <sharedItems containsSemiMixedTypes="0" containsString="0" containsNumber="1" minValue="1" maxValue="10"/>
    </cacheField>
    <cacheField name="Unit price" numFmtId="0">
      <sharedItems containsSemiMixedTypes="0" containsString="0" containsNumber="1" minValue="10.01" maxValue="99.998000000000005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10.07" maxValue="100"/>
    </cacheField>
    <cacheField name="Total" numFmtId="0">
      <sharedItems containsSemiMixedTypes="0" containsString="0" containsNumber="1" minValue="100.08450000000001" maxValue="189.9494"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3.8764546470000001" maxValue="3.8764546470000001"/>
    </cacheField>
    <cacheField name="gross income" numFmtId="0">
      <sharedItems containsSemiMixedTypes="0" containsString="0" containsNumber="1" minValue="7.62" maxValue="99.897999999999996"/>
    </cacheField>
    <cacheField name="Months (Date)" numFmtId="0" databaseField="0">
      <fieldGroup base="2">
        <rangePr groupBy="months" startDate="2017-03-01T00:00:00" endDate="2019-01-02T00:00:00"/>
        <groupItems count="14">
          <s v="&lt;1/03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01/2019"/>
        </groupItems>
      </fieldGroup>
    </cacheField>
    <cacheField name="Quarters (Date)" numFmtId="0" databaseField="0">
      <fieldGroup base="2">
        <rangePr groupBy="quarters" startDate="2017-03-01T00:00:00" endDate="2019-01-02T00:00:00"/>
        <groupItems count="6">
          <s v="&lt;1/03/2017"/>
          <s v="Qtr1"/>
          <s v="Qtr2"/>
          <s v="Qtr3"/>
          <s v="Qtr4"/>
          <s v="&gt;2/01/2019"/>
        </groupItems>
      </fieldGroup>
    </cacheField>
    <cacheField name="Years (Date)" numFmtId="0" databaseField="0">
      <fieldGroup base="2">
        <rangePr groupBy="years" startDate="2017-03-01T00:00:00" endDate="2019-01-02T00:00:00"/>
        <groupItems count="5">
          <s v="&lt;1/03/2017"/>
          <s v="2017"/>
          <s v="2018"/>
          <s v="2019"/>
          <s v="&gt;2/01/2019"/>
        </groupItems>
      </fieldGroup>
    </cacheField>
  </cacheFields>
  <extLst>
    <ext xmlns:x14="http://schemas.microsoft.com/office/spreadsheetml/2009/9/main" uri="{725AE2AE-9491-48be-B2B4-4EB974FC3084}">
      <x14:pivotCacheDefinition pivotCacheId="1399645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ast"/>
    <x v="0"/>
    <d v="2018-05-04T00:00:00"/>
    <x v="0"/>
    <n v="532570955"/>
    <s v="Female"/>
    <x v="0"/>
    <s v="Ewallet"/>
    <x v="0"/>
    <n v="3.5"/>
    <n v="55.61"/>
    <n v="7"/>
    <n v="94.02"/>
    <n v="166.3963"/>
    <n v="522.83000000000004"/>
    <n v="3.8764546470000001"/>
    <n v="85.176000000000002"/>
  </r>
  <r>
    <s v="south"/>
    <x v="1"/>
    <d v="2017-12-18T00:00:00"/>
    <x v="1"/>
    <n v="376413257"/>
    <s v="Female"/>
    <x v="1"/>
    <s v="Cash"/>
    <x v="1"/>
    <n v="2.1"/>
    <n v="93.45"/>
    <n v="5"/>
    <n v="77.12"/>
    <n v="171.83840000000001"/>
    <n v="76.400000000000006"/>
    <n v="3.8764546470000001"/>
    <n v="7.62"/>
  </r>
  <r>
    <s v="East"/>
    <x v="0"/>
    <d v="2018-01-04T00:00:00"/>
    <x v="2"/>
    <n v="614708423"/>
    <s v="Male"/>
    <x v="1"/>
    <s v="Credit card"/>
    <x v="2"/>
    <n v="1.7"/>
    <n v="46.97"/>
    <n v="7"/>
    <n v="32.21"/>
    <n v="148.1456"/>
    <n v="324.31"/>
    <n v="3.8764546470000001"/>
    <n v="16.216000000000001"/>
  </r>
  <r>
    <s v="East"/>
    <x v="0"/>
    <d v="2018-09-16T00:00:00"/>
    <x v="3"/>
    <n v="951033183"/>
    <s v="Male"/>
    <x v="0"/>
    <s v="Ewallet"/>
    <x v="0"/>
    <n v="3.2"/>
    <n v="45.18"/>
    <n v="8"/>
    <n v="56.88"/>
    <n v="159.86779999999999"/>
    <n v="465.76"/>
    <n v="3.8764546470000001"/>
    <n v="23.288"/>
  </r>
  <r>
    <s v="East"/>
    <x v="0"/>
    <d v="2017-10-22T00:00:00"/>
    <x v="4"/>
    <n v="135972003"/>
    <s v="Male"/>
    <x v="1"/>
    <s v="Ewallet"/>
    <x v="3"/>
    <n v="7.3"/>
    <n v="80.17"/>
    <n v="7"/>
    <n v="26.94"/>
    <n v="185.9512"/>
    <n v="604.16999999999996"/>
    <n v="3.8764546470000001"/>
    <n v="54.66"/>
  </r>
  <r>
    <s v="south"/>
    <x v="1"/>
    <d v="2017-07-02T00:00:00"/>
    <x v="5"/>
    <n v="714436701"/>
    <s v="Male"/>
    <x v="1"/>
    <s v="Ewallet"/>
    <x v="1"/>
    <n v="2.1"/>
    <n v="64.72"/>
    <n v="7"/>
    <n v="56.1"/>
    <n v="187.7021"/>
    <n v="597.73"/>
    <n v="3.8764546470000001"/>
    <n v="62.27"/>
  </r>
  <r>
    <s v="East"/>
    <x v="0"/>
    <d v="2018-11-05T00:00:00"/>
    <x v="6"/>
    <n v="404515690"/>
    <s v="Female"/>
    <x v="0"/>
    <s v="Ewallet"/>
    <x v="1"/>
    <n v="6.4"/>
    <n v="17.670000000000002"/>
    <n v="6"/>
    <n v="15.8"/>
    <n v="122.1711"/>
    <n v="413.04"/>
    <n v="3.8764546470000001"/>
    <n v="69.995000000000005"/>
  </r>
  <r>
    <s v="south"/>
    <x v="1"/>
    <d v="2018-08-13T00:00:00"/>
    <x v="7"/>
    <n v="147041778"/>
    <s v="Female"/>
    <x v="1"/>
    <s v="Ewallet"/>
    <x v="2"/>
    <n v="3.1"/>
    <n v="10.98"/>
    <n v="10"/>
    <n v="21.8"/>
    <n v="124.5346"/>
    <n v="735.6"/>
    <n v="3.8764546470000001"/>
    <n v="20.393999999999998"/>
  </r>
  <r>
    <s v="East"/>
    <x v="0"/>
    <d v="2018-04-25T00:00:00"/>
    <x v="8"/>
    <n v="997530999"/>
    <s v="Female"/>
    <x v="0"/>
    <s v="Credit card"/>
    <x v="0"/>
    <n v="1.6"/>
    <n v="50.48"/>
    <n v="2"/>
    <n v="30.17"/>
    <n v="137.89590000000001"/>
    <n v="72.52"/>
    <n v="3.8764546470000001"/>
    <n v="52.308999999999997"/>
  </r>
  <r>
    <s v="West"/>
    <x v="2"/>
    <d v="2017-03-30T00:00:00"/>
    <x v="9"/>
    <n v="773436237"/>
    <s v="Female"/>
    <x v="0"/>
    <s v="Credit card"/>
    <x v="4"/>
    <n v="8.5"/>
    <n v="41.01"/>
    <n v="3"/>
    <n v="91.88"/>
    <n v="169.2268"/>
    <n v="164.52"/>
    <n v="3.8764546470000001"/>
    <n v="69.45"/>
  </r>
  <r>
    <s v="West"/>
    <x v="2"/>
    <d v="2018-03-09T00:00:00"/>
    <x v="10"/>
    <n v="263435995"/>
    <s v="Female"/>
    <x v="0"/>
    <s v="Ewallet"/>
    <x v="5"/>
    <n v="7.1"/>
    <n v="27.76"/>
    <n v="4"/>
    <n v="93.86"/>
    <n v="140.94980000000001"/>
    <n v="57.92"/>
    <n v="3.8764546470000001"/>
    <n v="45.807000000000002"/>
  </r>
  <r>
    <s v="East"/>
    <x v="2"/>
    <d v="2017-06-03T00:00:00"/>
    <x v="11"/>
    <n v="945637002"/>
    <s v="Female"/>
    <x v="0"/>
    <s v="Ewallet"/>
    <x v="1"/>
    <n v="2.2000000000000002"/>
    <n v="85.2"/>
    <n v="4"/>
    <n v="98.78"/>
    <n v="129.1413"/>
    <n v="102.04"/>
    <n v="3.8764546470000001"/>
    <n v="82.531999999999996"/>
  </r>
  <r>
    <s v="East"/>
    <x v="0"/>
    <d v="2017-11-20T00:00:00"/>
    <x v="12"/>
    <n v="273052690"/>
    <s v="Female"/>
    <x v="1"/>
    <s v="Ewallet"/>
    <x v="1"/>
    <n v="7.8"/>
    <n v="58.06"/>
    <n v="5"/>
    <n v="15.13"/>
    <n v="155.6739"/>
    <n v="234.75"/>
    <n v="3.8764546470000001"/>
    <n v="61.408999999999999"/>
  </r>
  <r>
    <s v="East"/>
    <x v="0"/>
    <d v="2017-10-03T00:00:00"/>
    <x v="13"/>
    <n v="866477128"/>
    <s v="Female"/>
    <x v="1"/>
    <s v="Ewallet"/>
    <x v="4"/>
    <n v="4.7"/>
    <n v="78.239999999999995"/>
    <n v="10"/>
    <n v="33.549999999999997"/>
    <n v="168.82900000000001"/>
    <n v="431.9"/>
    <n v="3.8764546470000001"/>
    <n v="49.89"/>
  </r>
  <r>
    <s v="East"/>
    <x v="0"/>
    <d v="2017-07-05T00:00:00"/>
    <x v="14"/>
    <n v="569151099"/>
    <s v="Female"/>
    <x v="1"/>
    <s v="Ewallet"/>
    <x v="0"/>
    <n v="3.8"/>
    <n v="30.54"/>
    <n v="10"/>
    <n v="90.5"/>
    <n v="136.7594"/>
    <n v="713.8"/>
    <n v="3.8764546470000001"/>
    <n v="18.100000000000001"/>
  </r>
  <r>
    <s v="West"/>
    <x v="2"/>
    <d v="2017-03-13T00:00:00"/>
    <x v="15"/>
    <n v="202280701"/>
    <s v="Female"/>
    <x v="0"/>
    <s v="Ewallet"/>
    <x v="3"/>
    <n v="9.5"/>
    <n v="36.020000000000003"/>
    <n v="6"/>
    <n v="85.37"/>
    <n v="182.09819999999999"/>
    <n v="562.32000000000005"/>
    <n v="3.8764546470000001"/>
    <n v="67.150000000000006"/>
  </r>
  <r>
    <s v="East"/>
    <x v="0"/>
    <d v="2018-11-19T00:00:00"/>
    <x v="16"/>
    <n v="423070214"/>
    <s v="Female"/>
    <x v="0"/>
    <s v="Credit card"/>
    <x v="0"/>
    <n v="4.3"/>
    <n v="80.39"/>
    <n v="7"/>
    <n v="96.99"/>
    <n v="105.9696"/>
    <n v="482.51"/>
    <n v="3.8764546470000001"/>
    <n v="26.43"/>
  </r>
  <r>
    <s v="East"/>
    <x v="0"/>
    <d v="2017-03-30T00:00:00"/>
    <x v="17"/>
    <n v="810149751"/>
    <s v="Female"/>
    <x v="0"/>
    <s v="Credit card"/>
    <x v="3"/>
    <n v="8.5"/>
    <n v="89.88"/>
    <n v="6"/>
    <n v="10.4"/>
    <n v="152.48140000000001"/>
    <n v="435.66"/>
    <n v="3.8764546470000001"/>
    <n v="35.74"/>
  </r>
  <r>
    <s v="East"/>
    <x v="0"/>
    <d v="2018-01-18T00:00:00"/>
    <x v="18"/>
    <n v="305922442"/>
    <s v="Female"/>
    <x v="0"/>
    <s v="Credit card"/>
    <x v="4"/>
    <n v="3.3"/>
    <n v="63.2"/>
    <n v="3"/>
    <n v="44.13"/>
    <n v="111.2116"/>
    <n v="164.01"/>
    <n v="3.8764546470000001"/>
    <n v="16.100000000000001"/>
  </r>
  <r>
    <s v="West"/>
    <x v="2"/>
    <d v="2017-11-25T00:00:00"/>
    <x v="19"/>
    <n v="246409584"/>
    <s v="Female"/>
    <x v="0"/>
    <s v="Ewallet"/>
    <x v="2"/>
    <n v="2"/>
    <n v="13.17"/>
    <n v="2"/>
    <n v="98.4"/>
    <n v="148.92580000000001"/>
    <n v="80.599999999999994"/>
    <n v="3.8764546470000001"/>
    <n v="61.506"/>
  </r>
  <r>
    <s v="south"/>
    <x v="1"/>
    <d v="2017-07-20T00:00:00"/>
    <x v="20"/>
    <n v="928166808"/>
    <s v="Female"/>
    <x v="0"/>
    <s v="Ewallet"/>
    <x v="1"/>
    <n v="4"/>
    <n v="24.82"/>
    <n v="5"/>
    <n v="87.7"/>
    <n v="162.8416"/>
    <n v="430.2"/>
    <n v="3.8764546470000001"/>
    <n v="91.545000000000002"/>
  </r>
  <r>
    <s v="West"/>
    <x v="2"/>
    <d v="2018-11-30T00:00:00"/>
    <x v="21"/>
    <n v="747791018"/>
    <s v="Female"/>
    <x v="0"/>
    <s v="Ewallet"/>
    <x v="0"/>
    <n v="1.9"/>
    <n v="39.380000000000003"/>
    <n v="3"/>
    <n v="68.22"/>
    <n v="144.99940000000001"/>
    <n v="263.94"/>
    <n v="3.8764546470000001"/>
    <n v="89.932000000000002"/>
  </r>
  <r>
    <s v="West"/>
    <x v="2"/>
    <d v="2017-05-15T00:00:00"/>
    <x v="22"/>
    <n v="30808151"/>
    <s v="Male"/>
    <x v="0"/>
    <s v="Credit card"/>
    <x v="2"/>
    <n v="2.4"/>
    <n v="83.74"/>
    <n v="2"/>
    <n v="72.3"/>
    <n v="126.435"/>
    <n v="66.400000000000006"/>
    <n v="3.8764546470000001"/>
    <n v="60.322000000000003"/>
  </r>
  <r>
    <s v="East"/>
    <x v="0"/>
    <d v="2017-12-14T00:00:00"/>
    <x v="23"/>
    <n v="152348397"/>
    <s v="Male"/>
    <x v="0"/>
    <s v="Ewallet"/>
    <x v="1"/>
    <n v="9.6"/>
    <n v="89.41"/>
    <n v="5"/>
    <n v="36.06"/>
    <n v="152.48140000000001"/>
    <n v="172.8"/>
    <n v="3.8764546470000001"/>
    <n v="13.359"/>
  </r>
  <r>
    <s v="East"/>
    <x v="0"/>
    <d v="2018-01-25T00:00:00"/>
    <x v="24"/>
    <n v="936205494"/>
    <s v="Male"/>
    <x v="0"/>
    <s v="Ewallet"/>
    <x v="3"/>
    <n v="1.4"/>
    <n v="28.33"/>
    <n v="3"/>
    <n v="93.4"/>
    <n v="115.28530000000001"/>
    <n v="265.89"/>
    <n v="3.8764546470000001"/>
    <n v="67.103999999999999"/>
  </r>
  <r>
    <s v="East"/>
    <x v="0"/>
    <d v="2017-09-22T00:00:00"/>
    <x v="25"/>
    <n v="747439530"/>
    <s v="Female"/>
    <x v="0"/>
    <s v="Credit card"/>
    <x v="2"/>
    <n v="9.3000000000000007"/>
    <n v="56.28"/>
    <n v="8"/>
    <n v="10.130000000000001"/>
    <n v="142.1541"/>
    <n v="420.72"/>
    <n v="3.8764546470000001"/>
    <n v="42.417000000000002"/>
  </r>
  <r>
    <s v="West"/>
    <x v="2"/>
    <d v="2017-08-30T00:00:00"/>
    <x v="26"/>
    <n v="760752361"/>
    <s v="Male"/>
    <x v="1"/>
    <s v="Cash"/>
    <x v="5"/>
    <n v="5.4"/>
    <n v="95.42"/>
    <n v="1"/>
    <n v="62.84"/>
    <n v="174.66290000000001"/>
    <n v="33.520000000000003"/>
    <n v="3.8764546470000001"/>
    <n v="42.44"/>
  </r>
  <r>
    <s v="East"/>
    <x v="0"/>
    <d v="2017-10-19T00:00:00"/>
    <x v="27"/>
    <n v="562769317"/>
    <s v="Female"/>
    <x v="1"/>
    <s v="Credit card"/>
    <x v="5"/>
    <n v="2"/>
    <n v="64.95"/>
    <n v="2"/>
    <n v="29.21"/>
    <n v="114.69710000000001"/>
    <n v="175.34"/>
    <n v="3.8764546470000001"/>
    <n v="14.422000000000001"/>
  </r>
  <r>
    <s v="West"/>
    <x v="2"/>
    <d v="2018-11-13T00:00:00"/>
    <x v="28"/>
    <n v="344063117"/>
    <s v="Female"/>
    <x v="1"/>
    <s v="Cash"/>
    <x v="4"/>
    <n v="4"/>
    <n v="72.430000000000007"/>
    <n v="5"/>
    <n v="92.95"/>
    <n v="137.6557"/>
    <n v="441.8"/>
    <n v="3.8764546470000001"/>
    <n v="59.29"/>
  </r>
  <r>
    <s v="East"/>
    <x v="0"/>
    <d v="2017-04-06T00:00:00"/>
    <x v="29"/>
    <n v="95538604"/>
    <s v="Male"/>
    <x v="1"/>
    <s v="Cash"/>
    <x v="0"/>
    <n v="2"/>
    <n v="14.69"/>
    <n v="9"/>
    <n v="25.1"/>
    <n v="116.9248"/>
    <n v="224.01"/>
    <n v="3.8764546470000001"/>
    <n v="39.106000000000002"/>
  </r>
  <r>
    <s v="West"/>
    <x v="2"/>
    <d v="2017-03-16T00:00:00"/>
    <x v="30"/>
    <n v="431062295"/>
    <s v="Male"/>
    <x v="1"/>
    <s v="Credit card"/>
    <x v="5"/>
    <n v="3"/>
    <n v="24.56"/>
    <n v="5"/>
    <n v="87.14"/>
    <n v="187.52760000000001"/>
    <n v="470.65"/>
    <n v="3.8764546470000001"/>
    <n v="18.02"/>
  </r>
  <r>
    <s v="West"/>
    <x v="2"/>
    <d v="2017-05-28T00:00:00"/>
    <x v="31"/>
    <n v="605812283"/>
    <s v="Male"/>
    <x v="1"/>
    <s v="Cash"/>
    <x v="3"/>
    <n v="7"/>
    <n v="32.28"/>
    <n v="9"/>
    <n v="44.07"/>
    <n v="161.79419999999999"/>
    <n v="702.63"/>
    <n v="3.8764546470000001"/>
    <n v="64.138000000000005"/>
  </r>
  <r>
    <s v="West"/>
    <x v="2"/>
    <d v="2017-06-27T00:00:00"/>
    <x v="32"/>
    <n v="724445900"/>
    <s v="Male"/>
    <x v="1"/>
    <s v="Cash"/>
    <x v="3"/>
    <n v="8"/>
    <n v="23.58"/>
    <n v="8"/>
    <n v="71.3"/>
    <n v="100.9837"/>
    <n v="670.24"/>
    <n v="3.8764546470000001"/>
    <n v="44.511000000000003"/>
  </r>
  <r>
    <s v="East"/>
    <x v="0"/>
    <d v="2017-03-03T00:00:00"/>
    <x v="33"/>
    <n v="906890180"/>
    <s v="Male"/>
    <x v="1"/>
    <s v="Credit card"/>
    <x v="0"/>
    <n v="7"/>
    <n v="45.62"/>
    <n v="2"/>
    <n v="45.45"/>
    <n v="149.61660000000001"/>
    <n v="193.16"/>
    <n v="3.8764546470000001"/>
    <n v="66.75"/>
  </r>
  <r>
    <s v="south"/>
    <x v="1"/>
    <d v="2017-10-27T00:00:00"/>
    <x v="34"/>
    <n v="846990566"/>
    <s v="Male"/>
    <x v="1"/>
    <s v="Ewallet"/>
    <x v="4"/>
    <n v="1"/>
    <n v="83.56"/>
    <n v="4"/>
    <n v="13.6"/>
    <n v="135.20140000000001"/>
    <n v="397.68"/>
    <n v="3.8764546470000001"/>
    <n v="26.34"/>
  </r>
  <r>
    <s v="south"/>
    <x v="1"/>
    <d v="2018-02-11T00:00:00"/>
    <x v="12"/>
    <n v="398337038"/>
    <s v="Male"/>
    <x v="0"/>
    <s v="Ewallet"/>
    <x v="3"/>
    <n v="10"/>
    <n v="71.5"/>
    <n v="1"/>
    <n v="16.5"/>
    <n v="122.84869999999999"/>
    <n v="68.12"/>
    <n v="3.8764546470000001"/>
    <n v="32.9"/>
  </r>
  <r>
    <s v="East"/>
    <x v="0"/>
    <d v="2017-11-13T00:00:00"/>
    <x v="35"/>
    <n v="383873033"/>
    <s v="Male"/>
    <x v="0"/>
    <s v="Ewallet"/>
    <x v="3"/>
    <n v="9.5"/>
    <n v="36.43"/>
    <n v="5"/>
    <n v="82.4"/>
    <n v="114.8165"/>
    <n v="313.10000000000002"/>
    <n v="3.8764546470000001"/>
    <n v="74.819999999999993"/>
  </r>
  <r>
    <s v="East"/>
    <x v="0"/>
    <d v="2017-04-12T00:00:00"/>
    <x v="36"/>
    <n v="20119778"/>
    <s v="Female"/>
    <x v="1"/>
    <s v="Ewallet"/>
    <x v="1"/>
    <n v="6.5"/>
    <n v="89.19"/>
    <n v="9"/>
    <n v="39.9"/>
    <n v="159.06979999999999"/>
    <n v="547.91999999999996"/>
    <n v="3.8764546470000001"/>
    <n v="55.92"/>
  </r>
  <r>
    <s v="south"/>
    <x v="1"/>
    <d v="2018-04-03T00:00:00"/>
    <x v="37"/>
    <n v="300434647"/>
    <s v="Female"/>
    <x v="1"/>
    <s v="Ewallet"/>
    <x v="0"/>
    <n v="9.4"/>
    <n v="97.42"/>
    <n v="7"/>
    <n v="15.9"/>
    <n v="139.63239999999999"/>
    <n v="439.36"/>
    <n v="3.8764546470000001"/>
    <n v="63.881"/>
  </r>
  <r>
    <s v="West"/>
    <x v="2"/>
    <d v="2017-09-13T00:00:00"/>
    <x v="38"/>
    <n v="400056196"/>
    <s v="Male"/>
    <x v="0"/>
    <s v="Cash"/>
    <x v="2"/>
    <n v="6.4"/>
    <n v="49"/>
    <n v="8"/>
    <n v="52.2"/>
    <n v="112.48520000000001"/>
    <n v="240.96"/>
    <n v="3.8764546470000001"/>
    <n v="60.203000000000003"/>
  </r>
  <r>
    <s v="West"/>
    <x v="2"/>
    <d v="2018-04-16T00:00:00"/>
    <x v="39"/>
    <n v="105090917"/>
    <s v="Female"/>
    <x v="0"/>
    <s v="Ewallet"/>
    <x v="2"/>
    <n v="2"/>
    <n v="62.22"/>
    <n v="1"/>
    <n v="27.24"/>
    <n v="158.6123"/>
    <n v="86.72"/>
    <n v="3.8764546470000001"/>
    <n v="32.095999999999997"/>
  </r>
  <r>
    <s v="south"/>
    <x v="1"/>
    <d v="2018-05-15T00:00:00"/>
    <x v="40"/>
    <n v="912444228"/>
    <s v="Male"/>
    <x v="0"/>
    <s v="Cash"/>
    <x v="2"/>
    <n v="8.9"/>
    <n v="11.73"/>
    <n v="2"/>
    <n v="89.82"/>
    <n v="185.5282"/>
    <n v="112.22"/>
    <n v="3.8764546470000001"/>
    <n v="99.51"/>
  </r>
  <r>
    <s v="West"/>
    <x v="2"/>
    <d v="2017-10-20T00:00:00"/>
    <x v="41"/>
    <n v="12586229"/>
    <s v="Female"/>
    <x v="0"/>
    <s v="Cash"/>
    <x v="3"/>
    <n v="2"/>
    <n v="16.79"/>
    <n v="6"/>
    <n v="38.03"/>
    <n v="106.426"/>
    <n v="414.72"/>
    <n v="3.8764546470000001"/>
    <n v="13.72"/>
  </r>
  <r>
    <s v="south"/>
    <x v="1"/>
    <d v="2018-07-05T00:00:00"/>
    <x v="42"/>
    <n v="817440163"/>
    <s v="Female"/>
    <x v="0"/>
    <s v="Cash"/>
    <x v="4"/>
    <n v="2"/>
    <n v="68.59"/>
    <n v="8"/>
    <n v="62.45"/>
    <n v="177.90870000000001"/>
    <n v="789.6"/>
    <n v="3.8764546470000001"/>
    <n v="59.92"/>
  </r>
  <r>
    <s v="south"/>
    <x v="1"/>
    <d v="2018-04-02T00:00:00"/>
    <x v="43"/>
    <n v="786511886"/>
    <s v="Male"/>
    <x v="0"/>
    <s v="Cash"/>
    <x v="0"/>
    <n v="8"/>
    <n v="13.52"/>
    <n v="2"/>
    <n v="49.26"/>
    <n v="146.0977"/>
    <n v="30.74"/>
    <n v="3.8764546470000001"/>
    <n v="54.56"/>
  </r>
  <r>
    <s v="West"/>
    <x v="2"/>
    <d v="2017-09-15T00:00:00"/>
    <x v="44"/>
    <n v="970208343"/>
    <s v="Female"/>
    <x v="0"/>
    <s v="Cash"/>
    <x v="1"/>
    <n v="2"/>
    <n v="74.489999999999995"/>
    <n v="4"/>
    <n v="23.06"/>
    <n v="186.1969"/>
    <n v="375.84"/>
    <n v="3.8764546470000001"/>
    <n v="60.19"/>
  </r>
  <r>
    <s v="West"/>
    <x v="2"/>
    <d v="2018-05-28T00:00:00"/>
    <x v="45"/>
    <n v="104853289"/>
    <s v="Male"/>
    <x v="0"/>
    <s v="Credit card"/>
    <x v="0"/>
    <n v="5"/>
    <n v="71.25"/>
    <n v="9"/>
    <n v="59.9"/>
    <n v="155.98349999999999"/>
    <n v="510.21"/>
    <n v="3.8764546470000001"/>
    <n v="53.286999999999999"/>
  </r>
  <r>
    <s v="West"/>
    <x v="2"/>
    <d v="2018-08-30T00:00:00"/>
    <x v="22"/>
    <n v="363708722"/>
    <s v="Female"/>
    <x v="0"/>
    <s v="Ewallet"/>
    <x v="4"/>
    <n v="2"/>
    <n v="54.01"/>
    <n v="9"/>
    <n v="56.9"/>
    <n v="162.92740000000001"/>
    <n v="180.09"/>
    <n v="3.8764546470000001"/>
    <n v="47.84"/>
  </r>
  <r>
    <s v="West"/>
    <x v="2"/>
    <d v="2017-07-17T00:00:00"/>
    <x v="46"/>
    <n v="624197075"/>
    <s v="Male"/>
    <x v="0"/>
    <s v="Credit card"/>
    <x v="1"/>
    <n v="9.1999999999999993"/>
    <n v="72.12"/>
    <n v="6"/>
    <n v="68.900000000000006"/>
    <n v="166.97460000000001"/>
    <n v="113.58"/>
    <n v="3.8764546470000001"/>
    <n v="77.677000000000007"/>
  </r>
  <r>
    <s v="south"/>
    <x v="1"/>
    <d v="2018-08-19T00:00:00"/>
    <x v="47"/>
    <n v="915861944"/>
    <s v="Female"/>
    <x v="0"/>
    <s v="Ewallet"/>
    <x v="5"/>
    <n v="7.9"/>
    <n v="59.58"/>
    <n v="10"/>
    <n v="56.73"/>
    <n v="159.9666"/>
    <n v="826.3"/>
    <n v="3.8764546470000001"/>
    <n v="52.116999999999997"/>
  </r>
  <r>
    <s v="south"/>
    <x v="1"/>
    <d v="2017-06-09T00:00:00"/>
    <x v="48"/>
    <n v="858012684"/>
    <s v="Female"/>
    <x v="0"/>
    <s v="Cash"/>
    <x v="4"/>
    <n v="6.7"/>
    <n v="66.900000000000006"/>
    <n v="7"/>
    <n v="10.68"/>
    <n v="170.0883"/>
    <n v="639.79999999999995"/>
    <n v="3.8764546470000001"/>
    <n v="44.323"/>
  </r>
  <r>
    <s v="East"/>
    <x v="0"/>
    <d v="2017-10-30T00:00:00"/>
    <x v="49"/>
    <n v="978725710"/>
    <s v="Female"/>
    <x v="0"/>
    <s v="Cash"/>
    <x v="4"/>
    <n v="3.2"/>
    <n v="44.52"/>
    <n v="5"/>
    <n v="48.24"/>
    <n v="184.56319999999999"/>
    <n v="222.95"/>
    <n v="3.8764546470000001"/>
    <n v="46.7"/>
  </r>
  <r>
    <s v="West"/>
    <x v="2"/>
    <d v="2017-05-28T00:00:00"/>
    <x v="25"/>
    <n v="910972685"/>
    <s v="Female"/>
    <x v="0"/>
    <s v="Ewallet"/>
    <x v="5"/>
    <n v="7.9"/>
    <n v="67.95"/>
    <n v="4"/>
    <n v="99.48"/>
    <n v="113.79170000000001"/>
    <n v="71.48"/>
    <n v="3.8764546470000001"/>
    <n v="84.962000000000003"/>
  </r>
  <r>
    <s v="south"/>
    <x v="1"/>
    <d v="2017-09-23T00:00:00"/>
    <x v="50"/>
    <n v="202617226"/>
    <s v="Female"/>
    <x v="0"/>
    <s v="Credit card"/>
    <x v="5"/>
    <n v="2.1"/>
    <n v="96.58"/>
    <n v="1"/>
    <n v="75.099999999999994"/>
    <n v="149.8306"/>
    <n v="15.43"/>
    <n v="3.8764546470000001"/>
    <n v="75.503"/>
  </r>
  <r>
    <s v="West"/>
    <x v="2"/>
    <d v="2018-02-18T00:00:00"/>
    <x v="20"/>
    <n v="513005679"/>
    <s v="Female"/>
    <x v="0"/>
    <s v="Ewallet"/>
    <x v="2"/>
    <n v="6.9"/>
    <n v="13"/>
    <n v="2"/>
    <n v="50.9"/>
    <n v="148.31200000000001"/>
    <n v="32.32"/>
    <n v="3.8764546470000001"/>
    <n v="59.191000000000003"/>
  </r>
  <r>
    <s v="south"/>
    <x v="1"/>
    <d v="2018-02-01T00:00:00"/>
    <x v="51"/>
    <n v="45398170"/>
    <s v="Female"/>
    <x v="1"/>
    <s v="Cash"/>
    <x v="1"/>
    <n v="2"/>
    <n v="73.59"/>
    <n v="8"/>
    <n v="89.6"/>
    <n v="136.15119999999999"/>
    <n v="687.84"/>
    <n v="3.8764546470000001"/>
    <n v="58.137"/>
  </r>
  <r>
    <s v="East"/>
    <x v="0"/>
    <d v="2018-04-23T00:00:00"/>
    <x v="13"/>
    <n v="537765926"/>
    <s v="Male"/>
    <x v="0"/>
    <s v="Cash"/>
    <x v="2"/>
    <n v="3.4"/>
    <n v="91.14"/>
    <n v="2"/>
    <n v="86.6"/>
    <n v="143.5949"/>
    <n v="88.68"/>
    <n v="3.8764546470000001"/>
    <n v="27.501000000000001"/>
  </r>
  <r>
    <s v="East"/>
    <x v="0"/>
    <d v="2017-12-27T00:00:00"/>
    <x v="41"/>
    <n v="379525795"/>
    <s v="Male"/>
    <x v="1"/>
    <s v="Ewallet"/>
    <x v="0"/>
    <n v="6.5"/>
    <n v="33.69"/>
    <n v="8"/>
    <n v="68.44"/>
    <n v="133.22219999999999"/>
    <n v="716.8"/>
    <n v="3.8764546470000001"/>
    <n v="41.41"/>
  </r>
  <r>
    <s v="East"/>
    <x v="0"/>
    <d v="2018-10-08T00:00:00"/>
    <x v="52"/>
    <n v="540781271"/>
    <s v="Female"/>
    <x v="0"/>
    <s v="Cash"/>
    <x v="2"/>
    <n v="2.5"/>
    <n v="51.21"/>
    <n v="10"/>
    <n v="10.24"/>
    <n v="180.78399999999999"/>
    <n v="723.5"/>
    <n v="3.8764546470000001"/>
    <n v="22.356999999999999"/>
  </r>
  <r>
    <s v="south"/>
    <x v="1"/>
    <d v="2017-05-20T00:00:00"/>
    <x v="53"/>
    <n v="955599401"/>
    <s v="Male"/>
    <x v="1"/>
    <s v="Cash"/>
    <x v="1"/>
    <n v="2"/>
    <n v="48.26"/>
    <n v="6"/>
    <n v="92.9"/>
    <n v="129.09180000000001"/>
    <n v="183.66"/>
    <n v="3.8764546470000001"/>
    <n v="31.984000000000002"/>
  </r>
  <r>
    <s v="south"/>
    <x v="1"/>
    <d v="2018-09-15T00:00:00"/>
    <x v="54"/>
    <n v="333111179"/>
    <s v="Female"/>
    <x v="0"/>
    <s v="Credit card"/>
    <x v="3"/>
    <n v="8"/>
    <n v="93.47"/>
    <n v="3"/>
    <n v="74.400000000000006"/>
    <n v="150.79669999999999"/>
    <n v="74.22"/>
    <n v="3.8764546470000001"/>
    <n v="84.462999999999994"/>
  </r>
  <r>
    <s v="south"/>
    <x v="1"/>
    <d v="2017-12-05T00:00:00"/>
    <x v="55"/>
    <n v="86513532"/>
    <s v="Male"/>
    <x v="1"/>
    <s v="Ewallet"/>
    <x v="2"/>
    <n v="5"/>
    <n v="26.19"/>
    <n v="6"/>
    <n v="82.5"/>
    <n v="157.1764"/>
    <n v="334.38"/>
    <n v="3.8764546470000001"/>
    <n v="84.701999999999998"/>
  </r>
  <r>
    <s v="West"/>
    <x v="2"/>
    <d v="2018-08-25T00:00:00"/>
    <x v="56"/>
    <n v="709570151"/>
    <s v="Female"/>
    <x v="0"/>
    <s v="Ewallet"/>
    <x v="3"/>
    <n v="7.8"/>
    <n v="47.66"/>
    <n v="9"/>
    <n v="35.200000000000003"/>
    <n v="140.1095"/>
    <n v="495.63"/>
    <n v="3.8764546470000001"/>
    <n v="65.150000000000006"/>
  </r>
  <r>
    <s v="East"/>
    <x v="0"/>
    <d v="2017-08-18T00:00:00"/>
    <x v="57"/>
    <n v="779366718"/>
    <s v="Male"/>
    <x v="0"/>
    <s v="Credit card"/>
    <x v="3"/>
    <n v="7"/>
    <n v="63.17"/>
    <n v="10"/>
    <n v="88.66"/>
    <n v="115.2321"/>
    <n v="158.1"/>
    <n v="3.8764546470000001"/>
    <n v="40.299999999999997"/>
  </r>
  <r>
    <s v="West"/>
    <x v="2"/>
    <d v="2017-11-28T00:00:00"/>
    <x v="58"/>
    <n v="440748265"/>
    <s v="Female"/>
    <x v="0"/>
    <s v="Cash"/>
    <x v="0"/>
    <n v="8.9"/>
    <n v="75.540000000000006"/>
    <n v="4"/>
    <n v="23.67"/>
    <n v="108.9449"/>
    <n v="302.95999999999998"/>
    <n v="3.8764546470000001"/>
    <n v="25.63"/>
  </r>
  <r>
    <s v="East"/>
    <x v="0"/>
    <d v="2018-08-27T00:00:00"/>
    <x v="59"/>
    <n v="347947951"/>
    <s v="Female"/>
    <x v="0"/>
    <s v="Cash"/>
    <x v="0"/>
    <n v="2.2000000000000002"/>
    <n v="70.430000000000007"/>
    <n v="10"/>
    <n v="94.35"/>
    <n v="137.7191"/>
    <n v="158.69999999999999"/>
    <n v="3.8764546470000001"/>
    <n v="67.2"/>
  </r>
  <r>
    <s v="south"/>
    <x v="1"/>
    <d v="2017-04-25T00:00:00"/>
    <x v="60"/>
    <n v="599468793"/>
    <s v="Female"/>
    <x v="1"/>
    <s v="Ewallet"/>
    <x v="0"/>
    <n v="5.7"/>
    <n v="22.61"/>
    <n v="2"/>
    <n v="66.16"/>
    <n v="184.7593"/>
    <n v="66.94"/>
    <n v="3.8764546470000001"/>
    <n v="80.638999999999996"/>
  </r>
  <r>
    <s v="West"/>
    <x v="2"/>
    <d v="2017-04-01T00:00:00"/>
    <x v="61"/>
    <n v="675452339"/>
    <s v="Female"/>
    <x v="0"/>
    <s v="Ewallet"/>
    <x v="5"/>
    <n v="3.2"/>
    <n v="62.6"/>
    <n v="6"/>
    <n v="31.18"/>
    <n v="167.4752"/>
    <n v="585.66"/>
    <n v="3.8764546470000001"/>
    <n v="31.76"/>
  </r>
  <r>
    <s v="East"/>
    <x v="0"/>
    <d v="2017-05-14T00:00:00"/>
    <x v="62"/>
    <n v="226833063"/>
    <s v="Male"/>
    <x v="1"/>
    <s v="Cash"/>
    <x v="3"/>
    <n v="1.3"/>
    <n v="41.65"/>
    <n v="10"/>
    <n v="86.94"/>
    <n v="117.6182"/>
    <n v="787.7"/>
    <n v="3.8764546470000001"/>
    <n v="45.688000000000002"/>
  </r>
  <r>
    <s v="East"/>
    <x v="0"/>
    <d v="2018-02-02T00:00:00"/>
    <x v="63"/>
    <n v="895417903"/>
    <s v="Female"/>
    <x v="0"/>
    <s v="Cash"/>
    <x v="0"/>
    <n v="6.1"/>
    <n v="74.87"/>
    <n v="1"/>
    <n v="37.049999999999997"/>
    <n v="159.7612"/>
    <n v="18.329999999999998"/>
    <n v="3.8764546470000001"/>
    <n v="50"/>
  </r>
  <r>
    <s v="south"/>
    <x v="1"/>
    <d v="2017-12-18T00:00:00"/>
    <x v="64"/>
    <n v="732088624"/>
    <s v="Male"/>
    <x v="1"/>
    <s v="Credit card"/>
    <x v="4"/>
    <n v="6"/>
    <n v="94.17"/>
    <n v="10"/>
    <n v="47"/>
    <n v="125.1067"/>
    <n v="894.8"/>
    <n v="3.8764546470000001"/>
    <n v="67.2"/>
  </r>
  <r>
    <s v="south"/>
    <x v="1"/>
    <d v="2018-01-22T00:00:00"/>
    <x v="65"/>
    <n v="615932179"/>
    <s v="Male"/>
    <x v="1"/>
    <s v="Cash"/>
    <x v="5"/>
    <n v="9.8000000000000007"/>
    <n v="17.18"/>
    <n v="10"/>
    <n v="98.14"/>
    <n v="157.8115"/>
    <n v="621.20000000000005"/>
    <n v="3.8764546470000001"/>
    <n v="61.89"/>
  </r>
  <r>
    <s v="West"/>
    <x v="2"/>
    <d v="2018-10-03T00:00:00"/>
    <x v="66"/>
    <n v="335420390"/>
    <s v="Female"/>
    <x v="0"/>
    <s v="Ewallet"/>
    <x v="4"/>
    <n v="2"/>
    <n v="76.52"/>
    <n v="3"/>
    <n v="71.67"/>
    <n v="121.0557"/>
    <n v="145.56"/>
    <n v="3.8764546470000001"/>
    <n v="89.88"/>
  </r>
  <r>
    <s v="south"/>
    <x v="1"/>
    <d v="2017-09-09T00:00:00"/>
    <x v="22"/>
    <n v="287195843"/>
    <s v="Female"/>
    <x v="1"/>
    <s v="Cash"/>
    <x v="1"/>
    <n v="4.5999999999999996"/>
    <n v="58.5"/>
    <n v="6"/>
    <n v="93.11"/>
    <n v="165.1121"/>
    <n v="455.46"/>
    <n v="3.8764546470000001"/>
    <n v="68.959999999999994"/>
  </r>
  <r>
    <s v="East"/>
    <x v="0"/>
    <d v="2017-11-14T00:00:00"/>
    <x v="67"/>
    <n v="170085199"/>
    <s v="Male"/>
    <x v="1"/>
    <s v="Ewallet"/>
    <x v="2"/>
    <n v="7.9"/>
    <n v="22.26"/>
    <n v="9"/>
    <n v="36.1"/>
    <n v="180.197"/>
    <n v="672.03"/>
    <n v="3.8764546470000001"/>
    <n v="34.06"/>
  </r>
  <r>
    <s v="south"/>
    <x v="1"/>
    <d v="2018-04-05T00:00:00"/>
    <x v="0"/>
    <n v="427650955"/>
    <s v="Female"/>
    <x v="1"/>
    <s v="Credit card"/>
    <x v="1"/>
    <n v="2.2000000000000002"/>
    <n v="19.350000000000001"/>
    <n v="10"/>
    <n v="19.53"/>
    <n v="183.96379999999999"/>
    <n v="416.5"/>
    <n v="3.8764546470000001"/>
    <n v="75.44"/>
  </r>
  <r>
    <s v="south"/>
    <x v="1"/>
    <d v="2017-08-10T00:00:00"/>
    <x v="47"/>
    <n v="154574646"/>
    <s v="Male"/>
    <x v="0"/>
    <s v="Credit card"/>
    <x v="5"/>
    <n v="1.2"/>
    <n v="59.89"/>
    <n v="9"/>
    <n v="50.64"/>
    <n v="173.48869999999999"/>
    <n v="441.36"/>
    <n v="3.8764546470000001"/>
    <n v="78.92"/>
  </r>
  <r>
    <s v="East"/>
    <x v="0"/>
    <d v="2017-08-16T00:00:00"/>
    <x v="68"/>
    <n v="53095069"/>
    <s v="Female"/>
    <x v="0"/>
    <s v="Credit card"/>
    <x v="5"/>
    <n v="5"/>
    <n v="71.69"/>
    <n v="9"/>
    <n v="94.4"/>
    <n v="121.3931"/>
    <n v="180.09"/>
    <n v="3.8764546470000001"/>
    <n v="42.000999999999998"/>
  </r>
  <r>
    <s v="south"/>
    <x v="1"/>
    <d v="2017-04-23T00:00:00"/>
    <x v="69"/>
    <n v="87150320"/>
    <s v="Female"/>
    <x v="0"/>
    <s v="Ewallet"/>
    <x v="4"/>
    <n v="5.7"/>
    <n v="15.67"/>
    <n v="10"/>
    <n v="69.739999999999995"/>
    <n v="162.8897"/>
    <n v="783.1"/>
    <n v="3.8764546470000001"/>
    <n v="62.58"/>
  </r>
  <r>
    <s v="south"/>
    <x v="1"/>
    <d v="2018-06-18T00:00:00"/>
    <x v="65"/>
    <n v="47178388"/>
    <s v="Female"/>
    <x v="0"/>
    <s v="Cash"/>
    <x v="0"/>
    <n v="7.5"/>
    <n v="78.89"/>
    <n v="5"/>
    <n v="15.6"/>
    <n v="147.52860000000001"/>
    <n v="101.9"/>
    <n v="3.8764546470000001"/>
    <n v="97.805000000000007"/>
  </r>
  <r>
    <s v="south"/>
    <x v="1"/>
    <d v="2018-11-18T00:00:00"/>
    <x v="16"/>
    <n v="548972668"/>
    <s v="Female"/>
    <x v="0"/>
    <s v="Credit card"/>
    <x v="0"/>
    <n v="4.4000000000000004"/>
    <n v="53.28"/>
    <n v="6"/>
    <n v="82.86"/>
    <n v="119.4041"/>
    <n v="595.14"/>
    <n v="3.8764546470000001"/>
    <n v="17.315000000000001"/>
  </r>
  <r>
    <s v="West"/>
    <x v="2"/>
    <d v="2018-11-30T00:00:00"/>
    <x v="70"/>
    <n v="695211591"/>
    <s v="Female"/>
    <x v="0"/>
    <s v="Ewallet"/>
    <x v="4"/>
    <n v="4"/>
    <n v="50.96"/>
    <n v="3"/>
    <n v="65.739999999999995"/>
    <n v="124.9208"/>
    <n v="290.04000000000002"/>
    <n v="3.8764546470000001"/>
    <n v="38.24"/>
  </r>
  <r>
    <s v="south"/>
    <x v="1"/>
    <d v="2017-03-01T00:00:00"/>
    <x v="71"/>
    <n v="841643720"/>
    <s v="Male"/>
    <x v="1"/>
    <s v="Ewallet"/>
    <x v="4"/>
    <n v="4"/>
    <n v="85.61"/>
    <n v="8"/>
    <n v="56.9"/>
    <n v="161.26439999999999"/>
    <n v="154"/>
    <n v="3.8764546470000001"/>
    <n v="65.459999999999994"/>
  </r>
  <r>
    <s v="south"/>
    <x v="1"/>
    <d v="2017-04-17T00:00:00"/>
    <x v="72"/>
    <n v="436843482"/>
    <s v="Female"/>
    <x v="0"/>
    <s v="Credit card"/>
    <x v="4"/>
    <n v="5"/>
    <n v="63.72"/>
    <n v="4"/>
    <n v="81.849999999999994"/>
    <n v="141.80690000000001"/>
    <n v="321.44"/>
    <n v="3.8764546470000001"/>
    <n v="33.590000000000003"/>
  </r>
  <r>
    <s v="south"/>
    <x v="1"/>
    <d v="2018-05-25T00:00:00"/>
    <x v="65"/>
    <n v="795320215"/>
    <s v="Male"/>
    <x v="0"/>
    <s v="Cash"/>
    <x v="3"/>
    <n v="8"/>
    <n v="23.35"/>
    <n v="5"/>
    <n v="74.5"/>
    <n v="107.38809999999999"/>
    <n v="244.55"/>
    <n v="3.8764546470000001"/>
    <n v="28.63"/>
  </r>
  <r>
    <s v="south"/>
    <x v="1"/>
    <d v="2017-09-05T00:00:00"/>
    <x v="55"/>
    <n v="655515556"/>
    <s v="Female"/>
    <x v="1"/>
    <s v="Ewallet"/>
    <x v="3"/>
    <n v="2"/>
    <n v="30.87"/>
    <n v="7"/>
    <n v="54.8"/>
    <n v="166.02850000000001"/>
    <n v="581.41999999999996"/>
    <n v="3.8764546470000001"/>
    <n v="19.658999999999999"/>
  </r>
  <r>
    <s v="south"/>
    <x v="1"/>
    <d v="2018-05-18T00:00:00"/>
    <x v="73"/>
    <n v="300826810"/>
    <s v="Male"/>
    <x v="1"/>
    <s v="Cash"/>
    <x v="5"/>
    <n v="2.1"/>
    <n v="11.24"/>
    <n v="5"/>
    <n v="43.57"/>
    <n v="106.3719"/>
    <n v="382.6"/>
    <n v="3.8764546470000001"/>
    <n v="64.885999999999996"/>
  </r>
  <r>
    <s v="East"/>
    <x v="0"/>
    <d v="2017-03-26T00:00:00"/>
    <x v="74"/>
    <n v="402902894"/>
    <s v="Male"/>
    <x v="0"/>
    <s v="Credit card"/>
    <x v="4"/>
    <n v="9.6"/>
    <n v="23.4"/>
    <n v="7"/>
    <n v="89.24"/>
    <n v="144.83320000000001"/>
    <n v="345.66"/>
    <n v="3.8764546470000001"/>
    <n v="17.184000000000001"/>
  </r>
  <r>
    <s v="East"/>
    <x v="0"/>
    <d v="2018-06-22T00:00:00"/>
    <x v="75"/>
    <n v="567333402"/>
    <s v="Male"/>
    <x v="1"/>
    <s v="Cash"/>
    <x v="3"/>
    <n v="6.5"/>
    <n v="44.7"/>
    <n v="1"/>
    <n v="29.42"/>
    <n v="128.33250000000001"/>
    <n v="42.47"/>
    <n v="3.8764546470000001"/>
    <n v="63.69"/>
  </r>
  <r>
    <s v="West"/>
    <x v="2"/>
    <d v="2017-04-21T00:00:00"/>
    <x v="45"/>
    <n v="111044874"/>
    <s v="Female"/>
    <x v="1"/>
    <s v="Cash"/>
    <x v="0"/>
    <n v="1.8"/>
    <n v="35.79"/>
    <n v="6"/>
    <n v="11"/>
    <n v="152.2893"/>
    <n v="461.94"/>
    <n v="3.8764546470000001"/>
    <n v="37.091000000000001"/>
  </r>
  <r>
    <s v="south"/>
    <x v="1"/>
    <d v="2017-08-23T00:00:00"/>
    <x v="76"/>
    <n v="582646700"/>
    <s v="Female"/>
    <x v="0"/>
    <s v="Cash"/>
    <x v="2"/>
    <n v="6.6"/>
    <n v="15.88"/>
    <n v="4"/>
    <n v="67.5"/>
    <n v="109.883"/>
    <n v="189.52"/>
    <n v="3.8764546470000001"/>
    <n v="26.184999999999999"/>
  </r>
  <r>
    <s v="south"/>
    <x v="1"/>
    <d v="2018-01-30T00:00:00"/>
    <x v="77"/>
    <n v="188579924"/>
    <s v="Female"/>
    <x v="1"/>
    <s v="Ewallet"/>
    <x v="3"/>
    <n v="2.4"/>
    <n v="76.900000000000006"/>
    <n v="10"/>
    <n v="84.84"/>
    <n v="149.19120000000001"/>
    <n v="448.6"/>
    <n v="3.8764546470000001"/>
    <n v="78.05"/>
  </r>
  <r>
    <s v="East"/>
    <x v="0"/>
    <d v="2017-03-01T00:00:00"/>
    <x v="78"/>
    <n v="862294341"/>
    <s v="Female"/>
    <x v="0"/>
    <s v="Ewallet"/>
    <x v="3"/>
    <n v="2"/>
    <n v="94.12"/>
    <n v="7"/>
    <n v="89.65"/>
    <n v="135.18790000000001"/>
    <n v="153.86000000000001"/>
    <n v="3.8764546470000001"/>
    <n v="82.14"/>
  </r>
  <r>
    <s v="West"/>
    <x v="2"/>
    <d v="2017-09-08T00:00:00"/>
    <x v="79"/>
    <n v="829942766"/>
    <s v="Male"/>
    <x v="0"/>
    <s v="Credit card"/>
    <x v="0"/>
    <n v="2"/>
    <n v="44.43"/>
    <n v="9"/>
    <n v="67.239999999999995"/>
    <n v="157.30840000000001"/>
    <n v="579.24"/>
    <n v="3.8764546470000001"/>
    <n v="88.94"/>
  </r>
  <r>
    <s v="south"/>
    <x v="1"/>
    <d v="2017-03-31T00:00:00"/>
    <x v="80"/>
    <n v="732777161"/>
    <s v="Male"/>
    <x v="1"/>
    <s v="Credit card"/>
    <x v="0"/>
    <n v="2"/>
    <n v="21.55"/>
    <n v="1"/>
    <n v="82.58"/>
    <n v="174.2825"/>
    <n v="89.75"/>
    <n v="3.8764546470000001"/>
    <n v="38.770000000000003"/>
  </r>
  <r>
    <s v="East"/>
    <x v="0"/>
    <d v="2017-04-15T00:00:00"/>
    <x v="81"/>
    <n v="245207108"/>
    <s v="Male"/>
    <x v="1"/>
    <s v="Ewallet"/>
    <x v="1"/>
    <n v="8"/>
    <n v="66.209999999999994"/>
    <n v="1"/>
    <n v="35.75"/>
    <n v="117.1014"/>
    <n v="97.16"/>
    <n v="3.8764546470000001"/>
    <n v="42.13"/>
  </r>
  <r>
    <s v="West"/>
    <x v="2"/>
    <d v="2017-08-16T00:00:00"/>
    <x v="55"/>
    <n v="339763763"/>
    <s v="Male"/>
    <x v="1"/>
    <s v="Ewallet"/>
    <x v="0"/>
    <n v="5.6"/>
    <n v="24.23"/>
    <n v="10"/>
    <n v="39.47"/>
    <n v="136.31469999999999"/>
    <n v="878.7"/>
    <n v="3.8764546470000001"/>
    <n v="73.16"/>
  </r>
  <r>
    <s v="southout"/>
    <x v="1"/>
    <d v="2017-03-07T00:00:00"/>
    <x v="23"/>
    <n v="917821752"/>
    <s v="Female"/>
    <x v="1"/>
    <s v="Cash"/>
    <x v="1"/>
    <n v="6.5"/>
    <n v="33.69"/>
    <n v="6"/>
    <n v="17.260000000000002"/>
    <n v="145.25299999999999"/>
    <n v="74.7"/>
    <n v="3.8764546470000001"/>
    <n v="52.04"/>
  </r>
  <r>
    <s v="East"/>
    <x v="0"/>
    <d v="2018-10-27T00:00:00"/>
    <x v="82"/>
    <n v="844905806"/>
    <s v="Male"/>
    <x v="1"/>
    <s v="Ewallet"/>
    <x v="4"/>
    <n v="8"/>
    <n v="20.36"/>
    <n v="3"/>
    <n v="35.29"/>
    <n v="185.75360000000001"/>
    <n v="158.25"/>
    <n v="3.8764546470000001"/>
    <n v="40.14"/>
  </r>
  <r>
    <s v="West"/>
    <x v="2"/>
    <d v="2018-05-14T00:00:00"/>
    <x v="67"/>
    <n v="594719610"/>
    <s v="Male"/>
    <x v="1"/>
    <s v="Cash"/>
    <x v="2"/>
    <n v="4.7"/>
    <n v="39.549999999999997"/>
    <n v="6"/>
    <n v="32.67"/>
    <n v="117.60769999999999"/>
    <n v="496.2"/>
    <n v="3.8764546470000001"/>
    <n v="44.79"/>
  </r>
  <r>
    <s v="south"/>
    <x v="1"/>
    <d v="2017-09-18T00:00:00"/>
    <x v="83"/>
    <n v="989285402"/>
    <s v="Male"/>
    <x v="0"/>
    <s v="Cash"/>
    <x v="5"/>
    <n v="3.2"/>
    <n v="61.74"/>
    <n v="1"/>
    <n v="13.25"/>
    <n v="184.7808"/>
    <n v="48.71"/>
    <n v="3.8764546470000001"/>
    <n v="35.14"/>
  </r>
  <r>
    <s v="south"/>
    <x v="1"/>
    <d v="2018-12-13T00:00:00"/>
    <x v="84"/>
    <n v="638751323"/>
    <s v="Male"/>
    <x v="1"/>
    <s v="Cash"/>
    <x v="5"/>
    <n v="5.6"/>
    <n v="69.27"/>
    <n v="9"/>
    <n v="69.709999999999994"/>
    <n v="175.88069999999999"/>
    <n v="706.95"/>
    <n v="3.8764546470000001"/>
    <n v="37.72"/>
  </r>
  <r>
    <s v="south"/>
    <x v="1"/>
    <d v="2017-04-15T00:00:00"/>
    <x v="69"/>
    <n v="727637134"/>
    <s v="Female"/>
    <x v="1"/>
    <s v="Cash"/>
    <x v="1"/>
    <n v="7.8"/>
    <n v="33.15"/>
    <n v="9"/>
    <n v="72.97"/>
    <n v="125.87139999999999"/>
    <n v="207.63"/>
    <n v="3.8764546470000001"/>
    <n v="42.12"/>
  </r>
  <r>
    <s v="East"/>
    <x v="0"/>
    <d v="2017-12-19T00:00:00"/>
    <x v="85"/>
    <n v="22724693"/>
    <s v="Male"/>
    <x v="1"/>
    <s v="Cash"/>
    <x v="4"/>
    <n v="7.8"/>
    <n v="20.66"/>
    <n v="6"/>
    <n v="16.95"/>
    <n v="102.8843"/>
    <n v="349.56"/>
    <n v="3.8764546470000001"/>
    <n v="25.311"/>
  </r>
  <r>
    <s v="West"/>
    <x v="2"/>
    <d v="2017-07-31T00:00:00"/>
    <x v="86"/>
    <n v="710135738"/>
    <s v="Male"/>
    <x v="1"/>
    <s v="Cash"/>
    <x v="0"/>
    <n v="5"/>
    <n v="23.52"/>
    <n v="7"/>
    <n v="40.1"/>
    <n v="179.20500000000001"/>
    <n v="212.45"/>
    <n v="3.8764546470000001"/>
    <n v="47.027000000000001"/>
  </r>
  <r>
    <s v="East"/>
    <x v="0"/>
    <d v="2018-12-29T00:00:00"/>
    <x v="87"/>
    <n v="786062143"/>
    <s v="Male"/>
    <x v="0"/>
    <s v="Ewallet"/>
    <x v="1"/>
    <n v="5.3"/>
    <n v="47.41"/>
    <n v="10"/>
    <n v="70"/>
    <n v="152.98920000000001"/>
    <n v="886.7"/>
    <n v="3.8764546470000001"/>
    <n v="69.59"/>
  </r>
  <r>
    <s v="south"/>
    <x v="1"/>
    <d v="2017-03-19T00:00:00"/>
    <x v="74"/>
    <n v="280671228"/>
    <s v="Male"/>
    <x v="1"/>
    <s v="Credit card"/>
    <x v="5"/>
    <n v="4.2"/>
    <n v="45.74"/>
    <n v="6"/>
    <n v="30.2"/>
    <n v="166.81309999999999"/>
    <n v="164.28"/>
    <n v="3.8764546470000001"/>
    <n v="63.59"/>
  </r>
  <r>
    <s v="East"/>
    <x v="0"/>
    <d v="2017-11-10T00:00:00"/>
    <x v="13"/>
    <n v="205788031"/>
    <s v="Male"/>
    <x v="1"/>
    <s v="Cash"/>
    <x v="3"/>
    <n v="9.9"/>
    <n v="65.23"/>
    <n v="6"/>
    <n v="41.03"/>
    <n v="123.15819999999999"/>
    <n v="372.78"/>
    <n v="3.8764546470000001"/>
    <n v="17.86"/>
  </r>
  <r>
    <s v="south"/>
    <x v="1"/>
    <d v="2018-06-06T00:00:00"/>
    <x v="88"/>
    <n v="667313660"/>
    <s v="Female"/>
    <x v="1"/>
    <s v="Cash"/>
    <x v="4"/>
    <n v="7.4"/>
    <n v="96.22"/>
    <n v="9"/>
    <n v="21.84"/>
    <n v="171.25069999999999"/>
    <n v="305.82"/>
    <n v="3.8764546470000001"/>
    <n v="56.29"/>
  </r>
  <r>
    <s v="south"/>
    <x v="1"/>
    <d v="2018-08-21T00:00:00"/>
    <x v="89"/>
    <n v="192420607"/>
    <s v="Male"/>
    <x v="0"/>
    <s v="Cash"/>
    <x v="1"/>
    <n v="8.4"/>
    <n v="51.37"/>
    <n v="10"/>
    <n v="36.6"/>
    <n v="156.91919999999999"/>
    <n v="819.7"/>
    <n v="3.8764546470000001"/>
    <n v="11.85"/>
  </r>
  <r>
    <s v="West"/>
    <x v="2"/>
    <d v="2018-02-22T00:00:00"/>
    <x v="90"/>
    <n v="774083647"/>
    <s v="Female"/>
    <x v="0"/>
    <s v="Ewallet"/>
    <x v="3"/>
    <n v="2.7"/>
    <n v="39.06"/>
    <n v="2"/>
    <n v="33.9"/>
    <n v="103.7657"/>
    <n v="32.979999999999997"/>
    <n v="3.8764546470000001"/>
    <n v="21.03"/>
  </r>
  <r>
    <s v="south"/>
    <x v="1"/>
    <d v="2018-06-05T00:00:00"/>
    <x v="25"/>
    <n v="49097827"/>
    <s v="Female"/>
    <x v="0"/>
    <s v="Credit card"/>
    <x v="0"/>
    <n v="7"/>
    <n v="37.9"/>
    <n v="3"/>
    <n v="40.18"/>
    <n v="117.67749999999999"/>
    <n v="294.63"/>
    <n v="3.8764546470000001"/>
    <n v="73.84"/>
  </r>
  <r>
    <s v="West"/>
    <x v="2"/>
    <d v="2017-04-09T00:00:00"/>
    <x v="91"/>
    <n v="155785424"/>
    <s v="Female"/>
    <x v="1"/>
    <s v="Cash"/>
    <x v="5"/>
    <n v="4"/>
    <n v="31.9"/>
    <n v="7"/>
    <n v="36.85"/>
    <n v="114.59699999999999"/>
    <n v="509.88"/>
    <n v="3.8764546470000001"/>
    <n v="32.159999999999997"/>
  </r>
  <r>
    <s v="East"/>
    <x v="0"/>
    <d v="2018-11-18T00:00:00"/>
    <x v="92"/>
    <n v="157291761"/>
    <s v="Male"/>
    <x v="0"/>
    <s v="Ewallet"/>
    <x v="2"/>
    <n v="7.2"/>
    <n v="99.98"/>
    <n v="9"/>
    <n v="48.59"/>
    <n v="181.5384"/>
    <n v="522.63"/>
    <n v="3.8764546470000001"/>
    <n v="35.64"/>
  </r>
  <r>
    <s v="south"/>
    <x v="1"/>
    <d v="2018-08-16T00:00:00"/>
    <x v="69"/>
    <n v="527585707"/>
    <s v="Female"/>
    <x v="0"/>
    <s v="Credit card"/>
    <x v="2"/>
    <n v="4.5"/>
    <n v="58.46"/>
    <n v="9"/>
    <n v="31.31"/>
    <n v="131.285"/>
    <n v="727.11"/>
    <n v="3.8764546470000001"/>
    <n v="13.92"/>
  </r>
  <r>
    <s v="south"/>
    <x v="1"/>
    <d v="2018-04-09T00:00:00"/>
    <x v="93"/>
    <n v="963675757"/>
    <s v="Female"/>
    <x v="1"/>
    <s v="Credit card"/>
    <x v="5"/>
    <n v="8.1999999999999993"/>
    <n v="35.26"/>
    <n v="3"/>
    <n v="25.8"/>
    <n v="107.3077"/>
    <n v="81.06"/>
    <n v="3.8764546470000001"/>
    <n v="73.44"/>
  </r>
  <r>
    <s v="West"/>
    <x v="2"/>
    <d v="2018-10-13T00:00:00"/>
    <x v="94"/>
    <n v="832333022"/>
    <s v="Male"/>
    <x v="0"/>
    <s v="Ewallet"/>
    <x v="5"/>
    <n v="7.9"/>
    <n v="81.14"/>
    <n v="5"/>
    <n v="61.8"/>
    <n v="157.55860000000001"/>
    <n v="109.7"/>
    <n v="3.8764546470000001"/>
    <n v="30.97"/>
  </r>
  <r>
    <s v="West"/>
    <x v="2"/>
    <d v="2017-06-25T00:00:00"/>
    <x v="95"/>
    <n v="813945049"/>
    <s v="Male"/>
    <x v="0"/>
    <s v="Ewallet"/>
    <x v="5"/>
    <n v="6"/>
    <n v="69.95"/>
    <n v="1"/>
    <n v="43.6"/>
    <n v="106.1968"/>
    <n v="51.36"/>
    <n v="3.8764546470000001"/>
    <n v="34.091000000000001"/>
  </r>
  <r>
    <s v="East"/>
    <x v="0"/>
    <d v="2018-06-18T00:00:00"/>
    <x v="26"/>
    <n v="923379162"/>
    <s v="Female"/>
    <x v="1"/>
    <s v="Ewallet"/>
    <x v="4"/>
    <n v="7"/>
    <n v="40.6"/>
    <n v="10"/>
    <n v="39.64"/>
    <n v="158.42830000000001"/>
    <n v="109.6"/>
    <n v="3.8764546470000001"/>
    <n v="42.115000000000002"/>
  </r>
  <r>
    <s v="West"/>
    <x v="2"/>
    <d v="2017-12-18T00:00:00"/>
    <x v="77"/>
    <n v="567003298"/>
    <s v="Male"/>
    <x v="1"/>
    <s v="Ewallet"/>
    <x v="2"/>
    <n v="3"/>
    <n v="75.22"/>
    <n v="2"/>
    <n v="69.12"/>
    <n v="180.32560000000001"/>
    <n v="106.88"/>
    <n v="3.8764546470000001"/>
    <n v="93.81"/>
  </r>
  <r>
    <s v="East"/>
    <x v="0"/>
    <d v="2018-11-28T00:00:00"/>
    <x v="92"/>
    <n v="447798455"/>
    <s v="Female"/>
    <x v="1"/>
    <s v="Credit card"/>
    <x v="1"/>
    <n v="2.8"/>
    <n v="66.37"/>
    <n v="8"/>
    <n v="13.26"/>
    <n v="159.3674"/>
    <n v="796.48"/>
    <n v="3.8764546470000001"/>
    <n v="43.98"/>
  </r>
  <r>
    <s v="south"/>
    <x v="1"/>
    <d v="2017-03-14T00:00:00"/>
    <x v="96"/>
    <n v="797703401"/>
    <s v="Male"/>
    <x v="0"/>
    <s v="Credit card"/>
    <x v="3"/>
    <n v="4.0999999999999996"/>
    <n v="73.989999999999995"/>
    <n v="7"/>
    <n v="67.06"/>
    <n v="172.77809999999999"/>
    <n v="399.84"/>
    <n v="3.8764546470000001"/>
    <n v="68.58"/>
  </r>
  <r>
    <s v="West"/>
    <x v="2"/>
    <d v="2018-12-11T00:00:00"/>
    <x v="97"/>
    <n v="867775280"/>
    <s v="Male"/>
    <x v="0"/>
    <s v="Credit card"/>
    <x v="3"/>
    <n v="9.8000000000000007"/>
    <n v="67.81"/>
    <n v="9"/>
    <n v="90.8"/>
    <n v="119.38630000000001"/>
    <n v="899.64"/>
    <n v="3.8764546470000001"/>
    <n v="18.343"/>
  </r>
  <r>
    <s v="south"/>
    <x v="1"/>
    <d v="2018-01-23T00:00:00"/>
    <x v="32"/>
    <n v="806672702"/>
    <s v="Male"/>
    <x v="0"/>
    <s v="Credit card"/>
    <x v="2"/>
    <n v="3.7"/>
    <n v="70.56"/>
    <n v="8"/>
    <n v="62.7"/>
    <n v="120.2908"/>
    <n v="511.28"/>
    <n v="3.8764546470000001"/>
    <n v="96.965999999999994"/>
  </r>
  <r>
    <s v="West"/>
    <x v="2"/>
    <d v="2017-04-27T00:00:00"/>
    <x v="11"/>
    <n v="711040871"/>
    <s v="Female"/>
    <x v="0"/>
    <s v="Ewallet"/>
    <x v="5"/>
    <n v="8.3000000000000007"/>
    <n v="72.94"/>
    <n v="8"/>
    <n v="97.7"/>
    <n v="182.1345"/>
    <n v="451.76"/>
    <n v="3.8764546470000001"/>
    <n v="23.69"/>
  </r>
  <r>
    <s v="East"/>
    <x v="0"/>
    <d v="2017-12-26T00:00:00"/>
    <x v="98"/>
    <n v="699241079"/>
    <s v="Female"/>
    <x v="1"/>
    <s v="Credit card"/>
    <x v="2"/>
    <n v="8"/>
    <n v="62.88"/>
    <n v="7"/>
    <n v="85.2"/>
    <n v="129.93430000000001"/>
    <n v="655.83"/>
    <n v="3.8764546470000001"/>
    <n v="59.97"/>
  </r>
  <r>
    <s v="East"/>
    <x v="0"/>
    <d v="2017-12-22T00:00:00"/>
    <x v="55"/>
    <n v="25540725"/>
    <s v="Female"/>
    <x v="1"/>
    <s v="Cash"/>
    <x v="3"/>
    <n v="1.6"/>
    <n v="43.14"/>
    <n v="5"/>
    <n v="33.21"/>
    <n v="166.12530000000001"/>
    <n v="161.25"/>
    <n v="3.8764546470000001"/>
    <n v="27.04"/>
  </r>
  <r>
    <s v="south"/>
    <x v="1"/>
    <d v="2018-11-21T00:00:00"/>
    <x v="82"/>
    <n v="380323927"/>
    <s v="Female"/>
    <x v="1"/>
    <s v="Credit card"/>
    <x v="5"/>
    <n v="4"/>
    <n v="14.15"/>
    <n v="9"/>
    <n v="64.39"/>
    <n v="187.1575"/>
    <n v="285.57"/>
    <n v="3.8764546470000001"/>
    <n v="88.45"/>
  </r>
  <r>
    <s v="south"/>
    <x v="1"/>
    <d v="2018-07-30T00:00:00"/>
    <x v="72"/>
    <n v="52688061"/>
    <s v="Female"/>
    <x v="0"/>
    <s v="Ewallet"/>
    <x v="4"/>
    <n v="9"/>
    <n v="68.599999999999994"/>
    <n v="8"/>
    <n v="96.85"/>
    <n v="116.6294"/>
    <n v="548.32000000000005"/>
    <n v="3.8764546470000001"/>
    <n v="65.41"/>
  </r>
  <r>
    <s v="West"/>
    <x v="2"/>
    <d v="2018-03-23T00:00:00"/>
    <x v="99"/>
    <n v="907774380"/>
    <s v="Female"/>
    <x v="1"/>
    <s v="Ewallet"/>
    <x v="3"/>
    <n v="2"/>
    <n v="30.11"/>
    <n v="9"/>
    <n v="21.99"/>
    <n v="142.5949"/>
    <n v="812.52"/>
    <n v="3.8764546470000001"/>
    <n v="61.423999999999999"/>
  </r>
  <r>
    <s v="West"/>
    <x v="2"/>
    <d v="2018-07-28T00:00:00"/>
    <x v="18"/>
    <n v="191137349"/>
    <s v="Female"/>
    <x v="1"/>
    <s v="Cash"/>
    <x v="5"/>
    <n v="3.5"/>
    <n v="64.33"/>
    <n v="7"/>
    <n v="57.2"/>
    <n v="102.6422"/>
    <n v="277.33999999999997"/>
    <n v="3.8764546470000001"/>
    <n v="29.8"/>
  </r>
  <r>
    <s v="East"/>
    <x v="0"/>
    <d v="2018-07-19T00:00:00"/>
    <x v="98"/>
    <n v="143286685"/>
    <s v="Female"/>
    <x v="0"/>
    <s v="Cash"/>
    <x v="3"/>
    <n v="7.9"/>
    <n v="10.89"/>
    <n v="6"/>
    <n v="80.72"/>
    <n v="144.74019999999999"/>
    <n v="552.78"/>
    <n v="3.8764546470000001"/>
    <n v="43.097999999999999"/>
  </r>
  <r>
    <s v="West"/>
    <x v="2"/>
    <d v="2017-10-01T00:00:00"/>
    <x v="100"/>
    <n v="115751423"/>
    <s v="Female"/>
    <x v="1"/>
    <s v="Cash"/>
    <x v="3"/>
    <n v="2.4"/>
    <n v="91.44"/>
    <n v="4"/>
    <n v="97.71"/>
    <n v="149.90940000000001"/>
    <n v="139.36000000000001"/>
    <n v="3.8764546470000001"/>
    <n v="59.929000000000002"/>
  </r>
  <r>
    <s v="West"/>
    <x v="2"/>
    <d v="2018-04-11T00:00:00"/>
    <x v="46"/>
    <n v="551191732"/>
    <s v="Male"/>
    <x v="0"/>
    <s v="Credit card"/>
    <x v="1"/>
    <n v="6"/>
    <n v="11.71"/>
    <n v="6"/>
    <n v="88"/>
    <n v="125.7427"/>
    <n v="524.70000000000005"/>
    <n v="3.8764546470000001"/>
    <n v="14.127000000000001"/>
  </r>
  <r>
    <s v="south"/>
    <x v="1"/>
    <d v="2018-10-19T00:00:00"/>
    <x v="101"/>
    <n v="879139948"/>
    <s v="Female"/>
    <x v="1"/>
    <s v="Ewallet"/>
    <x v="0"/>
    <n v="2"/>
    <n v="71.31"/>
    <n v="6"/>
    <n v="11.12"/>
    <n v="131.88499999999999"/>
    <n v="487.8"/>
    <n v="3.8764546470000001"/>
    <n v="92.32"/>
  </r>
  <r>
    <s v="south"/>
    <x v="1"/>
    <d v="2018-12-25T00:00:00"/>
    <x v="87"/>
    <n v="851506291"/>
    <s v="Male"/>
    <x v="1"/>
    <s v="Cash"/>
    <x v="5"/>
    <n v="6.7"/>
    <n v="63.81"/>
    <n v="3"/>
    <n v="88.4"/>
    <n v="109.9654"/>
    <n v="270.66000000000003"/>
    <n v="3.8764546470000001"/>
    <n v="48.4"/>
  </r>
  <r>
    <s v="East"/>
    <x v="0"/>
    <d v="2017-10-31T00:00:00"/>
    <x v="102"/>
    <n v="239248951"/>
    <s v="Female"/>
    <x v="1"/>
    <s v="Credit card"/>
    <x v="1"/>
    <n v="8.1999999999999993"/>
    <n v="64.23"/>
    <n v="5"/>
    <n v="45.43"/>
    <n v="189.83799999999999"/>
    <n v="131.55000000000001"/>
    <n v="3.8764546470000001"/>
    <n v="90.802000000000007"/>
  </r>
  <r>
    <s v="East"/>
    <x v="0"/>
    <d v="2018-04-16T00:00:00"/>
    <x v="103"/>
    <n v="533485355"/>
    <s v="Female"/>
    <x v="0"/>
    <s v="Cash"/>
    <x v="2"/>
    <n v="3"/>
    <n v="12.43"/>
    <n v="6"/>
    <n v="25.1"/>
    <n v="189.685"/>
    <n v="206.52"/>
    <n v="3.8764546470000001"/>
    <n v="96.635999999999996"/>
  </r>
  <r>
    <s v="West"/>
    <x v="2"/>
    <d v="2018-11-07T00:00:00"/>
    <x v="104"/>
    <n v="198309137"/>
    <s v="Male"/>
    <x v="1"/>
    <s v="Cash"/>
    <x v="3"/>
    <n v="1"/>
    <n v="42.98"/>
    <n v="10"/>
    <n v="17.920000000000002"/>
    <n v="136.73920000000001"/>
    <n v="519.1"/>
    <n v="3.8764546470000001"/>
    <n v="12.294"/>
  </r>
  <r>
    <s v="East"/>
    <x v="0"/>
    <d v="2017-03-05T00:00:00"/>
    <x v="105"/>
    <n v="340767905"/>
    <s v="Male"/>
    <x v="1"/>
    <s v="Ewallet"/>
    <x v="3"/>
    <n v="9.6999999999999993"/>
    <n v="37.86"/>
    <n v="8"/>
    <n v="90.8"/>
    <n v="187.99930000000001"/>
    <n v="580"/>
    <n v="3.8764546470000001"/>
    <n v="99.766999999999996"/>
  </r>
  <r>
    <s v="south"/>
    <x v="1"/>
    <d v="2017-12-21T00:00:00"/>
    <x v="95"/>
    <n v="342801742"/>
    <s v="Female"/>
    <x v="0"/>
    <s v="Credit card"/>
    <x v="3"/>
    <n v="5"/>
    <n v="84.17"/>
    <n v="10"/>
    <n v="28.06"/>
    <n v="174.94970000000001"/>
    <n v="898"/>
    <n v="3.8764546470000001"/>
    <n v="28.33"/>
  </r>
  <r>
    <s v="south"/>
    <x v="1"/>
    <d v="2018-11-05T00:00:00"/>
    <x v="106"/>
    <n v="19324087"/>
    <s v="Male"/>
    <x v="0"/>
    <s v="Cash"/>
    <x v="0"/>
    <n v="7.2"/>
    <n v="72.510000000000005"/>
    <n v="10"/>
    <n v="13.85"/>
    <n v="144.30109999999999"/>
    <n v="905"/>
    <n v="3.8764546470000001"/>
    <n v="59.45"/>
  </r>
  <r>
    <s v="south"/>
    <x v="1"/>
    <d v="2017-08-05T00:00:00"/>
    <x v="107"/>
    <n v="326378381"/>
    <s v="Female"/>
    <x v="0"/>
    <s v="Cash"/>
    <x v="0"/>
    <n v="1"/>
    <n v="22.82"/>
    <n v="10"/>
    <n v="88.54"/>
    <n v="154.0224"/>
    <n v="686"/>
    <n v="3.8764546470000001"/>
    <n v="58.41"/>
  </r>
  <r>
    <s v="south"/>
    <x v="1"/>
    <d v="2018-10-22T00:00:00"/>
    <x v="108"/>
    <n v="712297463"/>
    <s v="Female"/>
    <x v="0"/>
    <s v="Credit card"/>
    <x v="4"/>
    <n v="8.1999999999999993"/>
    <n v="76.14"/>
    <n v="1"/>
    <n v="26.23"/>
    <n v="158.32069999999999"/>
    <n v="30.41"/>
    <n v="3.8764546470000001"/>
    <n v="72.947999999999993"/>
  </r>
  <r>
    <s v="East"/>
    <x v="0"/>
    <d v="2018-01-03T00:00:00"/>
    <x v="50"/>
    <n v="665284655"/>
    <s v="Female"/>
    <x v="1"/>
    <s v="Ewallet"/>
    <x v="2"/>
    <n v="4"/>
    <n v="48.83"/>
    <n v="6"/>
    <n v="83.52"/>
    <n v="134.73009999999999"/>
    <n v="467.7"/>
    <n v="3.8764546470000001"/>
    <n v="22.081"/>
  </r>
  <r>
    <s v="south"/>
    <x v="1"/>
    <d v="2017-06-22T00:00:00"/>
    <x v="109"/>
    <n v="29876903"/>
    <s v="Female"/>
    <x v="1"/>
    <s v="Credit card"/>
    <x v="0"/>
    <n v="7.8"/>
    <n v="35.049999999999997"/>
    <n v="6"/>
    <n v="56.67"/>
    <n v="136.12880000000001"/>
    <n v="277.56"/>
    <n v="3.8764546470000001"/>
    <n v="93.947000000000003"/>
  </r>
  <r>
    <s v="East"/>
    <x v="0"/>
    <d v="2017-07-16T00:00:00"/>
    <x v="110"/>
    <n v="27371603"/>
    <s v="Female"/>
    <x v="0"/>
    <s v="Ewallet"/>
    <x v="5"/>
    <n v="5"/>
    <n v="35.200000000000003"/>
    <n v="10"/>
    <n v="86.2"/>
    <n v="113.23480000000001"/>
    <n v="301.39999999999998"/>
    <n v="3.8764546470000001"/>
    <n v="75.3"/>
  </r>
  <r>
    <s v="south"/>
    <x v="1"/>
    <d v="2017-09-17T00:00:00"/>
    <x v="30"/>
    <n v="649114370"/>
    <s v="Male"/>
    <x v="1"/>
    <s v="Credit card"/>
    <x v="0"/>
    <n v="9.8000000000000007"/>
    <n v="23.57"/>
    <n v="4"/>
    <n v="31.79"/>
    <n v="155.71190000000001"/>
    <n v="264.56"/>
    <n v="3.8764546470000001"/>
    <n v="45.62"/>
  </r>
  <r>
    <s v="West"/>
    <x v="2"/>
    <d v="2018-10-19T00:00:00"/>
    <x v="67"/>
    <n v="785147172"/>
    <s v="Male"/>
    <x v="0"/>
    <s v="Credit card"/>
    <x v="2"/>
    <n v="9.6"/>
    <n v="30.8"/>
    <n v="8"/>
    <n v="89.67"/>
    <n v="104.34180000000001"/>
    <n v="574.88"/>
    <n v="3.8764546470000001"/>
    <n v="88.48"/>
  </r>
  <r>
    <s v="East"/>
    <x v="0"/>
    <d v="2018-06-27T00:00:00"/>
    <x v="57"/>
    <n v="313093808"/>
    <s v="Male"/>
    <x v="1"/>
    <s v="Credit card"/>
    <x v="0"/>
    <n v="5"/>
    <n v="85.02"/>
    <n v="8"/>
    <n v="48.43"/>
    <n v="136.95480000000001"/>
    <n v="259.68"/>
    <n v="3.8764546470000001"/>
    <n v="21.42"/>
  </r>
  <r>
    <s v="West"/>
    <x v="2"/>
    <d v="2018-12-06T00:00:00"/>
    <x v="111"/>
    <n v="392359518"/>
    <s v="Female"/>
    <x v="0"/>
    <s v="Credit card"/>
    <x v="5"/>
    <n v="4"/>
    <n v="37.75"/>
    <n v="4"/>
    <n v="19.920000000000002"/>
    <n v="189.51840000000001"/>
    <n v="366.16"/>
    <n v="3.8764546470000001"/>
    <n v="92.34"/>
  </r>
  <r>
    <s v="south"/>
    <x v="1"/>
    <d v="2017-06-01T00:00:00"/>
    <x v="6"/>
    <n v="765268328"/>
    <s v="Male"/>
    <x v="0"/>
    <s v="Credit card"/>
    <x v="3"/>
    <n v="2"/>
    <n v="56.5"/>
    <n v="7"/>
    <n v="21.5"/>
    <n v="100.1893"/>
    <n v="241.92"/>
    <n v="3.8764546470000001"/>
    <n v="43.164000000000001"/>
  </r>
  <r>
    <s v="East"/>
    <x v="0"/>
    <d v="2017-06-06T00:00:00"/>
    <x v="49"/>
    <n v="349033717"/>
    <s v="Male"/>
    <x v="1"/>
    <s v="Credit card"/>
    <x v="5"/>
    <n v="7"/>
    <n v="58.17"/>
    <n v="9"/>
    <n v="45.6"/>
    <n v="120.5145"/>
    <n v="749.16"/>
    <n v="3.8764546470000001"/>
    <n v="44.462000000000003"/>
  </r>
  <r>
    <s v="south"/>
    <x v="1"/>
    <d v="2018-04-06T00:00:00"/>
    <x v="93"/>
    <n v="880506145"/>
    <s v="Female"/>
    <x v="1"/>
    <s v="Ewallet"/>
    <x v="4"/>
    <n v="9"/>
    <n v="42.51"/>
    <n v="6"/>
    <n v="39"/>
    <n v="146.53800000000001"/>
    <n v="98.88"/>
    <n v="3.8764546470000001"/>
    <n v="66.224000000000004"/>
  </r>
  <r>
    <s v="south"/>
    <x v="1"/>
    <d v="2017-07-05T00:00:00"/>
    <x v="112"/>
    <n v="819519110"/>
    <s v="Female"/>
    <x v="1"/>
    <s v="Cash"/>
    <x v="3"/>
    <n v="6"/>
    <n v="45.8"/>
    <n v="8"/>
    <n v="52"/>
    <n v="137.58690000000001"/>
    <n v="647.76"/>
    <n v="3.8764546470000001"/>
    <n v="81.039000000000001"/>
  </r>
  <r>
    <s v="East"/>
    <x v="0"/>
    <d v="2017-08-12T00:00:00"/>
    <x v="113"/>
    <n v="464836410"/>
    <s v="Male"/>
    <x v="0"/>
    <s v="Credit card"/>
    <x v="4"/>
    <n v="3.8"/>
    <n v="82.31"/>
    <n v="5"/>
    <n v="46.7"/>
    <n v="139.6866"/>
    <n v="461.45"/>
    <n v="3.8764546470000001"/>
    <n v="45.33"/>
  </r>
  <r>
    <s v="West"/>
    <x v="2"/>
    <d v="2018-05-10T00:00:00"/>
    <x v="114"/>
    <n v="994173234"/>
    <s v="Male"/>
    <x v="0"/>
    <s v="Cash"/>
    <x v="1"/>
    <n v="1.6"/>
    <n v="57.83"/>
    <n v="1"/>
    <n v="77.7"/>
    <n v="168.1799"/>
    <n v="72.17"/>
    <n v="3.8764546470000001"/>
    <n v="41.51"/>
  </r>
  <r>
    <s v="West"/>
    <x v="2"/>
    <d v="2018-05-15T00:00:00"/>
    <x v="115"/>
    <n v="943134297"/>
    <s v="Male"/>
    <x v="1"/>
    <s v="Ewallet"/>
    <x v="2"/>
    <n v="7.3"/>
    <n v="47.24"/>
    <n v="5"/>
    <n v="98.05"/>
    <n v="129.54499999999999"/>
    <n v="251.4"/>
    <n v="3.8764546470000001"/>
    <n v="88.13"/>
  </r>
  <r>
    <s v="West"/>
    <x v="2"/>
    <d v="2018-05-02T00:00:00"/>
    <x v="58"/>
    <n v="415229313"/>
    <s v="Male"/>
    <x v="0"/>
    <s v="Ewallet"/>
    <x v="0"/>
    <n v="3.8"/>
    <n v="67.349999999999994"/>
    <n v="9"/>
    <n v="27.15"/>
    <n v="145.7739"/>
    <n v="874.98"/>
    <n v="3.8764546470000001"/>
    <n v="99.367000000000004"/>
  </r>
  <r>
    <s v="West"/>
    <x v="2"/>
    <d v="2018-09-12T00:00:00"/>
    <x v="18"/>
    <n v="886741921"/>
    <s v="Male"/>
    <x v="1"/>
    <s v="Ewallet"/>
    <x v="3"/>
    <n v="3"/>
    <n v="89.47"/>
    <n v="6"/>
    <n v="71.62"/>
    <n v="169.17660000000001"/>
    <n v="560.34"/>
    <n v="3.8764546470000001"/>
    <n v="92.462999999999994"/>
  </r>
  <r>
    <s v="south"/>
    <x v="1"/>
    <d v="2018-06-12T00:00:00"/>
    <x v="116"/>
    <n v="541527210"/>
    <s v="Female"/>
    <x v="1"/>
    <s v="Credit card"/>
    <x v="4"/>
    <n v="5"/>
    <n v="66.7"/>
    <n v="8"/>
    <n v="41.8"/>
    <n v="179.6395"/>
    <n v="345.44"/>
    <n v="3.8764546470000001"/>
    <n v="24.039000000000001"/>
  </r>
  <r>
    <s v="East"/>
    <x v="0"/>
    <d v="2018-09-13T00:00:00"/>
    <x v="117"/>
    <n v="601079046"/>
    <s v="Male"/>
    <x v="1"/>
    <s v="Cash"/>
    <x v="3"/>
    <n v="7"/>
    <n v="10.46"/>
    <n v="1"/>
    <n v="59.97"/>
    <n v="161.08750000000001"/>
    <n v="63.69"/>
    <n v="3.8764546470000001"/>
    <n v="79.370999999999995"/>
  </r>
  <r>
    <s v="East"/>
    <x v="0"/>
    <d v="2017-03-10T00:00:00"/>
    <x v="48"/>
    <n v="253597267"/>
    <s v="Male"/>
    <x v="1"/>
    <s v="Credit card"/>
    <x v="4"/>
    <n v="4"/>
    <n v="15.04"/>
    <n v="7"/>
    <n v="53.35"/>
    <n v="170.80969999999999"/>
    <n v="320.52999999999997"/>
    <n v="3.8764546470000001"/>
    <n v="61.43"/>
  </r>
  <r>
    <s v="south"/>
    <x v="1"/>
    <d v="2017-08-31T00:00:00"/>
    <x v="53"/>
    <n v="247122626"/>
    <s v="Male"/>
    <x v="1"/>
    <s v="Ewallet"/>
    <x v="3"/>
    <n v="6"/>
    <n v="43.61"/>
    <n v="2"/>
    <n v="98.71"/>
    <n v="115.0818"/>
    <n v="152.80000000000001"/>
    <n v="3.8764546470000001"/>
    <n v="91.034999999999997"/>
  </r>
  <r>
    <s v="West"/>
    <x v="2"/>
    <d v="2018-09-08T00:00:00"/>
    <x v="118"/>
    <n v="776933076"/>
    <s v="Male"/>
    <x v="1"/>
    <s v="Credit card"/>
    <x v="4"/>
    <n v="1.7"/>
    <n v="91.42"/>
    <n v="10"/>
    <n v="44.4"/>
    <n v="118.0788"/>
    <n v="399"/>
    <n v="3.8764546470000001"/>
    <n v="42.655999999999999"/>
  </r>
  <r>
    <s v="West"/>
    <x v="2"/>
    <d v="2018-04-14T00:00:00"/>
    <x v="119"/>
    <n v="986514642"/>
    <s v="Male"/>
    <x v="0"/>
    <s v="Ewallet"/>
    <x v="0"/>
    <n v="8.5"/>
    <n v="57.56"/>
    <n v="8"/>
    <n v="30.82"/>
    <n v="113.99039999999999"/>
    <n v="340.56"/>
    <n v="3.8764546470000001"/>
    <n v="86.771000000000001"/>
  </r>
  <r>
    <s v="south"/>
    <x v="1"/>
    <d v="2018-10-23T00:00:00"/>
    <x v="47"/>
    <n v="587000329"/>
    <s v="Male"/>
    <x v="1"/>
    <s v="Cash"/>
    <x v="2"/>
    <n v="6.9"/>
    <n v="56.01"/>
    <n v="10"/>
    <n v="51.46"/>
    <n v="110.9102"/>
    <n v="955.8"/>
    <n v="3.8764546470000001"/>
    <n v="58.5"/>
  </r>
  <r>
    <s v="East"/>
    <x v="0"/>
    <d v="2017-06-22T00:00:00"/>
    <x v="120"/>
    <n v="995507500"/>
    <s v="Male"/>
    <x v="1"/>
    <s v="Credit card"/>
    <x v="5"/>
    <n v="2"/>
    <n v="59.94"/>
    <n v="10"/>
    <n v="88.47"/>
    <n v="110.70310000000001"/>
    <n v="989.8"/>
    <n v="3.8764546470000001"/>
    <n v="88.05"/>
  </r>
  <r>
    <s v="East"/>
    <x v="0"/>
    <d v="2018-05-10T00:00:00"/>
    <x v="36"/>
    <n v="893080486"/>
    <s v="Male"/>
    <x v="1"/>
    <s v="Cash"/>
    <x v="4"/>
    <n v="7.1"/>
    <n v="66.319999999999993"/>
    <n v="6"/>
    <n v="58.73"/>
    <n v="178.92760000000001"/>
    <n v="307.68"/>
    <n v="3.8764546470000001"/>
    <n v="92.65"/>
  </r>
  <r>
    <s v="East"/>
    <x v="0"/>
    <d v="2017-10-28T00:00:00"/>
    <x v="121"/>
    <n v="727982517"/>
    <s v="Male"/>
    <x v="0"/>
    <s v="Credit card"/>
    <x v="3"/>
    <n v="7.5"/>
    <n v="16.170000000000002"/>
    <n v="7"/>
    <n v="29.84"/>
    <n v="174.17160000000001"/>
    <n v="486.64"/>
    <n v="3.8764546470000001"/>
    <n v="52.16"/>
  </r>
  <r>
    <s v="East"/>
    <x v="0"/>
    <d v="2018-03-17T00:00:00"/>
    <x v="24"/>
    <n v="474963232"/>
    <s v="Male"/>
    <x v="1"/>
    <s v="Ewallet"/>
    <x v="0"/>
    <n v="6.4"/>
    <n v="81.06"/>
    <n v="5"/>
    <n v="98.57"/>
    <n v="111.3092"/>
    <n v="350.05"/>
    <n v="3.8764546470000001"/>
    <n v="47.808"/>
  </r>
  <r>
    <s v="West"/>
    <x v="2"/>
    <d v="2018-07-25T00:00:00"/>
    <x v="109"/>
    <n v="955290526"/>
    <s v="Male"/>
    <x v="0"/>
    <s v="Credit card"/>
    <x v="4"/>
    <n v="7"/>
    <n v="38.83"/>
    <n v="5"/>
    <n v="34.39"/>
    <n v="128.53890000000001"/>
    <n v="400.25"/>
    <n v="3.8764546470000001"/>
    <n v="74.775000000000006"/>
  </r>
  <r>
    <s v="south"/>
    <x v="1"/>
    <d v="2017-12-04T00:00:00"/>
    <x v="66"/>
    <n v="274935494"/>
    <s v="Male"/>
    <x v="1"/>
    <s v="Cash"/>
    <x v="1"/>
    <n v="7.2"/>
    <n v="87.68"/>
    <n v="8"/>
    <n v="23.11"/>
    <n v="172.43719999999999"/>
    <n v="166.8"/>
    <n v="3.8764546470000001"/>
    <n v="83.67"/>
  </r>
  <r>
    <s v="West"/>
    <x v="2"/>
    <d v="2018-01-01T00:00:00"/>
    <x v="66"/>
    <n v="730958124"/>
    <s v="Male"/>
    <x v="0"/>
    <s v="Credit card"/>
    <x v="1"/>
    <n v="5.3"/>
    <n v="55.51"/>
    <n v="6"/>
    <n v="84.62"/>
    <n v="148.46870000000001"/>
    <n v="317.33999999999997"/>
    <n v="3.8764546470000001"/>
    <n v="99.63"/>
  </r>
  <r>
    <s v="West"/>
    <x v="2"/>
    <d v="2017-07-05T00:00:00"/>
    <x v="122"/>
    <n v="274987782"/>
    <s v="Male"/>
    <x v="1"/>
    <s v="Ewallet"/>
    <x v="4"/>
    <n v="6.6"/>
    <n v="22.77"/>
    <n v="8"/>
    <n v="86.5"/>
    <n v="121.6409"/>
    <n v="158.32"/>
    <n v="3.8764546470000001"/>
    <n v="92.462000000000003"/>
  </r>
  <r>
    <s v="East"/>
    <x v="0"/>
    <d v="2017-07-21T00:00:00"/>
    <x v="37"/>
    <n v="752876904"/>
    <s v="Male"/>
    <x v="0"/>
    <s v="Ewallet"/>
    <x v="2"/>
    <n v="2.8"/>
    <n v="13.15"/>
    <n v="9"/>
    <n v="47.95"/>
    <n v="116.6681"/>
    <n v="304.56"/>
    <n v="3.8764546470000001"/>
    <n v="21.1"/>
  </r>
  <r>
    <s v="East"/>
    <x v="0"/>
    <d v="2018-01-07T00:00:00"/>
    <x v="117"/>
    <n v="976193067"/>
    <s v="Male"/>
    <x v="0"/>
    <s v="Credit card"/>
    <x v="4"/>
    <n v="5.9"/>
    <n v="57.13"/>
    <n v="8"/>
    <n v="96.8"/>
    <n v="139.8646"/>
    <n v="177.36"/>
    <n v="3.8764546470000001"/>
    <n v="88.86"/>
  </r>
  <r>
    <s v="south"/>
    <x v="1"/>
    <d v="2018-09-22T00:00:00"/>
    <x v="123"/>
    <n v="18506912"/>
    <s v="Female"/>
    <x v="1"/>
    <s v="Credit card"/>
    <x v="5"/>
    <n v="1.4"/>
    <n v="26.56"/>
    <n v="7"/>
    <n v="77.17"/>
    <n v="134.96119999999999"/>
    <n v="157.57"/>
    <n v="3.8764546470000001"/>
    <n v="42"/>
  </r>
  <r>
    <s v="East"/>
    <x v="0"/>
    <d v="2018-03-18T00:00:00"/>
    <x v="93"/>
    <n v="302989378"/>
    <s v="Male"/>
    <x v="1"/>
    <s v="Ewallet"/>
    <x v="4"/>
    <n v="3.6"/>
    <n v="34.76"/>
    <n v="6"/>
    <n v="50.7"/>
    <n v="154.2003"/>
    <n v="443.28"/>
    <n v="3.8764546470000001"/>
    <n v="95.930999999999997"/>
  </r>
  <r>
    <s v="south"/>
    <x v="1"/>
    <d v="2018-12-28T00:00:00"/>
    <x v="124"/>
    <n v="371028974"/>
    <s v="Male"/>
    <x v="0"/>
    <s v="Ewallet"/>
    <x v="0"/>
    <n v="8.5"/>
    <n v="17.989999999999998"/>
    <n v="3"/>
    <n v="17.8"/>
    <n v="112.84869999999999"/>
    <n v="260.39999999999998"/>
    <n v="3.8764546470000001"/>
    <n v="48.457999999999998"/>
  </r>
  <r>
    <s v="south"/>
    <x v="1"/>
    <d v="2017-06-17T00:00:00"/>
    <x v="125"/>
    <n v="372315185"/>
    <s v="Male"/>
    <x v="1"/>
    <s v="Cash"/>
    <x v="5"/>
    <n v="4"/>
    <n v="82.75"/>
    <n v="7"/>
    <n v="38.700000000000003"/>
    <n v="167.42760000000001"/>
    <n v="449.82"/>
    <n v="3.8764546470000001"/>
    <n v="64.989999999999995"/>
  </r>
  <r>
    <s v="south"/>
    <x v="1"/>
    <d v="2017-04-03T00:00:00"/>
    <x v="13"/>
    <n v="947020165"/>
    <s v="Male"/>
    <x v="0"/>
    <s v="Cash"/>
    <x v="4"/>
    <n v="6"/>
    <n v="20.61"/>
    <n v="8"/>
    <n v="89.43"/>
    <n v="150.18010000000001"/>
    <n v="307.76"/>
    <n v="3.8764546470000001"/>
    <n v="87.177000000000007"/>
  </r>
  <r>
    <s v="East"/>
    <x v="0"/>
    <d v="2018-04-08T00:00:00"/>
    <x v="126"/>
    <n v="101503950"/>
    <s v="Male"/>
    <x v="0"/>
    <s v="Ewallet"/>
    <x v="3"/>
    <n v="4"/>
    <n v="34.56"/>
    <n v="10"/>
    <n v="28.8"/>
    <n v="104.0329"/>
    <n v="155"/>
    <n v="3.8764546470000001"/>
    <n v="20.486999999999998"/>
  </r>
  <r>
    <s v="south"/>
    <x v="1"/>
    <d v="2017-03-03T00:00:00"/>
    <x v="127"/>
    <n v="190530642"/>
    <s v="Male"/>
    <x v="1"/>
    <s v="Ewallet"/>
    <x v="0"/>
    <n v="5"/>
    <n v="69"/>
    <n v="8"/>
    <n v="98.3"/>
    <n v="159.41579999999999"/>
    <n v="274.48"/>
    <n v="3.8764546470000001"/>
    <n v="95.725999999999999"/>
  </r>
  <r>
    <s v="East"/>
    <x v="0"/>
    <d v="2017-07-06T00:00:00"/>
    <x v="128"/>
    <n v="75032834"/>
    <s v="Female"/>
    <x v="1"/>
    <s v="Credit card"/>
    <x v="3"/>
    <n v="4"/>
    <n v="59.91"/>
    <n v="7"/>
    <n v="98.82"/>
    <n v="104.367"/>
    <n v="86.38"/>
    <n v="3.8764546470000001"/>
    <n v="98.507000000000005"/>
  </r>
  <r>
    <s v="West"/>
    <x v="2"/>
    <d v="2018-07-13T00:00:00"/>
    <x v="113"/>
    <n v="971707687"/>
    <s v="Male"/>
    <x v="0"/>
    <s v="Ewallet"/>
    <x v="4"/>
    <n v="2.8"/>
    <n v="71.25"/>
    <n v="3"/>
    <n v="21.94"/>
    <n v="162.95060000000001"/>
    <n v="54.24"/>
    <n v="3.8764546470000001"/>
    <n v="62.74"/>
  </r>
  <r>
    <s v="West"/>
    <x v="2"/>
    <d v="2017-07-31T00:00:00"/>
    <x v="76"/>
    <n v="925319717"/>
    <s v="Female"/>
    <x v="0"/>
    <s v="Ewallet"/>
    <x v="2"/>
    <n v="9.3000000000000007"/>
    <n v="27.58"/>
    <n v="8"/>
    <n v="48.9"/>
    <n v="146.61760000000001"/>
    <n v="755.92"/>
    <n v="3.8764546470000001"/>
    <n v="97.602999999999994"/>
  </r>
  <r>
    <s v="West"/>
    <x v="2"/>
    <d v="2017-10-24T00:00:00"/>
    <x v="93"/>
    <n v="361471653"/>
    <s v="Male"/>
    <x v="0"/>
    <s v="Cash"/>
    <x v="2"/>
    <n v="1.6"/>
    <n v="51.97"/>
    <n v="4"/>
    <n v="48.16"/>
    <n v="189.13919999999999"/>
    <n v="185.88"/>
    <n v="3.8764546470000001"/>
    <n v="34.83"/>
  </r>
  <r>
    <s v="East"/>
    <x v="0"/>
    <d v="2017-05-31T00:00:00"/>
    <x v="129"/>
    <n v="336363144"/>
    <s v="Male"/>
    <x v="1"/>
    <s v="Ewallet"/>
    <x v="2"/>
    <n v="7"/>
    <n v="42.72"/>
    <n v="1"/>
    <n v="80.290000000000006"/>
    <n v="150.69540000000001"/>
    <n v="74.069999999999993"/>
    <n v="3.8764546470000001"/>
    <n v="88.058000000000007"/>
  </r>
  <r>
    <s v="south"/>
    <x v="1"/>
    <d v="2017-04-14T00:00:00"/>
    <x v="130"/>
    <n v="92976779"/>
    <s v="Female"/>
    <x v="1"/>
    <s v="Credit card"/>
    <x v="2"/>
    <n v="4.8"/>
    <n v="34.99"/>
    <n v="4"/>
    <n v="63.51"/>
    <n v="141.172"/>
    <n v="279.24"/>
    <n v="3.8764546470000001"/>
    <n v="40.695"/>
  </r>
  <r>
    <s v="West"/>
    <x v="2"/>
    <d v="2018-04-02T00:00:00"/>
    <x v="53"/>
    <n v="580090297"/>
    <s v="Female"/>
    <x v="1"/>
    <s v="Credit card"/>
    <x v="2"/>
    <n v="9.6999999999999993"/>
    <n v="92.03"/>
    <n v="3"/>
    <n v="73.33"/>
    <n v="122.3897"/>
    <n v="231.12"/>
    <n v="3.8764546470000001"/>
    <n v="89.66"/>
  </r>
  <r>
    <s v="West"/>
    <x v="2"/>
    <d v="2017-09-03T00:00:00"/>
    <x v="22"/>
    <n v="419038036"/>
    <s v="Female"/>
    <x v="1"/>
    <s v="Ewallet"/>
    <x v="5"/>
    <n v="2"/>
    <n v="21.21"/>
    <n v="2"/>
    <n v="11.3"/>
    <n v="133.14779999999999"/>
    <n v="147.04"/>
    <n v="3.8764546470000001"/>
    <n v="24.683"/>
  </r>
  <r>
    <s v="south"/>
    <x v="1"/>
    <d v="2018-04-03T00:00:00"/>
    <x v="4"/>
    <n v="138282726"/>
    <s v="Female"/>
    <x v="1"/>
    <s v="Cash"/>
    <x v="4"/>
    <n v="9.4"/>
    <n v="69.83"/>
    <n v="9"/>
    <n v="23.83"/>
    <n v="141.05070000000001"/>
    <n v="790.2"/>
    <n v="3.8764546470000001"/>
    <n v="80.290000000000006"/>
  </r>
  <r>
    <s v="West"/>
    <x v="2"/>
    <d v="2018-06-21T00:00:00"/>
    <x v="38"/>
    <n v="600837460"/>
    <s v="Male"/>
    <x v="1"/>
    <s v="Ewallet"/>
    <x v="2"/>
    <n v="5.9"/>
    <n v="49.96"/>
    <n v="4"/>
    <n v="91.06"/>
    <n v="177.18690000000001"/>
    <n v="102.2"/>
    <n v="3.8764546470000001"/>
    <n v="85.031999999999996"/>
  </r>
  <r>
    <s v="East"/>
    <x v="0"/>
    <d v="2018-09-05T00:00:00"/>
    <x v="124"/>
    <n v="215203068"/>
    <s v="Male"/>
    <x v="1"/>
    <s v="Credit card"/>
    <x v="1"/>
    <n v="4.3"/>
    <n v="63.31"/>
    <n v="5"/>
    <n v="28.16"/>
    <n v="164.9589"/>
    <n v="163.55000000000001"/>
    <n v="3.8764546470000001"/>
    <n v="25.206"/>
  </r>
  <r>
    <s v="south"/>
    <x v="1"/>
    <d v="2018-10-08T00:00:00"/>
    <x v="131"/>
    <n v="92544783"/>
    <s v="Female"/>
    <x v="0"/>
    <s v="Cash"/>
    <x v="5"/>
    <n v="1"/>
    <n v="87.36"/>
    <n v="1"/>
    <n v="36.32"/>
    <n v="158.8956"/>
    <n v="74.290000000000006"/>
    <n v="3.8764546470000001"/>
    <n v="49.924999999999997"/>
  </r>
  <r>
    <s v="south"/>
    <x v="1"/>
    <d v="2017-08-23T00:00:00"/>
    <x v="59"/>
    <n v="153607412"/>
    <s v="Male"/>
    <x v="0"/>
    <s v="Cash"/>
    <x v="0"/>
    <n v="2"/>
    <n v="12.53"/>
    <n v="2"/>
    <n v="87.51"/>
    <n v="140.64859999999999"/>
    <n v="87.4"/>
    <n v="3.8764546470000001"/>
    <n v="23.957000000000001"/>
  </r>
  <r>
    <s v="East"/>
    <x v="0"/>
    <d v="2018-12-15T00:00:00"/>
    <x v="132"/>
    <n v="353515278"/>
    <s v="Female"/>
    <x v="1"/>
    <s v="Ewallet"/>
    <x v="2"/>
    <n v="9"/>
    <n v="51.45"/>
    <n v="1"/>
    <n v="86.39"/>
    <n v="146.3931"/>
    <n v="25.29"/>
    <n v="3.8764546470000001"/>
    <n v="77.293000000000006"/>
  </r>
  <r>
    <s v="south"/>
    <x v="1"/>
    <d v="2018-09-27T00:00:00"/>
    <x v="133"/>
    <n v="583698354"/>
    <s v="Male"/>
    <x v="1"/>
    <s v="Credit card"/>
    <x v="0"/>
    <n v="8"/>
    <n v="82.82"/>
    <n v="4"/>
    <n v="36.19"/>
    <n v="123.4965"/>
    <n v="166"/>
    <n v="3.8764546470000001"/>
    <n v="91.569000000000003"/>
  </r>
  <r>
    <s v="south"/>
    <x v="1"/>
    <d v="2017-09-07T00:00:00"/>
    <x v="23"/>
    <n v="739823863"/>
    <s v="Female"/>
    <x v="0"/>
    <s v="Credit card"/>
    <x v="4"/>
    <n v="4.0999999999999996"/>
    <n v="56.09"/>
    <n v="5"/>
    <n v="86.94"/>
    <n v="161.60499999999999"/>
    <n v="356.95"/>
    <n v="3.8764546470000001"/>
    <n v="43.465000000000003"/>
  </r>
  <r>
    <s v="south"/>
    <x v="1"/>
    <d v="2018-07-26T00:00:00"/>
    <x v="134"/>
    <n v="274448511"/>
    <s v="Female"/>
    <x v="0"/>
    <s v="Credit card"/>
    <x v="3"/>
    <n v="9"/>
    <n v="48.73"/>
    <n v="6"/>
    <n v="77.540000000000006"/>
    <n v="173.18450000000001"/>
    <n v="114.9"/>
    <n v="3.8764546470000001"/>
    <n v="36.037999999999997"/>
  </r>
  <r>
    <s v="West"/>
    <x v="2"/>
    <d v="2018-07-03T00:00:00"/>
    <x v="97"/>
    <n v="135704548"/>
    <s v="Female"/>
    <x v="0"/>
    <s v="Cash"/>
    <x v="1"/>
    <n v="4.0999999999999996"/>
    <n v="62.62"/>
    <n v="4"/>
    <n v="18.010000000000002"/>
    <n v="105.6965"/>
    <n v="229.96"/>
    <n v="3.8764546470000001"/>
    <n v="12.996"/>
  </r>
  <r>
    <s v="south"/>
    <x v="1"/>
    <d v="2017-04-05T00:00:00"/>
    <x v="135"/>
    <n v="897948086"/>
    <s v="Male"/>
    <x v="1"/>
    <s v="Cash"/>
    <x v="1"/>
    <n v="1.5"/>
    <n v="41.57"/>
    <n v="7"/>
    <n v="31.06"/>
    <n v="154.42439999999999"/>
    <n v="429.87"/>
    <n v="3.8764546470000001"/>
    <n v="50.578000000000003"/>
  </r>
  <r>
    <s v="West"/>
    <x v="2"/>
    <d v="2017-07-03T00:00:00"/>
    <x v="81"/>
    <n v="737651736"/>
    <s v="Male"/>
    <x v="0"/>
    <s v="Ewallet"/>
    <x v="0"/>
    <n v="9.8000000000000007"/>
    <n v="48.66"/>
    <n v="10"/>
    <n v="17.82"/>
    <n v="107.9375"/>
    <n v="259"/>
    <n v="3.8764546470000001"/>
    <n v="38.97"/>
  </r>
  <r>
    <s v="West"/>
    <x v="2"/>
    <d v="2017-04-01T00:00:00"/>
    <x v="89"/>
    <n v="637529187"/>
    <s v="Male"/>
    <x v="0"/>
    <s v="Credit card"/>
    <x v="2"/>
    <n v="5.3"/>
    <n v="86.1"/>
    <n v="5"/>
    <n v="45.2"/>
    <n v="131.8673"/>
    <n v="88.85"/>
    <n v="3.8764546470000001"/>
    <n v="38.11"/>
  </r>
  <r>
    <s v="East"/>
    <x v="0"/>
    <d v="2018-05-05T00:00:00"/>
    <x v="42"/>
    <n v="423239569"/>
    <s v="Female"/>
    <x v="1"/>
    <s v="Ewallet"/>
    <x v="0"/>
    <n v="7.9"/>
    <n v="62.69"/>
    <n v="9"/>
    <n v="99.21"/>
    <n v="143.41489999999999"/>
    <n v="207.27"/>
    <n v="3.8764546470000001"/>
    <n v="81.099999999999994"/>
  </r>
  <r>
    <s v="south"/>
    <x v="1"/>
    <d v="2018-07-08T00:00:00"/>
    <x v="42"/>
    <n v="893149333"/>
    <s v="Female"/>
    <x v="0"/>
    <s v="Credit card"/>
    <x v="1"/>
    <n v="7.3"/>
    <n v="85.75"/>
    <n v="9"/>
    <n v="17.79"/>
    <n v="125.72020000000001"/>
    <n v="599.85"/>
    <n v="3.8764546470000001"/>
    <n v="14.19"/>
  </r>
  <r>
    <s v="south"/>
    <x v="1"/>
    <d v="2018-08-07T00:00:00"/>
    <x v="44"/>
    <n v="968471334"/>
    <s v="Female"/>
    <x v="0"/>
    <s v="Ewallet"/>
    <x v="2"/>
    <n v="7.2"/>
    <n v="57.02"/>
    <n v="10"/>
    <n v="35.659999999999997"/>
    <n v="158.54060000000001"/>
    <n v="285.3"/>
    <n v="3.8764546470000001"/>
    <n v="35.71"/>
  </r>
  <r>
    <s v="West"/>
    <x v="2"/>
    <d v="2017-12-12T00:00:00"/>
    <x v="136"/>
    <n v="856254161"/>
    <s v="Female"/>
    <x v="1"/>
    <s v="Ewallet"/>
    <x v="5"/>
    <n v="7"/>
    <n v="56.6"/>
    <n v="3"/>
    <n v="68.7"/>
    <n v="111.65349999999999"/>
    <n v="91.11"/>
    <n v="3.8764546470000001"/>
    <n v="71.16"/>
  </r>
  <r>
    <s v="West"/>
    <x v="2"/>
    <d v="2017-06-25T00:00:00"/>
    <x v="137"/>
    <n v="800118645"/>
    <s v="Female"/>
    <x v="1"/>
    <s v="Credit card"/>
    <x v="1"/>
    <n v="1.8"/>
    <n v="17.66"/>
    <n v="9"/>
    <n v="48.66"/>
    <n v="149.2371"/>
    <n v="897.57"/>
    <n v="3.8764546470000001"/>
    <n v="65.09"/>
  </r>
  <r>
    <s v="East"/>
    <x v="0"/>
    <d v="2018-04-23T00:00:00"/>
    <x v="135"/>
    <n v="505116700"/>
    <s v="Male"/>
    <x v="1"/>
    <s v="Ewallet"/>
    <x v="1"/>
    <n v="8"/>
    <n v="95.69"/>
    <n v="9"/>
    <n v="81.06"/>
    <n v="171.82329999999999"/>
    <n v="236.07"/>
    <n v="3.8764546470000001"/>
    <n v="79.075999999999993"/>
  </r>
  <r>
    <s v="south"/>
    <x v="1"/>
    <d v="2018-02-02T00:00:00"/>
    <x v="97"/>
    <n v="802138657"/>
    <s v="Female"/>
    <x v="1"/>
    <s v="Cash"/>
    <x v="4"/>
    <n v="2"/>
    <n v="26.16"/>
    <n v="9"/>
    <n v="46.58"/>
    <n v="158.84710000000001"/>
    <n v="839.34"/>
    <n v="3.8764546470000001"/>
    <n v="79.986000000000004"/>
  </r>
  <r>
    <s v="West"/>
    <x v="2"/>
    <d v="2017-12-25T00:00:00"/>
    <x v="35"/>
    <n v="694662065"/>
    <s v="Male"/>
    <x v="1"/>
    <s v="Ewallet"/>
    <x v="2"/>
    <n v="6.8"/>
    <n v="29.98"/>
    <n v="5"/>
    <n v="40.42"/>
    <n v="170.2867"/>
    <n v="461.8"/>
    <n v="3.8764546470000001"/>
    <n v="99.897999999999996"/>
  </r>
  <r>
    <s v="West"/>
    <x v="2"/>
    <d v="2018-02-19T00:00:00"/>
    <x v="58"/>
    <n v="42825393"/>
    <s v="Male"/>
    <x v="1"/>
    <s v="Credit card"/>
    <x v="3"/>
    <n v="1.4"/>
    <n v="36.049999999999997"/>
    <n v="3"/>
    <n v="59.88"/>
    <n v="134.1858"/>
    <n v="139.26"/>
    <n v="3.8764546470000001"/>
    <n v="85.174000000000007"/>
  </r>
  <r>
    <s v="West"/>
    <x v="2"/>
    <d v="2018-03-22T00:00:00"/>
    <x v="138"/>
    <n v="897426064"/>
    <s v="Female"/>
    <x v="0"/>
    <s v="Cash"/>
    <x v="3"/>
    <n v="8.6999999999999993"/>
    <n v="29.94"/>
    <n v="7"/>
    <n v="92.01"/>
    <n v="156.11240000000001"/>
    <n v="207.27"/>
    <n v="3.8764546470000001"/>
    <n v="66.551000000000002"/>
  </r>
  <r>
    <s v="East"/>
    <x v="0"/>
    <d v="2017-07-07T00:00:00"/>
    <x v="73"/>
    <n v="925488734"/>
    <s v="Male"/>
    <x v="1"/>
    <s v="Credit card"/>
    <x v="2"/>
    <n v="7.5"/>
    <n v="38.51"/>
    <n v="1"/>
    <n v="72.739999999999995"/>
    <n v="128.2458"/>
    <n v="18.28"/>
    <n v="3.8764546470000001"/>
    <n v="63.27"/>
  </r>
  <r>
    <s v="West"/>
    <x v="2"/>
    <d v="2018-11-04T00:00:00"/>
    <x v="11"/>
    <n v="662260888"/>
    <s v="Female"/>
    <x v="1"/>
    <s v="Cash"/>
    <x v="3"/>
    <n v="1"/>
    <n v="13.17"/>
    <n v="5"/>
    <n v="12.42"/>
    <n v="148.42099999999999"/>
    <n v="123.85"/>
    <n v="3.8764546470000001"/>
    <n v="75.86"/>
  </r>
  <r>
    <s v="East"/>
    <x v="0"/>
    <d v="2017-07-10T00:00:00"/>
    <x v="102"/>
    <n v="284116563"/>
    <s v="Female"/>
    <x v="0"/>
    <s v="Cash"/>
    <x v="1"/>
    <n v="4"/>
    <n v="99.31"/>
    <n v="3"/>
    <n v="60.17"/>
    <n v="107.0227"/>
    <n v="283.92"/>
    <n v="3.8764546470000001"/>
    <n v="36.840000000000003"/>
  </r>
  <r>
    <s v="West"/>
    <x v="2"/>
    <d v="2018-09-16T00:00:00"/>
    <x v="139"/>
    <n v="843090120"/>
    <s v="Male"/>
    <x v="1"/>
    <s v="Ewallet"/>
    <x v="5"/>
    <n v="4"/>
    <n v="42.8"/>
    <n v="8"/>
    <n v="50.06"/>
    <n v="162.81829999999999"/>
    <n v="758.96"/>
    <n v="3.8764546470000001"/>
    <n v="41.838000000000001"/>
  </r>
  <r>
    <s v="West"/>
    <x v="2"/>
    <d v="2017-05-02T00:00:00"/>
    <x v="65"/>
    <n v="113982275"/>
    <s v="Female"/>
    <x v="1"/>
    <s v="Credit card"/>
    <x v="4"/>
    <n v="7"/>
    <n v="96.99"/>
    <n v="3"/>
    <n v="85.99"/>
    <n v="126.1061"/>
    <n v="172.02"/>
    <n v="3.8764546470000001"/>
    <n v="68.429000000000002"/>
  </r>
  <r>
    <s v="West"/>
    <x v="2"/>
    <d v="2017-05-03T00:00:00"/>
    <x v="103"/>
    <n v="238695800"/>
    <s v="Male"/>
    <x v="1"/>
    <s v="Ewallet"/>
    <x v="1"/>
    <n v="9.6999999999999993"/>
    <n v="67.91"/>
    <n v="6"/>
    <n v="20.64"/>
    <n v="147.70249999999999"/>
    <n v="272.10000000000002"/>
    <n v="3.8764546470000001"/>
    <n v="35.780999999999999"/>
  </r>
  <r>
    <s v="West"/>
    <x v="2"/>
    <d v="2018-05-26T00:00:00"/>
    <x v="140"/>
    <n v="552858774"/>
    <s v="Male"/>
    <x v="1"/>
    <s v="Ewallet"/>
    <x v="4"/>
    <n v="4.9000000000000004"/>
    <n v="80.38"/>
    <n v="7"/>
    <n v="13.95"/>
    <n v="142.71289999999999"/>
    <n v="434.56"/>
    <n v="3.8764546470000001"/>
    <n v="88.093999999999994"/>
  </r>
  <r>
    <s v="south"/>
    <x v="1"/>
    <d v="2018-12-03T00:00:00"/>
    <x v="141"/>
    <n v="963406291"/>
    <s v="Male"/>
    <x v="1"/>
    <s v="Cash"/>
    <x v="1"/>
    <n v="7.9"/>
    <n v="78.3"/>
    <n v="5"/>
    <n v="87.71"/>
    <n v="182.31710000000001"/>
    <n v="59.05"/>
    <n v="3.8764546470000001"/>
    <n v="90.432000000000002"/>
  </r>
  <r>
    <s v="south"/>
    <x v="1"/>
    <d v="2018-06-13T00:00:00"/>
    <x v="14"/>
    <n v="767421740"/>
    <s v="Female"/>
    <x v="0"/>
    <s v="Cash"/>
    <x v="5"/>
    <n v="5.4"/>
    <n v="78.650000000000006"/>
    <n v="1"/>
    <n v="82.93"/>
    <n v="172.38919999999999"/>
    <n v="12.54"/>
    <n v="3.8764546470000001"/>
    <n v="87.88"/>
  </r>
  <r>
    <s v="East"/>
    <x v="0"/>
    <d v="2017-05-11T00:00:00"/>
    <x v="142"/>
    <n v="930261648"/>
    <s v="Male"/>
    <x v="1"/>
    <s v="Cash"/>
    <x v="4"/>
    <n v="3.5"/>
    <n v="21.92"/>
    <n v="2"/>
    <n v="18.66"/>
    <n v="139.08609999999999"/>
    <n v="86.5"/>
    <n v="3.8764546470000001"/>
    <n v="60.94"/>
  </r>
  <r>
    <s v="south"/>
    <x v="1"/>
    <d v="2018-02-05T00:00:00"/>
    <x v="143"/>
    <n v="358506290"/>
    <s v="Female"/>
    <x v="0"/>
    <s v="Credit card"/>
    <x v="3"/>
    <n v="7"/>
    <n v="43.56"/>
    <n v="2"/>
    <n v="61.74"/>
    <n v="179.27189999999999"/>
    <n v="174.32"/>
    <n v="3.8764546470000001"/>
    <n v="26"/>
  </r>
  <r>
    <s v="West"/>
    <x v="2"/>
    <d v="2018-05-06T00:00:00"/>
    <x v="144"/>
    <n v="110733935"/>
    <s v="Male"/>
    <x v="0"/>
    <s v="Ewallet"/>
    <x v="0"/>
    <n v="6.7"/>
    <n v="82.62"/>
    <n v="9"/>
    <n v="28.82"/>
    <n v="171.27680000000001"/>
    <n v="624.33000000000004"/>
    <n v="3.8764546470000001"/>
    <n v="41.35"/>
  </r>
  <r>
    <s v="south"/>
    <x v="1"/>
    <d v="2017-03-22T00:00:00"/>
    <x v="145"/>
    <n v="545796153"/>
    <s v="Male"/>
    <x v="0"/>
    <s v="Ewallet"/>
    <x v="1"/>
    <n v="6.6"/>
    <n v="22.3"/>
    <n v="4"/>
    <n v="34.28"/>
    <n v="119.0318"/>
    <n v="148.24"/>
    <n v="3.8764546470000001"/>
    <n v="18.478999999999999"/>
  </r>
  <r>
    <s v="West"/>
    <x v="2"/>
    <d v="2017-05-06T00:00:00"/>
    <x v="146"/>
    <n v="887112200"/>
    <s v="Female"/>
    <x v="0"/>
    <s v="Cash"/>
    <x v="1"/>
    <n v="7"/>
    <n v="80.75"/>
    <n v="6"/>
    <n v="18.98"/>
    <n v="183.25"/>
    <n v="544.20000000000005"/>
    <n v="3.8764546470000001"/>
    <n v="89.298000000000002"/>
  </r>
  <r>
    <s v="East"/>
    <x v="0"/>
    <d v="2018-08-14T00:00:00"/>
    <x v="17"/>
    <n v="673527571"/>
    <s v="Female"/>
    <x v="1"/>
    <s v="Ewallet"/>
    <x v="2"/>
    <n v="7"/>
    <n v="95.94"/>
    <n v="8"/>
    <n v="22.26"/>
    <n v="136.72909999999999"/>
    <n v="507.36"/>
    <n v="3.8764546470000001"/>
    <n v="34.76"/>
  </r>
  <r>
    <s v="West"/>
    <x v="2"/>
    <d v="2018-07-04T00:00:00"/>
    <x v="147"/>
    <n v="387642408"/>
    <s v="Female"/>
    <x v="1"/>
    <s v="Cash"/>
    <x v="5"/>
    <n v="1"/>
    <n v="79.7"/>
    <n v="2"/>
    <n v="97.57"/>
    <n v="163.8417"/>
    <n v="162.74"/>
    <n v="3.8764546470000001"/>
    <n v="17.459"/>
  </r>
  <r>
    <s v="West"/>
    <x v="2"/>
    <d v="2017-08-15T00:00:00"/>
    <x v="148"/>
    <n v="798640046"/>
    <s v="Female"/>
    <x v="0"/>
    <s v="Credit card"/>
    <x v="1"/>
    <n v="4"/>
    <n v="23.03"/>
    <n v="3"/>
    <n v="10.07"/>
    <n v="125.7928"/>
    <n v="31.77"/>
    <n v="3.8764546470000001"/>
    <n v="51.06"/>
  </r>
  <r>
    <s v="West"/>
    <x v="2"/>
    <d v="2018-07-26T00:00:00"/>
    <x v="27"/>
    <n v="895387800"/>
    <s v="Female"/>
    <x v="1"/>
    <s v="Cash"/>
    <x v="0"/>
    <n v="8"/>
    <n v="74.989999999999995"/>
    <n v="9"/>
    <n v="45.55"/>
    <n v="159.68369999999999"/>
    <n v="756.81"/>
    <n v="3.8764546470000001"/>
    <n v="80.06"/>
  </r>
  <r>
    <s v="West"/>
    <x v="2"/>
    <d v="2017-06-28T00:00:00"/>
    <x v="149"/>
    <n v="21010612"/>
    <s v="Male"/>
    <x v="0"/>
    <s v="Cash"/>
    <x v="5"/>
    <n v="1"/>
    <n v="71.92"/>
    <n v="4"/>
    <n v="97.42"/>
    <n v="184.15260000000001"/>
    <n v="295.27999999999997"/>
    <n v="3.8764546470000001"/>
    <n v="64.06"/>
  </r>
  <r>
    <s v="East"/>
    <x v="0"/>
    <d v="2017-03-26T00:00:00"/>
    <x v="22"/>
    <n v="146192867"/>
    <s v="Male"/>
    <x v="0"/>
    <s v="Ewallet"/>
    <x v="0"/>
    <n v="3"/>
    <n v="37.409999999999997"/>
    <n v="10"/>
    <n v="93.25"/>
    <n v="106.1674"/>
    <n v="519.4"/>
    <n v="3.8764546470000001"/>
    <n v="22.64"/>
  </r>
  <r>
    <s v="East"/>
    <x v="0"/>
    <d v="2017-04-22T00:00:00"/>
    <x v="13"/>
    <n v="309247610"/>
    <s v="Female"/>
    <x v="1"/>
    <s v="Ewallet"/>
    <x v="3"/>
    <n v="6"/>
    <n v="57.94"/>
    <n v="2"/>
    <n v="67.319999999999993"/>
    <n v="101.1627"/>
    <n v="186.28"/>
    <n v="3.8764546470000001"/>
    <n v="61.96"/>
  </r>
  <r>
    <s v="south"/>
    <x v="1"/>
    <d v="2018-12-07T00:00:00"/>
    <x v="90"/>
    <n v="865730492"/>
    <s v="Male"/>
    <x v="1"/>
    <s v="Credit card"/>
    <x v="0"/>
    <n v="2"/>
    <n v="40.4"/>
    <n v="5"/>
    <n v="80.78"/>
    <n v="139.91480000000001"/>
    <n v="87.05"/>
    <n v="3.8764546470000001"/>
    <n v="22.63"/>
  </r>
  <r>
    <s v="south"/>
    <x v="1"/>
    <d v="2018-09-20T00:00:00"/>
    <x v="150"/>
    <n v="943337677"/>
    <s v="Female"/>
    <x v="0"/>
    <s v="Credit card"/>
    <x v="5"/>
    <n v="2.1"/>
    <n v="79.39"/>
    <n v="5"/>
    <n v="70.28"/>
    <n v="153.6806"/>
    <n v="221.1"/>
    <n v="3.8764546470000001"/>
    <n v="57.87"/>
  </r>
  <r>
    <s v="West"/>
    <x v="2"/>
    <d v="2018-08-08T00:00:00"/>
    <x v="26"/>
    <n v="26544549"/>
    <s v="Female"/>
    <x v="0"/>
    <s v="Cash"/>
    <x v="1"/>
    <n v="4.2"/>
    <n v="16.72"/>
    <n v="5"/>
    <n v="41.44"/>
    <n v="175.3897"/>
    <n v="66.099999999999994"/>
    <n v="3.8764546470000001"/>
    <n v="23.79"/>
  </r>
  <r>
    <s v="East"/>
    <x v="0"/>
    <d v="2018-06-04T00:00:00"/>
    <x v="144"/>
    <n v="292254961"/>
    <s v="Male"/>
    <x v="1"/>
    <s v="Ewallet"/>
    <x v="5"/>
    <n v="7"/>
    <n v="11.22"/>
    <n v="1"/>
    <n v="66.17"/>
    <n v="175.14099999999999"/>
    <n v="89.69"/>
    <n v="3.8764546470000001"/>
    <n v="86.872"/>
  </r>
  <r>
    <s v="East"/>
    <x v="0"/>
    <d v="2018-11-28T00:00:00"/>
    <x v="118"/>
    <n v="588273775"/>
    <s v="Male"/>
    <x v="1"/>
    <s v="Credit card"/>
    <x v="4"/>
    <n v="3.7"/>
    <n v="79.819999999999993"/>
    <n v="9"/>
    <n v="62.47"/>
    <n v="173.82079999999999"/>
    <n v="224.46"/>
    <n v="3.8764546470000001"/>
    <n v="24.744"/>
  </r>
  <r>
    <s v="East"/>
    <x v="0"/>
    <d v="2018-05-28T00:00:00"/>
    <x v="90"/>
    <n v="385955511"/>
    <s v="Male"/>
    <x v="1"/>
    <s v="Credit card"/>
    <x v="0"/>
    <n v="9.1999999999999993"/>
    <n v="25.97"/>
    <n v="2"/>
    <n v="53.19"/>
    <n v="117.9255"/>
    <n v="119.54"/>
    <n v="3.8764546470000001"/>
    <n v="89.85"/>
  </r>
  <r>
    <s v="south"/>
    <x v="1"/>
    <d v="2018-05-09T00:00:00"/>
    <x v="44"/>
    <n v="150813701"/>
    <s v="Male"/>
    <x v="0"/>
    <s v="Credit card"/>
    <x v="5"/>
    <n v="8.9"/>
    <n v="89.82"/>
    <n v="2"/>
    <n v="59.24"/>
    <n v="155.46870000000001"/>
    <n v="186.4"/>
    <n v="3.8764546470000001"/>
    <n v="84.825999999999993"/>
  </r>
  <r>
    <s v="East"/>
    <x v="0"/>
    <d v="2017-11-09T00:00:00"/>
    <x v="151"/>
    <n v="115968036"/>
    <s v="Male"/>
    <x v="0"/>
    <s v="Cash"/>
    <x v="2"/>
    <n v="8"/>
    <n v="43.83"/>
    <n v="4"/>
    <n v="35.270000000000003"/>
    <n v="179.89930000000001"/>
    <n v="250.6"/>
    <n v="3.8764546470000001"/>
    <n v="39.771999999999998"/>
  </r>
  <r>
    <s v="West"/>
    <x v="2"/>
    <d v="2018-04-25T00:00:00"/>
    <x v="54"/>
    <n v="405941271"/>
    <s v="Male"/>
    <x v="1"/>
    <s v="Credit card"/>
    <x v="2"/>
    <n v="8.3000000000000007"/>
    <n v="11.27"/>
    <n v="8"/>
    <n v="46.33"/>
    <n v="168.67490000000001"/>
    <n v="750.96"/>
    <n v="3.8764546470000001"/>
    <n v="13.76"/>
  </r>
  <r>
    <s v="East"/>
    <x v="0"/>
    <d v="2018-07-25T00:00:00"/>
    <x v="82"/>
    <n v="858354013"/>
    <s v="Male"/>
    <x v="0"/>
    <s v="Cash"/>
    <x v="2"/>
    <n v="6.5"/>
    <n v="12.01"/>
    <n v="8"/>
    <n v="16.18"/>
    <n v="121.4525"/>
    <n v="380.72"/>
    <n v="3.8764546470000001"/>
    <n v="77.14"/>
  </r>
  <r>
    <s v="West"/>
    <x v="2"/>
    <d v="2018-11-17T00:00:00"/>
    <x v="124"/>
    <n v="539131006"/>
    <s v="Female"/>
    <x v="0"/>
    <s v="Cash"/>
    <x v="1"/>
    <n v="7.1"/>
    <n v="19.329999999999998"/>
    <n v="3"/>
    <n v="85.98"/>
    <n v="180.1867"/>
    <n v="244.2"/>
    <n v="3.8764546470000001"/>
    <n v="96.915999999999997"/>
  </r>
  <r>
    <s v="East"/>
    <x v="0"/>
    <d v="2017-10-28T00:00:00"/>
    <x v="152"/>
    <n v="87269428"/>
    <s v="Male"/>
    <x v="0"/>
    <s v="Ewallet"/>
    <x v="5"/>
    <n v="4"/>
    <n v="80.040000000000006"/>
    <n v="5"/>
    <n v="69.72"/>
    <n v="119.2206"/>
    <n v="89.7"/>
    <n v="3.8764546470000001"/>
    <n v="31.91"/>
  </r>
  <r>
    <s v="East"/>
    <x v="0"/>
    <d v="2017-10-12T00:00:00"/>
    <x v="153"/>
    <n v="72978848"/>
    <s v="Male"/>
    <x v="0"/>
    <s v="Credit card"/>
    <x v="1"/>
    <n v="8"/>
    <n v="48.18"/>
    <n v="4"/>
    <n v="44.45"/>
    <n v="106.31189999999999"/>
    <n v="310.88"/>
    <n v="3.8764546470000001"/>
    <n v="18.03"/>
  </r>
  <r>
    <s v="West"/>
    <x v="2"/>
    <d v="2017-06-03T00:00:00"/>
    <x v="154"/>
    <n v="722492375"/>
    <s v="Male"/>
    <x v="1"/>
    <s v="Credit card"/>
    <x v="4"/>
    <n v="7"/>
    <n v="90.08"/>
    <n v="7"/>
    <n v="12.49"/>
    <n v="117.00360000000001"/>
    <n v="511.42"/>
    <n v="3.8764546470000001"/>
    <n v="90.04"/>
  </r>
  <r>
    <s v="West"/>
    <x v="2"/>
    <d v="2018-05-20T00:00:00"/>
    <x v="14"/>
    <n v="956852917"/>
    <s v="Male"/>
    <x v="0"/>
    <s v="Ewallet"/>
    <x v="4"/>
    <n v="5.3"/>
    <n v="36.049999999999997"/>
    <n v="9"/>
    <n v="47.69"/>
    <n v="182.44489999999999"/>
    <n v="418.95"/>
    <n v="3.8764546470000001"/>
    <n v="13.15"/>
  </r>
  <r>
    <s v="south"/>
    <x v="1"/>
    <d v="2017-04-09T00:00:00"/>
    <x v="129"/>
    <n v="231758371"/>
    <s v="Male"/>
    <x v="0"/>
    <s v="Credit card"/>
    <x v="5"/>
    <n v="3.3"/>
    <n v="94.73"/>
    <n v="10"/>
    <n v="65.040000000000006"/>
    <n v="130.09870000000001"/>
    <n v="351.9"/>
    <n v="3.8764546470000001"/>
    <n v="90.35"/>
  </r>
  <r>
    <s v="south"/>
    <x v="1"/>
    <d v="2018-03-21T00:00:00"/>
    <x v="155"/>
    <n v="878549340"/>
    <s v="Female"/>
    <x v="1"/>
    <s v="Credit card"/>
    <x v="3"/>
    <n v="2.1"/>
    <n v="11.88"/>
    <n v="2"/>
    <n v="73.08"/>
    <n v="163.1748"/>
    <n v="28.78"/>
    <n v="3.8764546470000001"/>
    <n v="42.54"/>
  </r>
  <r>
    <s v="East"/>
    <x v="0"/>
    <d v="2017-10-08T00:00:00"/>
    <x v="99"/>
    <n v="528565203"/>
    <s v="Male"/>
    <x v="1"/>
    <s v="Cash"/>
    <x v="2"/>
    <n v="3"/>
    <n v="25.37"/>
    <n v="4"/>
    <n v="39.97"/>
    <n v="126.4165"/>
    <n v="95"/>
    <n v="3.8764546470000001"/>
    <n v="69.459999999999994"/>
  </r>
  <r>
    <s v="East"/>
    <x v="0"/>
    <d v="2017-05-08T00:00:00"/>
    <x v="156"/>
    <n v="698423526"/>
    <s v="Male"/>
    <x v="0"/>
    <s v="Cash"/>
    <x v="2"/>
    <n v="6.6"/>
    <n v="36.24"/>
    <n v="8"/>
    <n v="93.15"/>
    <n v="128.0438"/>
    <n v="471.2"/>
    <n v="3.8764546470000001"/>
    <n v="98.7"/>
  </r>
  <r>
    <s v="West"/>
    <x v="2"/>
    <d v="2018-04-20T00:00:00"/>
    <x v="58"/>
    <n v="972041155"/>
    <s v="Male"/>
    <x v="0"/>
    <s v="Cash"/>
    <x v="5"/>
    <n v="8.1"/>
    <n v="90.94"/>
    <n v="4"/>
    <n v="29.26"/>
    <n v="174.55269999999999"/>
    <n v="130.47999999999999"/>
    <n v="3.8764546470000001"/>
    <n v="11.06"/>
  </r>
  <r>
    <s v="East"/>
    <x v="0"/>
    <d v="2018-09-29T00:00:00"/>
    <x v="115"/>
    <n v="890465719"/>
    <s v="Male"/>
    <x v="0"/>
    <s v="Credit card"/>
    <x v="1"/>
    <n v="6"/>
    <n v="30.82"/>
    <n v="1"/>
    <n v="39.79"/>
    <n v="183.61750000000001"/>
    <n v="66.349999999999994"/>
    <n v="3.8764546470000001"/>
    <n v="74.113"/>
  </r>
  <r>
    <s v="East"/>
    <x v="0"/>
    <d v="2018-09-16T00:00:00"/>
    <x v="0"/>
    <n v="786381776"/>
    <s v="Male"/>
    <x v="0"/>
    <s v="Ewallet"/>
    <x v="2"/>
    <n v="2.6"/>
    <n v="67.540000000000006"/>
    <n v="6"/>
    <n v="63.45"/>
    <n v="106.3156"/>
    <n v="155.46"/>
    <n v="3.8764546470000001"/>
    <n v="41.027999999999999"/>
  </r>
  <r>
    <s v="East"/>
    <x v="0"/>
    <d v="2018-04-15T00:00:00"/>
    <x v="139"/>
    <n v="298303159"/>
    <s v="Male"/>
    <x v="0"/>
    <s v="Ewallet"/>
    <x v="1"/>
    <n v="3.4"/>
    <n v="13.28"/>
    <n v="4"/>
    <n v="18.82"/>
    <n v="100.08450000000001"/>
    <n v="129"/>
    <n v="3.8764546470000001"/>
    <n v="55.558"/>
  </r>
  <r>
    <s v="south"/>
    <x v="1"/>
    <d v="2018-02-21T00:00:00"/>
    <x v="135"/>
    <n v="232510823"/>
    <s v="Male"/>
    <x v="0"/>
    <s v="Credit card"/>
    <x v="1"/>
    <n v="1.1000000000000001"/>
    <n v="13.25"/>
    <n v="4"/>
    <n v="80.349999999999994"/>
    <n v="119.0866"/>
    <n v="263.76"/>
    <n v="3.8764546470000001"/>
    <n v="90.09"/>
  </r>
  <r>
    <s v="East"/>
    <x v="0"/>
    <d v="2017-06-29T00:00:00"/>
    <x v="114"/>
    <n v="811169226"/>
    <s v="Female"/>
    <x v="1"/>
    <s v="Ewallet"/>
    <x v="1"/>
    <n v="1.6"/>
    <n v="18.670000000000002"/>
    <n v="9"/>
    <n v="90.01"/>
    <n v="108.4181"/>
    <n v="675.54"/>
    <n v="3.8764546470000001"/>
    <n v="26.186"/>
  </r>
  <r>
    <s v="south"/>
    <x v="1"/>
    <d v="2017-11-11T00:00:00"/>
    <x v="121"/>
    <n v="478966214"/>
    <s v="Female"/>
    <x v="1"/>
    <s v="Ewallet"/>
    <x v="5"/>
    <n v="9.1999999999999993"/>
    <n v="87.14"/>
    <n v="4"/>
    <n v="82.01"/>
    <n v="173.34119999999999"/>
    <n v="65.8"/>
    <n v="3.8764546470000001"/>
    <n v="90.393000000000001"/>
  </r>
  <r>
    <s v="West"/>
    <x v="2"/>
    <d v="2018-04-04T00:00:00"/>
    <x v="142"/>
    <n v="613696776"/>
    <s v="Female"/>
    <x v="0"/>
    <s v="Cash"/>
    <x v="5"/>
    <n v="2"/>
    <n v="16.96"/>
    <n v="4"/>
    <n v="15.15"/>
    <n v="189.1438"/>
    <n v="153.19999999999999"/>
    <n v="3.8764546470000001"/>
    <n v="44.997999999999998"/>
  </r>
  <r>
    <s v="East"/>
    <x v="0"/>
    <d v="2018-07-10T00:00:00"/>
    <x v="45"/>
    <n v="582608291"/>
    <s v="Female"/>
    <x v="0"/>
    <s v="Cash"/>
    <x v="3"/>
    <n v="7.2"/>
    <n v="89.58"/>
    <n v="10"/>
    <n v="93.86"/>
    <n v="124.26600000000001"/>
    <n v="222.4"/>
    <n v="3.8764546470000001"/>
    <n v="86.58"/>
  </r>
  <r>
    <s v="West"/>
    <x v="2"/>
    <d v="2018-01-30T00:00:00"/>
    <x v="72"/>
    <n v="68636769"/>
    <s v="Male"/>
    <x v="1"/>
    <s v="Ewallet"/>
    <x v="3"/>
    <n v="4.5"/>
    <n v="29.4"/>
    <n v="1"/>
    <n v="79.010000000000005"/>
    <n v="128.56899999999999"/>
    <n v="54.45"/>
    <n v="3.8764546470000001"/>
    <n v="60.85"/>
  </r>
  <r>
    <s v="East"/>
    <x v="0"/>
    <d v="2018-09-11T00:00:00"/>
    <x v="157"/>
    <n v="676618317"/>
    <s v="Female"/>
    <x v="0"/>
    <s v="Credit card"/>
    <x v="3"/>
    <n v="10"/>
    <n v="83.86"/>
    <n v="7"/>
    <n v="45.32"/>
    <n v="125.42270000000001"/>
    <n v="688.8"/>
    <n v="3.8764546470000001"/>
    <n v="39.57"/>
  </r>
  <r>
    <s v="south"/>
    <x v="1"/>
    <d v="2018-01-05T00:00:00"/>
    <x v="154"/>
    <n v="659109066"/>
    <s v="Male"/>
    <x v="1"/>
    <s v="Credit card"/>
    <x v="2"/>
    <n v="8.6999999999999993"/>
    <n v="83.34"/>
    <n v="4"/>
    <n v="67.19"/>
    <n v="145.26130000000001"/>
    <n v="141.88"/>
    <n v="3.8764546470000001"/>
    <n v="85.18"/>
  </r>
  <r>
    <s v="West"/>
    <x v="2"/>
    <d v="2018-10-30T00:00:00"/>
    <x v="18"/>
    <n v="34121478"/>
    <s v="Female"/>
    <x v="0"/>
    <s v="Cash"/>
    <x v="4"/>
    <n v="5.7"/>
    <n v="71.23"/>
    <n v="10"/>
    <n v="52.2"/>
    <n v="174.26609999999999"/>
    <n v="746"/>
    <n v="3.8764546470000001"/>
    <n v="85.85"/>
  </r>
  <r>
    <s v="East"/>
    <x v="0"/>
    <d v="2018-11-18T00:00:00"/>
    <x v="142"/>
    <n v="363976404"/>
    <s v="Male"/>
    <x v="0"/>
    <s v="Credit card"/>
    <x v="2"/>
    <n v="9.5"/>
    <n v="43.99"/>
    <n v="4"/>
    <n v="54.8"/>
    <n v="125.8635"/>
    <n v="282.95999999999998"/>
    <n v="3.8764546470000001"/>
    <n v="73.209999999999994"/>
  </r>
  <r>
    <s v="East"/>
    <x v="0"/>
    <d v="2018-05-08T00:00:00"/>
    <x v="99"/>
    <n v="883672318"/>
    <s v="Female"/>
    <x v="0"/>
    <s v="Ewallet"/>
    <x v="2"/>
    <n v="3"/>
    <n v="97.99"/>
    <n v="10"/>
    <n v="13.93"/>
    <n v="135.88839999999999"/>
    <n v="355.4"/>
    <n v="3.8764546470000001"/>
    <n v="39.479999999999997"/>
  </r>
  <r>
    <s v="West"/>
    <x v="2"/>
    <d v="2017-08-25T00:00:00"/>
    <x v="108"/>
    <n v="225005859"/>
    <s v="Female"/>
    <x v="1"/>
    <s v="Ewallet"/>
    <x v="3"/>
    <n v="6.5"/>
    <n v="40.479999999999997"/>
    <n v="5"/>
    <n v="53.44"/>
    <n v="185.4359"/>
    <n v="337.15"/>
    <n v="3.8764546470000001"/>
    <n v="77.17"/>
  </r>
  <r>
    <s v="south"/>
    <x v="1"/>
    <d v="2018-01-18T00:00:00"/>
    <x v="39"/>
    <n v="42947182"/>
    <s v="Female"/>
    <x v="0"/>
    <s v="Cash"/>
    <x v="0"/>
    <n v="6.3"/>
    <n v="93.67"/>
    <n v="2"/>
    <n v="99.68"/>
    <n v="107.69799999999999"/>
    <n v="42.24"/>
    <n v="3.8764546470000001"/>
    <n v="96.703999999999994"/>
  </r>
  <r>
    <s v="East"/>
    <x v="0"/>
    <d v="2018-04-22T00:00:00"/>
    <x v="135"/>
    <n v="321487974"/>
    <s v="Female"/>
    <x v="0"/>
    <s v="Credit card"/>
    <x v="2"/>
    <n v="4.5"/>
    <n v="36.880000000000003"/>
    <n v="9"/>
    <n v="88.29"/>
    <n v="102.2054"/>
    <n v="193.86"/>
    <n v="3.8764546470000001"/>
    <n v="67.567999999999998"/>
  </r>
  <r>
    <s v="East"/>
    <x v="0"/>
    <d v="2017-09-30T00:00:00"/>
    <x v="94"/>
    <n v="123896065"/>
    <s v="Female"/>
    <x v="1"/>
    <s v="Cash"/>
    <x v="2"/>
    <n v="1.2"/>
    <n v="53.55"/>
    <n v="2"/>
    <n v="69.13"/>
    <n v="152.8614"/>
    <n v="24.06"/>
    <n v="3.8764546470000001"/>
    <n v="18.86"/>
  </r>
  <r>
    <s v="West"/>
    <x v="2"/>
    <d v="2017-11-26T00:00:00"/>
    <x v="69"/>
    <n v="117760599"/>
    <s v="Female"/>
    <x v="1"/>
    <s v="Ewallet"/>
    <x v="0"/>
    <n v="5.0999999999999996"/>
    <n v="11.83"/>
    <n v="6"/>
    <n v="49.75"/>
    <n v="185.5454"/>
    <n v="598.26"/>
    <n v="3.8764546470000001"/>
    <n v="80.510000000000005"/>
  </r>
  <r>
    <s v="West"/>
    <x v="2"/>
    <d v="2018-06-18T00:00:00"/>
    <x v="107"/>
    <n v="804420906"/>
    <s v="Male"/>
    <x v="1"/>
    <s v="Cash"/>
    <x v="5"/>
    <n v="9"/>
    <n v="96.43"/>
    <n v="7"/>
    <n v="93.5"/>
    <n v="180.1001"/>
    <n v="335.79"/>
    <n v="3.8764546470000001"/>
    <n v="80.183999999999997"/>
  </r>
  <r>
    <s v="south"/>
    <x v="1"/>
    <d v="2017-11-20T00:00:00"/>
    <x v="158"/>
    <n v="124724411"/>
    <s v="Female"/>
    <x v="0"/>
    <s v="Cash"/>
    <x v="2"/>
    <n v="4.8"/>
    <n v="39.76"/>
    <n v="10"/>
    <n v="26.48"/>
    <n v="182.50470000000001"/>
    <n v="218.2"/>
    <n v="3.8764546470000001"/>
    <n v="87.65"/>
  </r>
  <r>
    <s v="south"/>
    <x v="1"/>
    <d v="2017-04-20T00:00:00"/>
    <x v="111"/>
    <n v="48683070"/>
    <s v="Female"/>
    <x v="1"/>
    <s v="Ewallet"/>
    <x v="5"/>
    <n v="2.9"/>
    <n v="37.5"/>
    <n v="4"/>
    <n v="85.19"/>
    <n v="117.37390000000001"/>
    <n v="381.68"/>
    <n v="3.8764546470000001"/>
    <n v="15.35"/>
  </r>
  <r>
    <s v="south"/>
    <x v="1"/>
    <d v="2018-11-26T00:00:00"/>
    <x v="159"/>
    <n v="213983370"/>
    <s v="Male"/>
    <x v="0"/>
    <s v="Cash"/>
    <x v="5"/>
    <n v="1.9"/>
    <n v="85.21"/>
    <n v="10"/>
    <n v="31.22"/>
    <n v="132.89590000000001"/>
    <n v="709.9"/>
    <n v="3.8764546470000001"/>
    <n v="11.24"/>
  </r>
  <r>
    <s v="East"/>
    <x v="0"/>
    <d v="2018-03-14T00:00:00"/>
    <x v="160"/>
    <n v="893810103"/>
    <s v="Male"/>
    <x v="0"/>
    <s v="Credit card"/>
    <x v="3"/>
    <n v="1"/>
    <n v="23.33"/>
    <n v="10"/>
    <n v="44.72"/>
    <n v="132.1841"/>
    <n v="440.2"/>
    <n v="3.8764546470000001"/>
    <n v="39.409999999999997"/>
  </r>
  <r>
    <s v="East"/>
    <x v="0"/>
    <d v="2017-03-15T00:00:00"/>
    <x v="118"/>
    <n v="458669258"/>
    <s v="Female"/>
    <x v="1"/>
    <s v="Credit card"/>
    <x v="2"/>
    <n v="1.2"/>
    <n v="12.46"/>
    <n v="8"/>
    <n v="42.14"/>
    <n v="168.9803"/>
    <n v="559.67999999999995"/>
    <n v="3.8764546470000001"/>
    <n v="57.62"/>
  </r>
  <r>
    <s v="south"/>
    <x v="1"/>
    <d v="2018-06-21T00:00:00"/>
    <x v="103"/>
    <n v="249303617"/>
    <s v="Male"/>
    <x v="1"/>
    <s v="Credit card"/>
    <x v="2"/>
    <n v="9.3000000000000007"/>
    <n v="50.57"/>
    <n v="1"/>
    <n v="67.400000000000006"/>
    <n v="133.8587"/>
    <n v="37"/>
    <n v="3.8764546470000001"/>
    <n v="14.36"/>
  </r>
  <r>
    <s v="East"/>
    <x v="0"/>
    <d v="2018-01-19T00:00:00"/>
    <x v="46"/>
    <n v="770322004"/>
    <s v="Female"/>
    <x v="1"/>
    <s v="Cash"/>
    <x v="3"/>
    <n v="5.0999999999999996"/>
    <n v="12.14"/>
    <n v="1"/>
    <n v="71.78"/>
    <n v="151.7611"/>
    <n v="15.34"/>
    <n v="3.8764546470000001"/>
    <n v="12.71"/>
  </r>
  <r>
    <s v="East"/>
    <x v="0"/>
    <d v="2017-09-25T00:00:00"/>
    <x v="13"/>
    <n v="833357493"/>
    <s v="Male"/>
    <x v="0"/>
    <s v="Ewallet"/>
    <x v="0"/>
    <n v="2.8"/>
    <n v="11.51"/>
    <n v="6"/>
    <n v="34.44"/>
    <n v="153.00960000000001"/>
    <n v="598.98"/>
    <n v="3.8764546470000001"/>
    <n v="22.771999999999998"/>
  </r>
  <r>
    <s v="East"/>
    <x v="0"/>
    <d v="2018-05-11T00:00:00"/>
    <x v="161"/>
    <n v="52657772"/>
    <s v="Female"/>
    <x v="0"/>
    <s v="Cash"/>
    <x v="0"/>
    <n v="9"/>
    <n v="79.53"/>
    <n v="4"/>
    <n v="93.25"/>
    <n v="155.07140000000001"/>
    <n v="190.68"/>
    <n v="3.8764546470000001"/>
    <n v="37.451999999999998"/>
  </r>
  <r>
    <s v="West"/>
    <x v="2"/>
    <d v="2018-12-01T00:00:00"/>
    <x v="42"/>
    <n v="995769723"/>
    <s v="Male"/>
    <x v="1"/>
    <s v="Cash"/>
    <x v="0"/>
    <n v="7"/>
    <n v="61.83"/>
    <n v="5"/>
    <n v="41.62"/>
    <n v="120.4663"/>
    <n v="333.4"/>
    <n v="3.8764546470000001"/>
    <n v="38.692999999999998"/>
  </r>
  <r>
    <s v="south"/>
    <x v="1"/>
    <d v="2018-11-19T00:00:00"/>
    <x v="63"/>
    <n v="867176243"/>
    <s v="Male"/>
    <x v="0"/>
    <s v="Cash"/>
    <x v="2"/>
    <n v="7.7"/>
    <n v="53.93"/>
    <n v="1"/>
    <n v="13.71"/>
    <n v="124.8481"/>
    <n v="74.86"/>
    <n v="3.8764546470000001"/>
    <n v="20.986999999999998"/>
  </r>
  <r>
    <s v="south"/>
    <x v="1"/>
    <d v="2017-06-01T00:00:00"/>
    <x v="161"/>
    <n v="626590358"/>
    <s v="Female"/>
    <x v="1"/>
    <s v="Cash"/>
    <x v="3"/>
    <n v="3"/>
    <n v="38.39"/>
    <n v="9"/>
    <n v="54.35"/>
    <n v="171.30420000000001"/>
    <n v="213.75"/>
    <n v="3.8764546470000001"/>
    <n v="42.91"/>
  </r>
  <r>
    <s v="West"/>
    <x v="2"/>
    <d v="2018-05-20T00:00:00"/>
    <x v="97"/>
    <n v="260407534"/>
    <s v="Female"/>
    <x v="1"/>
    <s v="Credit card"/>
    <x v="4"/>
    <n v="4"/>
    <n v="11.04"/>
    <n v="7"/>
    <n v="24.92"/>
    <n v="113.48309999999999"/>
    <n v="339.57"/>
    <n v="3.8764546470000001"/>
    <n v="88.93"/>
  </r>
  <r>
    <s v="East"/>
    <x v="0"/>
    <d v="2018-01-02T00:00:00"/>
    <x v="126"/>
    <n v="658832910"/>
    <s v="Female"/>
    <x v="0"/>
    <s v="Cash"/>
    <x v="2"/>
    <n v="1"/>
    <n v="58.72"/>
    <n v="7"/>
    <n v="13.44"/>
    <n v="101.2623"/>
    <n v="664.16"/>
    <n v="3.8764546470000001"/>
    <n v="73.3"/>
  </r>
  <r>
    <s v="West"/>
    <x v="2"/>
    <d v="2018-05-24T00:00:00"/>
    <x v="115"/>
    <n v="80672873"/>
    <s v="Male"/>
    <x v="0"/>
    <s v="Credit card"/>
    <x v="1"/>
    <n v="1"/>
    <n v="37.03"/>
    <n v="10"/>
    <n v="80.790000000000006"/>
    <n v="145.04689999999999"/>
    <n v="403"/>
    <n v="3.8764546470000001"/>
    <n v="82.35"/>
  </r>
  <r>
    <s v="south"/>
    <x v="1"/>
    <d v="2017-11-14T00:00:00"/>
    <x v="162"/>
    <n v="883819922"/>
    <s v="Male"/>
    <x v="1"/>
    <s v="Ewallet"/>
    <x v="1"/>
    <n v="4.0999999999999996"/>
    <n v="37.14"/>
    <n v="7"/>
    <n v="59.36"/>
    <n v="181.6096"/>
    <n v="194.95"/>
    <n v="3.8764546470000001"/>
    <n v="45.43"/>
  </r>
  <r>
    <s v="East"/>
    <x v="0"/>
    <d v="2017-05-13T00:00:00"/>
    <x v="148"/>
    <n v="949292427"/>
    <s v="Female"/>
    <x v="0"/>
    <s v="Cash"/>
    <x v="1"/>
    <n v="8.9"/>
    <n v="41.14"/>
    <n v="1"/>
    <n v="65.569999999999993"/>
    <n v="127.1829"/>
    <n v="62.48"/>
    <n v="3.8764546470000001"/>
    <n v="65.599999999999994"/>
  </r>
  <r>
    <s v="East"/>
    <x v="0"/>
    <d v="2018-02-19T00:00:00"/>
    <x v="105"/>
    <n v="302715096"/>
    <s v="Female"/>
    <x v="0"/>
    <s v="Cash"/>
    <x v="4"/>
    <n v="3"/>
    <n v="27.88"/>
    <n v="2"/>
    <n v="80.25"/>
    <n v="136.29560000000001"/>
    <n v="72.72"/>
    <n v="3.8764546470000001"/>
    <n v="49.207999999999998"/>
  </r>
  <r>
    <s v="West"/>
    <x v="2"/>
    <d v="2017-06-20T00:00:00"/>
    <x v="65"/>
    <n v="165953842"/>
    <s v="Male"/>
    <x v="1"/>
    <s v="Ewallet"/>
    <x v="0"/>
    <n v="4.7"/>
    <n v="16.739999999999998"/>
    <n v="10"/>
    <n v="34.369999999999997"/>
    <n v="127.7546"/>
    <n v="181.1"/>
    <n v="3.8764546470000001"/>
    <n v="28.553000000000001"/>
  </r>
  <r>
    <s v="south"/>
    <x v="1"/>
    <d v="2017-09-25T00:00:00"/>
    <x v="1"/>
    <n v="928122202"/>
    <s v="Female"/>
    <x v="0"/>
    <s v="Cash"/>
    <x v="1"/>
    <n v="8.3000000000000007"/>
    <n v="67.25"/>
    <n v="5"/>
    <n v="39.06"/>
    <n v="132.90369999999999"/>
    <n v="259.60000000000002"/>
    <n v="3.8764546470000001"/>
    <n v="78.09"/>
  </r>
  <r>
    <s v="south"/>
    <x v="1"/>
    <d v="2017-11-05T00:00:00"/>
    <x v="31"/>
    <n v="382585819"/>
    <s v="Male"/>
    <x v="1"/>
    <s v="Cash"/>
    <x v="1"/>
    <n v="8.6"/>
    <n v="90.95"/>
    <n v="4"/>
    <n v="33.81"/>
    <n v="158.5943"/>
    <n v="115.36"/>
    <n v="3.8764546470000001"/>
    <n v="79.908000000000001"/>
  </r>
  <r>
    <s v="East"/>
    <x v="0"/>
    <d v="2017-12-23T00:00:00"/>
    <x v="163"/>
    <n v="762037935"/>
    <s v="Male"/>
    <x v="0"/>
    <s v="Ewallet"/>
    <x v="2"/>
    <n v="3"/>
    <n v="73.58"/>
    <n v="6"/>
    <n v="39.44"/>
    <n v="163.2552"/>
    <n v="470.28"/>
    <n v="3.8764546470000001"/>
    <n v="24.85"/>
  </r>
  <r>
    <s v="East"/>
    <x v="0"/>
    <d v="2017-10-05T00:00:00"/>
    <x v="86"/>
    <n v="982531805"/>
    <s v="Male"/>
    <x v="0"/>
    <s v="Cash"/>
    <x v="2"/>
    <n v="8"/>
    <n v="16.25"/>
    <n v="4"/>
    <n v="97.1"/>
    <n v="162.32159999999999"/>
    <n v="240.04"/>
    <n v="3.8764546470000001"/>
    <n v="63.021000000000001"/>
  </r>
  <r>
    <s v="south"/>
    <x v="1"/>
    <d v="2018-11-16T00:00:00"/>
    <x v="99"/>
    <n v="354816367"/>
    <s v="Female"/>
    <x v="0"/>
    <s v="Cash"/>
    <x v="2"/>
    <n v="2.2999999999999998"/>
    <n v="39.94"/>
    <n v="1"/>
    <n v="44.39"/>
    <n v="126.3646"/>
    <n v="88.61"/>
    <n v="3.8764546470000001"/>
    <n v="69.682000000000002"/>
  </r>
  <r>
    <s v="south"/>
    <x v="1"/>
    <d v="2018-09-10T00:00:00"/>
    <x v="11"/>
    <n v="573798872"/>
    <s v="Male"/>
    <x v="1"/>
    <s v="Credit card"/>
    <x v="5"/>
    <n v="4.3"/>
    <n v="10.83"/>
    <n v="2"/>
    <n v="58.03"/>
    <n v="116.6516"/>
    <n v="199.64"/>
    <n v="3.8764546470000001"/>
    <n v="40.270000000000003"/>
  </r>
  <r>
    <s v="West"/>
    <x v="2"/>
    <d v="2017-08-14T00:00:00"/>
    <x v="75"/>
    <n v="241148931"/>
    <s v="Male"/>
    <x v="0"/>
    <s v="Credit card"/>
    <x v="0"/>
    <n v="9.6999999999999993"/>
    <n v="95.74"/>
    <n v="1"/>
    <n v="81.94"/>
    <n v="130.80500000000001"/>
    <n v="39.01"/>
    <n v="3.8764546470000001"/>
    <n v="36.155999999999999"/>
  </r>
  <r>
    <s v="south"/>
    <x v="1"/>
    <d v="2017-07-16T00:00:00"/>
    <x v="61"/>
    <n v="622865971"/>
    <s v="Male"/>
    <x v="1"/>
    <s v="Cash"/>
    <x v="4"/>
    <n v="5.8"/>
    <n v="51.95"/>
    <n v="1"/>
    <n v="28.35"/>
    <n v="156.90450000000001"/>
    <n v="48.61"/>
    <n v="3.8764546470000001"/>
    <n v="94.823999999999998"/>
  </r>
  <r>
    <s v="East"/>
    <x v="0"/>
    <d v="2018-04-10T00:00:00"/>
    <x v="118"/>
    <n v="814505487"/>
    <s v="Female"/>
    <x v="1"/>
    <s v="Credit card"/>
    <x v="1"/>
    <n v="7"/>
    <n v="11.3"/>
    <n v="4"/>
    <n v="69.680000000000007"/>
    <n v="138.34719999999999"/>
    <n v="204.76"/>
    <n v="3.8764546470000001"/>
    <n v="44.984999999999999"/>
  </r>
  <r>
    <s v="West"/>
    <x v="2"/>
    <d v="2017-09-08T00:00:00"/>
    <x v="127"/>
    <n v="645316286"/>
    <s v="Female"/>
    <x v="1"/>
    <s v="Cash"/>
    <x v="1"/>
    <n v="3"/>
    <n v="15.83"/>
    <n v="8"/>
    <n v="40.880000000000003"/>
    <n v="126.6285"/>
    <n v="119.68"/>
    <n v="3.8764546470000001"/>
    <n v="11.24"/>
  </r>
  <r>
    <s v="East"/>
    <x v="0"/>
    <d v="2018-02-05T00:00:00"/>
    <x v="164"/>
    <n v="68085677"/>
    <s v="Male"/>
    <x v="0"/>
    <s v="Ewallet"/>
    <x v="1"/>
    <n v="7"/>
    <n v="44.78"/>
    <n v="7"/>
    <n v="18.350000000000001"/>
    <n v="178.1283"/>
    <n v="505.4"/>
    <n v="3.8764546470000001"/>
    <n v="92.188999999999993"/>
  </r>
  <r>
    <s v="East"/>
    <x v="0"/>
    <d v="2018-07-06T00:00:00"/>
    <x v="63"/>
    <n v="332545316"/>
    <s v="Female"/>
    <x v="1"/>
    <s v="Cash"/>
    <x v="3"/>
    <n v="4"/>
    <n v="39.909999999999997"/>
    <n v="7"/>
    <n v="40.049999999999997"/>
    <n v="158.3826"/>
    <n v="281.61"/>
    <n v="3.8764546470000001"/>
    <n v="89.623000000000005"/>
  </r>
  <r>
    <s v="East"/>
    <x v="0"/>
    <d v="2018-08-01T00:00:00"/>
    <x v="46"/>
    <n v="600549253"/>
    <s v="Female"/>
    <x v="0"/>
    <s v="Cash"/>
    <x v="2"/>
    <n v="1.3"/>
    <n v="23.33"/>
    <n v="8"/>
    <n v="54.8"/>
    <n v="134.77529999999999"/>
    <n v="710.32"/>
    <n v="3.8764546470000001"/>
    <n v="42.347000000000001"/>
  </r>
  <r>
    <s v="East"/>
    <x v="0"/>
    <d v="2018-07-27T00:00:00"/>
    <x v="94"/>
    <n v="476070109"/>
    <s v="Female"/>
    <x v="0"/>
    <s v="Ewallet"/>
    <x v="1"/>
    <n v="3"/>
    <n v="70.73"/>
    <n v="3"/>
    <n v="94.6"/>
    <n v="143.63640000000001"/>
    <n v="79.44"/>
    <n v="3.8764546470000001"/>
    <n v="44.328000000000003"/>
  </r>
  <r>
    <s v="East"/>
    <x v="0"/>
    <d v="2018-03-19T00:00:00"/>
    <x v="165"/>
    <n v="943107349"/>
    <s v="Female"/>
    <x v="1"/>
    <s v="Cash"/>
    <x v="5"/>
    <n v="3"/>
    <n v="18.440000000000001"/>
    <n v="2"/>
    <n v="33.64"/>
    <n v="135.66560000000001"/>
    <n v="163.82"/>
    <n v="3.8764546470000001"/>
    <n v="39.450000000000003"/>
  </r>
  <r>
    <s v="West"/>
    <x v="2"/>
    <d v="2018-03-02T00:00:00"/>
    <x v="147"/>
    <n v="177473749"/>
    <s v="Male"/>
    <x v="0"/>
    <s v="Cash"/>
    <x v="3"/>
    <n v="4"/>
    <n v="92.5"/>
    <n v="6"/>
    <n v="67.87"/>
    <n v="189.35720000000001"/>
    <n v="479.58"/>
    <n v="3.8764546470000001"/>
    <n v="35.054000000000002"/>
  </r>
  <r>
    <s v="south"/>
    <x v="1"/>
    <d v="2017-10-27T00:00:00"/>
    <x v="112"/>
    <n v="975121176"/>
    <s v="Male"/>
    <x v="0"/>
    <s v="Ewallet"/>
    <x v="5"/>
    <n v="2"/>
    <n v="59.05"/>
    <n v="2"/>
    <n v="74.89"/>
    <n v="110.77370000000001"/>
    <n v="138.66"/>
    <n v="3.8764546470000001"/>
    <n v="42.121000000000002"/>
  </r>
  <r>
    <s v="East"/>
    <x v="0"/>
    <d v="2018-07-12T00:00:00"/>
    <x v="153"/>
    <n v="180635950"/>
    <s v="Female"/>
    <x v="0"/>
    <s v="Credit card"/>
    <x v="4"/>
    <n v="8"/>
    <n v="30.92"/>
    <n v="5"/>
    <n v="77.03"/>
    <n v="171.16050000000001"/>
    <n v="71.150000000000006"/>
    <n v="3.8764546470000001"/>
    <n v="54.725000000000001"/>
  </r>
  <r>
    <s v="East"/>
    <x v="0"/>
    <d v="2017-08-06T00:00:00"/>
    <x v="70"/>
    <n v="923839595"/>
    <s v="Female"/>
    <x v="0"/>
    <s v="Cash"/>
    <x v="0"/>
    <n v="5.6"/>
    <n v="82.86"/>
    <n v="9"/>
    <n v="72.8"/>
    <n v="163.1063"/>
    <n v="139.94999999999999"/>
    <n v="3.8764546470000001"/>
    <n v="94.153999999999996"/>
  </r>
  <r>
    <s v="south"/>
    <x v="1"/>
    <d v="2017-03-05T00:00:00"/>
    <x v="68"/>
    <n v="549741846"/>
    <s v="Female"/>
    <x v="0"/>
    <s v="Cash"/>
    <x v="1"/>
    <n v="2.6"/>
    <n v="67.819999999999993"/>
    <n v="10"/>
    <n v="68.510000000000005"/>
    <n v="186.8151"/>
    <n v="781.3"/>
    <n v="3.8764546470000001"/>
    <n v="31.78"/>
  </r>
  <r>
    <s v="south"/>
    <x v="1"/>
    <d v="2017-12-18T00:00:00"/>
    <x v="117"/>
    <n v="524149743"/>
    <s v="Male"/>
    <x v="0"/>
    <s v="Cash"/>
    <x v="4"/>
    <n v="9.9"/>
    <n v="99.68"/>
    <n v="2"/>
    <n v="54.54"/>
    <n v="171.37629999999999"/>
    <n v="198.74"/>
    <n v="3.8764546470000001"/>
    <n v="77.58"/>
  </r>
  <r>
    <s v="south"/>
    <x v="1"/>
    <d v="2018-05-06T00:00:00"/>
    <x v="166"/>
    <n v="424318376"/>
    <s v="Female"/>
    <x v="0"/>
    <s v="Cash"/>
    <x v="4"/>
    <n v="6.5"/>
    <n v="88.33"/>
    <n v="3"/>
    <n v="56"/>
    <n v="151.06700000000001"/>
    <n v="63.24"/>
    <n v="3.8764546470000001"/>
    <n v="10.98"/>
  </r>
  <r>
    <s v="south"/>
    <x v="1"/>
    <d v="2018-09-29T00:00:00"/>
    <x v="109"/>
    <n v="411310300"/>
    <s v="Male"/>
    <x v="0"/>
    <s v="Cash"/>
    <x v="1"/>
    <n v="8"/>
    <n v="55.49"/>
    <n v="5"/>
    <n v="94.4"/>
    <n v="105.31910000000001"/>
    <n v="373.95"/>
    <n v="3.8764546470000001"/>
    <n v="90"/>
  </r>
  <r>
    <s v="south"/>
    <x v="1"/>
    <d v="2017-11-08T00:00:00"/>
    <x v="167"/>
    <n v="18696918"/>
    <s v="Female"/>
    <x v="0"/>
    <s v="Credit card"/>
    <x v="0"/>
    <n v="8"/>
    <n v="31.56"/>
    <n v="7"/>
    <n v="75.7"/>
    <n v="128.27770000000001"/>
    <n v="207.69"/>
    <n v="3.8764546470000001"/>
    <n v="93.28"/>
  </r>
  <r>
    <s v="south"/>
    <x v="1"/>
    <d v="2017-08-22T00:00:00"/>
    <x v="113"/>
    <n v="314876054"/>
    <s v="Male"/>
    <x v="0"/>
    <s v="Ewallet"/>
    <x v="0"/>
    <n v="8"/>
    <n v="85.76"/>
    <n v="4"/>
    <n v="60.38"/>
    <n v="146.17169999999999"/>
    <n v="176.28"/>
    <n v="3.8764546470000001"/>
    <n v="49.93"/>
  </r>
  <r>
    <s v="south"/>
    <x v="1"/>
    <d v="2017-11-22T00:00:00"/>
    <x v="110"/>
    <n v="885936974"/>
    <s v="Female"/>
    <x v="1"/>
    <s v="Cash"/>
    <x v="4"/>
    <n v="6.6"/>
    <n v="82.64"/>
    <n v="9"/>
    <n v="68.91"/>
    <n v="173.71199999999999"/>
    <n v="206.37"/>
    <n v="3.8764546470000001"/>
    <n v="41.606999999999999"/>
  </r>
  <r>
    <s v="south"/>
    <x v="1"/>
    <d v="2018-11-13T00:00:00"/>
    <x v="17"/>
    <n v="722245208"/>
    <s v="Female"/>
    <x v="1"/>
    <s v="Cash"/>
    <x v="0"/>
    <n v="5.3"/>
    <n v="63.7"/>
    <n v="1"/>
    <n v="50.83"/>
    <n v="157.82480000000001"/>
    <n v="39.42"/>
    <n v="3.8764546470000001"/>
    <n v="67.52"/>
  </r>
  <r>
    <s v="East"/>
    <x v="0"/>
    <d v="2018-01-09T00:00:00"/>
    <x v="168"/>
    <n v="372855088"/>
    <s v="Male"/>
    <x v="1"/>
    <s v="Ewallet"/>
    <x v="0"/>
    <n v="1.1000000000000001"/>
    <n v="74.73"/>
    <n v="6"/>
    <n v="18.28"/>
    <n v="173.0626"/>
    <n v="91.56"/>
    <n v="3.8764546470000001"/>
    <n v="10.59"/>
  </r>
  <r>
    <s v="East"/>
    <x v="0"/>
    <d v="2018-09-27T00:00:00"/>
    <x v="160"/>
    <n v="704302780"/>
    <s v="Female"/>
    <x v="1"/>
    <s v="Cash"/>
    <x v="5"/>
    <n v="9.5"/>
    <n v="81.239999999999995"/>
    <n v="5"/>
    <n v="69.88"/>
    <n v="184.1746"/>
    <n v="308.85000000000002"/>
    <n v="3.8764546470000001"/>
    <n v="95.284000000000006"/>
  </r>
  <r>
    <s v="East"/>
    <x v="0"/>
    <d v="2018-08-20T00:00:00"/>
    <x v="20"/>
    <n v="240306797"/>
    <s v="Male"/>
    <x v="1"/>
    <s v="Credit card"/>
    <x v="2"/>
    <n v="4.7"/>
    <n v="77.180000000000007"/>
    <n v="6"/>
    <n v="88.38"/>
    <n v="182.59280000000001"/>
    <n v="129.12"/>
    <n v="3.8764546470000001"/>
    <n v="94.855000000000004"/>
  </r>
  <r>
    <s v="West"/>
    <x v="2"/>
    <d v="2017-08-18T00:00:00"/>
    <x v="169"/>
    <n v="869224503"/>
    <s v="Male"/>
    <x v="1"/>
    <s v="Ewallet"/>
    <x v="3"/>
    <n v="9.5"/>
    <n v="55.33"/>
    <n v="4"/>
    <n v="14.38"/>
    <n v="101.3502"/>
    <n v="390.96"/>
    <n v="3.8764546470000001"/>
    <n v="95.602000000000004"/>
  </r>
  <r>
    <s v="East"/>
    <x v="0"/>
    <d v="2018-04-24T00:00:00"/>
    <x v="62"/>
    <n v="152593838"/>
    <s v="Male"/>
    <x v="0"/>
    <s v="Cash"/>
    <x v="4"/>
    <n v="5.7"/>
    <n v="20.72"/>
    <n v="5"/>
    <n v="18.579999999999998"/>
    <n v="151.898"/>
    <n v="498.9"/>
    <n v="3.8764546470000001"/>
    <n v="70.12"/>
  </r>
  <r>
    <s v="south"/>
    <x v="1"/>
    <d v="2018-11-25T00:00:00"/>
    <x v="3"/>
    <n v="523902591"/>
    <s v="Male"/>
    <x v="0"/>
    <s v="Cash"/>
    <x v="4"/>
    <n v="2.2000000000000002"/>
    <n v="74.180000000000007"/>
    <n v="4"/>
    <n v="79.75"/>
    <n v="165.0658"/>
    <n v="377.04"/>
    <n v="3.8764546470000001"/>
    <n v="97.867999999999995"/>
  </r>
  <r>
    <s v="West"/>
    <x v="2"/>
    <d v="2017-06-10T00:00:00"/>
    <x v="141"/>
    <n v="28325333"/>
    <s v="Male"/>
    <x v="0"/>
    <s v="Credit card"/>
    <x v="0"/>
    <n v="2.2999999999999998"/>
    <n v="15.9"/>
    <n v="4"/>
    <n v="72.819999999999993"/>
    <n v="150.8382"/>
    <n v="204.52"/>
    <n v="3.8764546470000001"/>
    <n v="87.198999999999998"/>
  </r>
  <r>
    <s v="East"/>
    <x v="0"/>
    <d v="2017-03-22T00:00:00"/>
    <x v="58"/>
    <n v="921151285"/>
    <s v="Male"/>
    <x v="0"/>
    <s v="Cash"/>
    <x v="1"/>
    <n v="6.5"/>
    <n v="10.11"/>
    <n v="4"/>
    <n v="39.630000000000003"/>
    <n v="101.1219"/>
    <n v="145.44"/>
    <n v="3.8764546470000001"/>
    <n v="63.36"/>
  </r>
  <r>
    <s v="West"/>
    <x v="2"/>
    <d v="2018-10-15T00:00:00"/>
    <x v="13"/>
    <n v="194112997"/>
    <s v="Male"/>
    <x v="1"/>
    <s v="Cash"/>
    <x v="2"/>
    <n v="8.8000000000000007"/>
    <n v="11.13"/>
    <n v="9"/>
    <n v="31.52"/>
    <n v="131.96809999999999"/>
    <n v="198.18"/>
    <n v="3.8764546470000001"/>
    <n v="72.02"/>
  </r>
  <r>
    <s v="East"/>
    <x v="0"/>
    <d v="2017-07-03T00:00:00"/>
    <x v="149"/>
    <n v="957123927"/>
    <s v="Male"/>
    <x v="1"/>
    <s v="Credit card"/>
    <x v="4"/>
    <n v="3"/>
    <n v="39.020000000000003"/>
    <n v="3"/>
    <n v="31.49"/>
    <n v="128.58590000000001"/>
    <n v="98.7"/>
    <n v="3.8764546470000001"/>
    <n v="25.672999999999998"/>
  </r>
  <r>
    <s v="East"/>
    <x v="0"/>
    <d v="2018-02-08T00:00:00"/>
    <x v="1"/>
    <n v="247969879"/>
    <s v="Male"/>
    <x v="1"/>
    <s v="Cash"/>
    <x v="5"/>
    <n v="9.9"/>
    <n v="10.72"/>
    <n v="5"/>
    <n v="29.89"/>
    <n v="145.68969999999999"/>
    <n v="385.1"/>
    <n v="3.8764546470000001"/>
    <n v="49.674999999999997"/>
  </r>
  <r>
    <s v="East"/>
    <x v="0"/>
    <d v="2017-10-20T00:00:00"/>
    <x v="76"/>
    <n v="757431250"/>
    <s v="Male"/>
    <x v="0"/>
    <s v="Credit card"/>
    <x v="4"/>
    <n v="2.9"/>
    <n v="68.540000000000006"/>
    <n v="2"/>
    <n v="14.43"/>
    <n v="131.63310000000001"/>
    <n v="46.96"/>
    <n v="3.8764546470000001"/>
    <n v="86.097999999999999"/>
  </r>
  <r>
    <s v="south"/>
    <x v="1"/>
    <d v="2018-11-18T00:00:00"/>
    <x v="28"/>
    <n v="995125367"/>
    <s v="Male"/>
    <x v="0"/>
    <s v="Ewallet"/>
    <x v="3"/>
    <n v="1.4"/>
    <n v="55.96"/>
    <n v="5"/>
    <n v="37.1"/>
    <n v="146.47669999999999"/>
    <n v="73.5"/>
    <n v="3.8764546470000001"/>
    <n v="93.552999999999997"/>
  </r>
  <r>
    <s v="East"/>
    <x v="0"/>
    <d v="2017-12-18T00:00:00"/>
    <x v="27"/>
    <n v="594934042"/>
    <s v="Female"/>
    <x v="0"/>
    <s v="Credit card"/>
    <x v="1"/>
    <n v="2.9"/>
    <n v="51.06"/>
    <n v="5"/>
    <n v="35.99"/>
    <n v="133.7724"/>
    <n v="142.25"/>
    <n v="3.8764546470000001"/>
    <n v="22.513999999999999"/>
  </r>
  <r>
    <s v="East"/>
    <x v="0"/>
    <d v="2018-01-24T00:00:00"/>
    <x v="145"/>
    <n v="477664479"/>
    <s v="Male"/>
    <x v="1"/>
    <s v="Ewallet"/>
    <x v="5"/>
    <n v="4.3"/>
    <n v="75.540000000000006"/>
    <n v="9"/>
    <n v="51.22"/>
    <n v="123.3747"/>
    <n v="687.6"/>
    <n v="3.8764546470000001"/>
    <n v="46.701000000000001"/>
  </r>
  <r>
    <s v="West"/>
    <x v="2"/>
    <d v="2017-06-11T00:00:00"/>
    <x v="170"/>
    <n v="436386760"/>
    <s v="Female"/>
    <x v="1"/>
    <s v="Cash"/>
    <x v="3"/>
    <n v="2.1"/>
    <n v="84.19"/>
    <n v="6"/>
    <n v="68.28"/>
    <n v="182.43350000000001"/>
    <n v="347.7"/>
    <n v="3.8764546470000001"/>
    <n v="76.692999999999998"/>
  </r>
  <r>
    <s v="south"/>
    <x v="1"/>
    <d v="2017-11-27T00:00:00"/>
    <x v="143"/>
    <n v="636575653"/>
    <s v="Female"/>
    <x v="1"/>
    <s v="Credit card"/>
    <x v="1"/>
    <n v="1.3"/>
    <n v="90.02"/>
    <n v="3"/>
    <n v="23.73"/>
    <n v="115.66630000000001"/>
    <n v="142.94999999999999"/>
    <n v="3.8764546470000001"/>
    <n v="60.997"/>
  </r>
  <r>
    <s v="West"/>
    <x v="2"/>
    <d v="2018-12-29T00:00:00"/>
    <x v="87"/>
    <n v="523981330"/>
    <s v="Female"/>
    <x v="0"/>
    <s v="Credit card"/>
    <x v="4"/>
    <n v="6.3"/>
    <n v="74.8"/>
    <n v="9"/>
    <n v="15.67"/>
    <n v="104.03530000000001"/>
    <n v="385.38"/>
    <n v="3.8764546470000001"/>
    <n v="30.414999999999999"/>
  </r>
  <r>
    <s v="West"/>
    <x v="2"/>
    <d v="2018-10-15T00:00:00"/>
    <x v="171"/>
    <n v="153026236"/>
    <s v="Male"/>
    <x v="0"/>
    <s v="Credit card"/>
    <x v="1"/>
    <n v="8.9"/>
    <n v="17.78"/>
    <n v="3"/>
    <n v="43.13"/>
    <n v="130.98929999999999"/>
    <n v="144.27000000000001"/>
    <n v="3.8764546470000001"/>
    <n v="46.518000000000001"/>
  </r>
  <r>
    <s v="West"/>
    <x v="2"/>
    <d v="2017-10-18T00:00:00"/>
    <x v="144"/>
    <n v="196352128"/>
    <s v="Female"/>
    <x v="0"/>
    <s v="Ewallet"/>
    <x v="0"/>
    <n v="7"/>
    <n v="94.33"/>
    <n v="7"/>
    <n v="16.46"/>
    <n v="135.40350000000001"/>
    <n v="391.79"/>
    <n v="3.8764546470000001"/>
    <n v="93.26"/>
  </r>
  <r>
    <s v="West"/>
    <x v="2"/>
    <d v="2018-08-07T00:00:00"/>
    <x v="15"/>
    <n v="726028339"/>
    <s v="Female"/>
    <x v="0"/>
    <s v="Cash"/>
    <x v="0"/>
    <n v="1.1000000000000001"/>
    <n v="90.53"/>
    <n v="7"/>
    <n v="92.5"/>
    <n v="182.66630000000001"/>
    <n v="538.29999999999995"/>
    <n v="3.8764546470000001"/>
    <n v="31.08"/>
  </r>
  <r>
    <s v="south"/>
    <x v="1"/>
    <d v="2017-04-04T00:00:00"/>
    <x v="132"/>
    <n v="180109364"/>
    <s v="Female"/>
    <x v="1"/>
    <s v="Ewallet"/>
    <x v="4"/>
    <n v="4.2"/>
    <n v="29.43"/>
    <n v="5"/>
    <n v="25.04"/>
    <n v="172.98869999999999"/>
    <n v="485.15"/>
    <n v="3.8764546470000001"/>
    <n v="75.272000000000006"/>
  </r>
  <r>
    <s v="East"/>
    <x v="0"/>
    <d v="2018-03-24T00:00:00"/>
    <x v="12"/>
    <n v="78276465"/>
    <s v="Male"/>
    <x v="1"/>
    <s v="Cash"/>
    <x v="3"/>
    <n v="7.5"/>
    <n v="87.18"/>
    <n v="3"/>
    <n v="97.66"/>
    <n v="136.11750000000001"/>
    <n v="133.94999999999999"/>
    <n v="3.8764546470000001"/>
    <n v="29.131"/>
  </r>
  <r>
    <s v="East"/>
    <x v="0"/>
    <d v="2017-08-15T00:00:00"/>
    <x v="172"/>
    <n v="736776704"/>
    <s v="Female"/>
    <x v="1"/>
    <s v="Ewallet"/>
    <x v="5"/>
    <n v="7.1"/>
    <n v="21.97"/>
    <n v="9"/>
    <n v="34.64"/>
    <n v="157.45679999999999"/>
    <n v="701.37"/>
    <n v="3.8764546470000001"/>
    <n v="36.74"/>
  </r>
  <r>
    <s v="East"/>
    <x v="0"/>
    <d v="2017-11-28T00:00:00"/>
    <x v="23"/>
    <n v="90852596"/>
    <s v="Male"/>
    <x v="0"/>
    <s v="Cash"/>
    <x v="1"/>
    <n v="9.9"/>
    <n v="37.56"/>
    <n v="1"/>
    <n v="91.45"/>
    <n v="176.01929999999999"/>
    <n v="71.95"/>
    <n v="3.8764546470000001"/>
    <n v="78.424999999999997"/>
  </r>
  <r>
    <s v="south"/>
    <x v="1"/>
    <d v="2017-08-07T00:00:00"/>
    <x v="107"/>
    <n v="87459056"/>
    <s v="Female"/>
    <x v="0"/>
    <s v="Cash"/>
    <x v="2"/>
    <n v="2.1"/>
    <n v="11.35"/>
    <n v="8"/>
    <n v="22.14"/>
    <n v="108.6001"/>
    <n v="714"/>
    <n v="3.8764546470000001"/>
    <n v="97.668999999999997"/>
  </r>
  <r>
    <s v="East"/>
    <x v="0"/>
    <d v="2018-07-29T00:00:00"/>
    <x v="72"/>
    <n v="385284087"/>
    <s v="Male"/>
    <x v="1"/>
    <s v="Cash"/>
    <x v="1"/>
    <n v="7.1"/>
    <n v="45.41"/>
    <n v="7"/>
    <n v="53.23"/>
    <n v="136.02510000000001"/>
    <n v="182.14"/>
    <n v="3.8764546470000001"/>
    <n v="61.463999999999999"/>
  </r>
  <r>
    <s v="West"/>
    <x v="2"/>
    <d v="2017-05-16T00:00:00"/>
    <x v="173"/>
    <n v="466443571"/>
    <s v="Female"/>
    <x v="1"/>
    <s v="Credit card"/>
    <x v="0"/>
    <n v="6"/>
    <n v="13.36"/>
    <n v="10"/>
    <n v="49.51"/>
    <n v="121.7974"/>
    <n v="135"/>
    <n v="3.8764546470000001"/>
    <n v="34.381"/>
  </r>
  <r>
    <s v="south"/>
    <x v="1"/>
    <d v="2017-03-23T00:00:00"/>
    <x v="45"/>
    <n v="489087502"/>
    <s v="Female"/>
    <x v="0"/>
    <s v="Credit card"/>
    <x v="5"/>
    <n v="9.5"/>
    <n v="67.95"/>
    <n v="10"/>
    <n v="64.19"/>
    <n v="150.1344"/>
    <n v="993"/>
    <n v="3.8764546470000001"/>
    <n v="93.251999999999995"/>
  </r>
  <r>
    <s v="East"/>
    <x v="0"/>
    <d v="2018-01-17T00:00:00"/>
    <x v="150"/>
    <n v="140063029"/>
    <s v="Male"/>
    <x v="1"/>
    <s v="Cash"/>
    <x v="1"/>
    <n v="1.4"/>
    <n v="91.19"/>
    <n v="7"/>
    <n v="52.7"/>
    <n v="137.13759999999999"/>
    <n v="361.83"/>
    <n v="3.8764546470000001"/>
    <n v="58.67"/>
  </r>
  <r>
    <s v="West"/>
    <x v="2"/>
    <d v="2017-03-16T00:00:00"/>
    <x v="116"/>
    <n v="281148810"/>
    <s v="Female"/>
    <x v="0"/>
    <s v="Credit card"/>
    <x v="5"/>
    <n v="5.2"/>
    <n v="22.97"/>
    <n v="7"/>
    <n v="95.73"/>
    <n v="158.95429999999999"/>
    <n v="383.11"/>
    <n v="3.8764546470000001"/>
    <n v="21.14"/>
  </r>
  <r>
    <s v="West"/>
    <x v="2"/>
    <d v="2017-03-13T00:00:00"/>
    <x v="21"/>
    <n v="682882276"/>
    <s v="Male"/>
    <x v="0"/>
    <s v="Cash"/>
    <x v="2"/>
    <n v="2.4"/>
    <n v="33.46"/>
    <n v="9"/>
    <n v="56.18"/>
    <n v="145.16239999999999"/>
    <n v="243"/>
    <n v="3.8764546470000001"/>
    <n v="71.13"/>
  </r>
  <r>
    <s v="south"/>
    <x v="1"/>
    <d v="2018-04-14T00:00:00"/>
    <x v="85"/>
    <n v="101185143"/>
    <s v="Female"/>
    <x v="1"/>
    <s v="Cash"/>
    <x v="1"/>
    <n v="9.3000000000000007"/>
    <n v="39.49"/>
    <n v="1"/>
    <n v="79.78"/>
    <n v="152.82679999999999"/>
    <n v="30.24"/>
    <n v="3.8764546470000001"/>
    <n v="73.16"/>
  </r>
  <r>
    <s v="West"/>
    <x v="2"/>
    <d v="2018-11-07T00:00:00"/>
    <x v="7"/>
    <n v="47369313"/>
    <s v="Female"/>
    <x v="0"/>
    <s v="Credit card"/>
    <x v="4"/>
    <n v="1.4"/>
    <n v="65.86"/>
    <n v="4"/>
    <n v="50.79"/>
    <n v="146.81800000000001"/>
    <n v="356.56"/>
    <n v="3.8764546470000001"/>
    <n v="63.082999999999998"/>
  </r>
  <r>
    <s v="south"/>
    <x v="1"/>
    <d v="2018-07-28T00:00:00"/>
    <x v="148"/>
    <n v="307853657"/>
    <s v="Female"/>
    <x v="1"/>
    <s v="Credit card"/>
    <x v="5"/>
    <n v="5.4"/>
    <n v="25.83"/>
    <n v="10"/>
    <n v="95.03"/>
    <n v="178.2123"/>
    <n v="375.5"/>
    <n v="3.8764546470000001"/>
    <n v="82.796000000000006"/>
  </r>
  <r>
    <s v="south"/>
    <x v="1"/>
    <d v="2017-06-19T00:00:00"/>
    <x v="53"/>
    <n v="462496610"/>
    <s v="Female"/>
    <x v="1"/>
    <s v="Cash"/>
    <x v="3"/>
    <n v="2"/>
    <n v="38.54"/>
    <n v="10"/>
    <n v="25.95"/>
    <n v="110.3947"/>
    <n v="954.4"/>
    <n v="3.8764546470000001"/>
    <n v="61.731999999999999"/>
  </r>
  <r>
    <s v="West"/>
    <x v="2"/>
    <d v="2018-01-15T00:00:00"/>
    <x v="134"/>
    <n v="692233917"/>
    <s v="Male"/>
    <x v="1"/>
    <s v="Ewallet"/>
    <x v="1"/>
    <n v="6.8"/>
    <n v="39.72"/>
    <n v="3"/>
    <n v="53.97"/>
    <n v="146.28739999999999"/>
    <n v="82.5"/>
    <n v="3.8764546470000001"/>
    <n v="64.45"/>
  </r>
  <r>
    <s v="West"/>
    <x v="2"/>
    <d v="2017-05-08T00:00:00"/>
    <x v="146"/>
    <n v="504656800"/>
    <s v="Male"/>
    <x v="1"/>
    <s v="Cash"/>
    <x v="3"/>
    <n v="9.6"/>
    <n v="61.46"/>
    <n v="1"/>
    <n v="47.46"/>
    <n v="176.8741"/>
    <n v="74.97"/>
    <n v="3.8764546470000001"/>
    <n v="30.593"/>
  </r>
  <r>
    <s v="East"/>
    <x v="0"/>
    <d v="2017-09-05T00:00:00"/>
    <x v="174"/>
    <n v="804495703"/>
    <s v="Male"/>
    <x v="0"/>
    <s v="Credit card"/>
    <x v="4"/>
    <n v="7.3"/>
    <n v="28.03"/>
    <n v="8"/>
    <n v="68.45"/>
    <n v="155.11060000000001"/>
    <n v="647.67999999999995"/>
    <n v="3.8764546470000001"/>
    <n v="10.135"/>
  </r>
  <r>
    <s v="south"/>
    <x v="1"/>
    <d v="2017-09-19T00:00:00"/>
    <x v="90"/>
    <n v="877902650"/>
    <s v="Female"/>
    <x v="1"/>
    <s v="Cash"/>
    <x v="4"/>
    <n v="8.9"/>
    <n v="23.2"/>
    <n v="8"/>
    <n v="44.78"/>
    <n v="125.85939999999999"/>
    <n v="755.76"/>
    <n v="3.8764546470000001"/>
    <n v="47.54"/>
  </r>
  <r>
    <s v="south"/>
    <x v="1"/>
    <d v="2018-11-03T00:00:00"/>
    <x v="147"/>
    <n v="310957111"/>
    <s v="Male"/>
    <x v="1"/>
    <s v="Ewallet"/>
    <x v="4"/>
    <n v="6.9"/>
    <n v="16.23"/>
    <n v="2"/>
    <n v="58.53"/>
    <n v="148.88640000000001"/>
    <n v="199.58"/>
    <n v="3.8764546470000001"/>
    <n v="71.010000000000005"/>
  </r>
  <r>
    <s v="East"/>
    <x v="0"/>
    <d v="2018-08-26T00:00:00"/>
    <x v="17"/>
    <n v="186795758"/>
    <s v="Male"/>
    <x v="1"/>
    <s v="Cash"/>
    <x v="2"/>
    <n v="9"/>
    <n v="62.34"/>
    <n v="6"/>
    <n v="30.72"/>
    <n v="180.8887"/>
    <n v="439.32"/>
    <n v="3.8764546470000001"/>
    <n v="26.66"/>
  </r>
  <r>
    <s v="south"/>
    <x v="1"/>
    <d v="2017-10-18T00:00:00"/>
    <x v="90"/>
    <n v="541526718"/>
    <s v="Female"/>
    <x v="1"/>
    <s v="Cash"/>
    <x v="4"/>
    <n v="7"/>
    <n v="68.13"/>
    <n v="4"/>
    <n v="43.46"/>
    <n v="178.6207"/>
    <n v="164.96"/>
    <n v="3.8764546470000001"/>
    <n v="71.531999999999996"/>
  </r>
  <r>
    <s v="south"/>
    <x v="1"/>
    <d v="2018-02-04T00:00:00"/>
    <x v="175"/>
    <n v="113680903"/>
    <s v="Female"/>
    <x v="1"/>
    <s v="Cash"/>
    <x v="5"/>
    <n v="7"/>
    <n v="55.07"/>
    <n v="4"/>
    <n v="80.31"/>
    <n v="104.0275"/>
    <n v="326.72000000000003"/>
    <n v="3.8764546470000001"/>
    <n v="61.073999999999998"/>
  </r>
  <r>
    <s v="south"/>
    <x v="1"/>
    <d v="2017-03-31T00:00:00"/>
    <x v="61"/>
    <n v="706390429"/>
    <s v="Female"/>
    <x v="1"/>
    <s v="Cash"/>
    <x v="1"/>
    <n v="9"/>
    <n v="82.86"/>
    <n v="9"/>
    <n v="72.27"/>
    <n v="127.0086"/>
    <n v="461.88"/>
    <n v="3.8764546470000001"/>
    <n v="79.706000000000003"/>
  </r>
  <r>
    <s v="East"/>
    <x v="0"/>
    <d v="2018-02-25T00:00:00"/>
    <x v="144"/>
    <n v="323175062"/>
    <s v="Male"/>
    <x v="0"/>
    <s v="Cash"/>
    <x v="2"/>
    <n v="7"/>
    <n v="80.430000000000007"/>
    <n v="4"/>
    <n v="85.85"/>
    <n v="165.56659999999999"/>
    <n v="263.76"/>
    <n v="3.8764546470000001"/>
    <n v="76.326999999999998"/>
  </r>
  <r>
    <s v="south"/>
    <x v="1"/>
    <d v="2017-03-21T00:00:00"/>
    <x v="103"/>
    <n v="952484926"/>
    <s v="Female"/>
    <x v="1"/>
    <s v="Cash"/>
    <x v="3"/>
    <n v="9"/>
    <n v="22.32"/>
    <n v="10"/>
    <n v="32.94"/>
    <n v="180.96610000000001"/>
    <n v="143.6"/>
    <n v="3.8764546470000001"/>
    <n v="76.515000000000001"/>
  </r>
  <r>
    <s v="East"/>
    <x v="0"/>
    <d v="2018-03-19T00:00:00"/>
    <x v="172"/>
    <n v="927762805"/>
    <s v="Male"/>
    <x v="0"/>
    <s v="Credit card"/>
    <x v="1"/>
    <n v="7"/>
    <n v="83.77"/>
    <n v="9"/>
    <n v="87.7"/>
    <n v="160.26519999999999"/>
    <n v="193.5"/>
    <n v="3.8764546470000001"/>
    <n v="91.266999999999996"/>
  </r>
  <r>
    <s v="West"/>
    <x v="2"/>
    <d v="2018-09-23T00:00:00"/>
    <x v="103"/>
    <n v="459447347"/>
    <s v="Female"/>
    <x v="0"/>
    <s v="Cash"/>
    <x v="1"/>
    <n v="2"/>
    <n v="13.21"/>
    <n v="7"/>
    <n v="99.04"/>
    <n v="187.7157"/>
    <n v="183.82"/>
    <n v="3.8764546470000001"/>
    <n v="23.285"/>
  </r>
  <r>
    <s v="West"/>
    <x v="2"/>
    <d v="2018-08-25T00:00:00"/>
    <x v="68"/>
    <n v="526501993"/>
    <s v="Female"/>
    <x v="1"/>
    <s v="Credit card"/>
    <x v="5"/>
    <n v="3"/>
    <n v="82.96"/>
    <n v="2"/>
    <n v="62.24"/>
    <n v="113.6189"/>
    <n v="121.92"/>
    <n v="3.8764546470000001"/>
    <n v="47.875999999999998"/>
  </r>
  <r>
    <s v="south"/>
    <x v="1"/>
    <d v="2018-05-27T00:00:00"/>
    <x v="176"/>
    <n v="982130891"/>
    <s v="Female"/>
    <x v="1"/>
    <s v="Ewallet"/>
    <x v="2"/>
    <n v="3"/>
    <n v="58.01"/>
    <n v="6"/>
    <n v="48.94"/>
    <n v="182.85810000000001"/>
    <n v="420.66"/>
    <n v="3.8764546470000001"/>
    <n v="68.531000000000006"/>
  </r>
  <r>
    <s v="south"/>
    <x v="1"/>
    <d v="2018-02-28T00:00:00"/>
    <x v="177"/>
    <n v="281468508"/>
    <s v="Male"/>
    <x v="1"/>
    <s v="Cash"/>
    <x v="5"/>
    <n v="1.8"/>
    <n v="55.94"/>
    <n v="6"/>
    <n v="27.86"/>
    <n v="154.5318"/>
    <n v="252.48"/>
    <n v="3.8764546470000001"/>
    <n v="28.96"/>
  </r>
  <r>
    <s v="East"/>
    <x v="0"/>
    <d v="2018-03-29T00:00:00"/>
    <x v="18"/>
    <n v="906075158"/>
    <s v="Female"/>
    <x v="1"/>
    <s v="Credit card"/>
    <x v="2"/>
    <n v="1"/>
    <n v="62.47"/>
    <n v="5"/>
    <n v="29.62"/>
    <n v="112.6173"/>
    <n v="335.45"/>
    <n v="3.8764546470000001"/>
    <n v="15.11"/>
  </r>
  <r>
    <s v="East"/>
    <x v="0"/>
    <d v="2018-07-08T00:00:00"/>
    <x v="23"/>
    <n v="371483173"/>
    <s v="Female"/>
    <x v="0"/>
    <s v="Ewallet"/>
    <x v="5"/>
    <n v="5.7"/>
    <n v="79.010000000000005"/>
    <n v="5"/>
    <n v="52.28"/>
    <n v="103.4997"/>
    <n v="483.5"/>
    <n v="3.8764546470000001"/>
    <n v="73.959999999999994"/>
  </r>
  <r>
    <s v="West"/>
    <x v="2"/>
    <d v="2017-07-29T00:00:00"/>
    <x v="44"/>
    <n v="399753149"/>
    <s v="Female"/>
    <x v="0"/>
    <s v="Credit card"/>
    <x v="2"/>
    <n v="3.4"/>
    <n v="38.04"/>
    <n v="9"/>
    <n v="41.28"/>
    <n v="147.47130000000001"/>
    <n v="318.42"/>
    <n v="3.8764546470000001"/>
    <n v="25.94"/>
  </r>
  <r>
    <s v="south"/>
    <x v="1"/>
    <d v="2018-11-08T00:00:00"/>
    <x v="147"/>
    <n v="325522252"/>
    <s v="Male"/>
    <x v="1"/>
    <s v="Ewallet"/>
    <x v="3"/>
    <n v="3.7"/>
    <n v="53.57"/>
    <n v="7"/>
    <n v="38.57"/>
    <n v="132.29859999999999"/>
    <n v="668.43"/>
    <n v="3.8764546470000001"/>
    <n v="51.53"/>
  </r>
  <r>
    <s v="south"/>
    <x v="1"/>
    <d v="2018-06-24T00:00:00"/>
    <x v="50"/>
    <n v="55484808"/>
    <s v="Male"/>
    <x v="0"/>
    <s v="Ewallet"/>
    <x v="5"/>
    <n v="4.9000000000000004"/>
    <n v="85.68"/>
    <n v="4"/>
    <n v="37.700000000000003"/>
    <n v="161.64429999999999"/>
    <n v="387.92"/>
    <n v="3.8764546470000001"/>
    <n v="11.5"/>
  </r>
  <r>
    <s v="West"/>
    <x v="2"/>
    <d v="2018-05-05T00:00:00"/>
    <x v="97"/>
    <n v="481361714"/>
    <s v="Female"/>
    <x v="1"/>
    <s v="Credit card"/>
    <x v="1"/>
    <n v="3.6"/>
    <n v="10.66"/>
    <n v="4"/>
    <n v="29.73"/>
    <n v="179.65549999999999"/>
    <n v="94.6"/>
    <n v="3.8764546470000001"/>
    <n v="40.049999999999997"/>
  </r>
  <r>
    <s v="East"/>
    <x v="0"/>
    <d v="2017-08-19T00:00:00"/>
    <x v="95"/>
    <n v="104255906"/>
    <s v="Male"/>
    <x v="0"/>
    <s v="Credit card"/>
    <x v="3"/>
    <n v="9.1"/>
    <n v="36.17"/>
    <n v="4"/>
    <n v="17.579999999999998"/>
    <n v="168.89320000000001"/>
    <n v="329.32"/>
    <n v="3.8764546470000001"/>
    <n v="51.15"/>
  </r>
  <r>
    <s v="south"/>
    <x v="1"/>
    <d v="2017-10-03T00:00:00"/>
    <x v="153"/>
    <n v="814617077"/>
    <s v="Female"/>
    <x v="1"/>
    <s v="Cash"/>
    <x v="1"/>
    <n v="8.9"/>
    <n v="32.380000000000003"/>
    <n v="2"/>
    <n v="92.67"/>
    <n v="147.99940000000001"/>
    <n v="53.22"/>
    <n v="3.8764546470000001"/>
    <n v="54.283999999999999"/>
  </r>
  <r>
    <s v="West"/>
    <x v="2"/>
    <d v="2017-06-09T00:00:00"/>
    <x v="165"/>
    <n v="943348564"/>
    <s v="Female"/>
    <x v="1"/>
    <s v="Cash"/>
    <x v="4"/>
    <n v="3.8"/>
    <n v="71.180000000000007"/>
    <n v="5"/>
    <n v="57.25"/>
    <n v="162.4238"/>
    <n v="498.45"/>
    <n v="3.8764546470000001"/>
    <n v="87.613"/>
  </r>
  <r>
    <s v="south"/>
    <x v="1"/>
    <d v="2017-08-30T00:00:00"/>
    <x v="167"/>
    <n v="232064011"/>
    <s v="Female"/>
    <x v="0"/>
    <s v="Ewallet"/>
    <x v="4"/>
    <n v="9.6"/>
    <n v="67.27"/>
    <n v="4"/>
    <n v="11.83"/>
    <n v="107.4834"/>
    <n v="299.56"/>
    <n v="3.8764546470000001"/>
    <n v="38.170999999999999"/>
  </r>
  <r>
    <s v="East"/>
    <x v="0"/>
    <d v="2017-06-23T00:00:00"/>
    <x v="2"/>
    <n v="849057417"/>
    <s v="Female"/>
    <x v="1"/>
    <s v="Ewallet"/>
    <x v="4"/>
    <n v="9.1"/>
    <n v="97.83"/>
    <n v="5"/>
    <n v="85.54"/>
    <n v="101.4113"/>
    <n v="204.7"/>
    <n v="3.8764546470000001"/>
    <n v="80.828999999999994"/>
  </r>
  <r>
    <s v="West"/>
    <x v="2"/>
    <d v="2018-09-12T00:00:00"/>
    <x v="132"/>
    <n v="739574722"/>
    <s v="Male"/>
    <x v="0"/>
    <s v="Cash"/>
    <x v="3"/>
    <n v="5.9"/>
    <n v="34.67"/>
    <n v="1"/>
    <n v="22.9"/>
    <n v="139.26820000000001"/>
    <n v="75.819999999999993"/>
    <n v="3.8764546470000001"/>
    <n v="65.222999999999999"/>
  </r>
  <r>
    <s v="south"/>
    <x v="1"/>
    <d v="2017-04-15T00:00:00"/>
    <x v="89"/>
    <n v="949477968"/>
    <s v="Male"/>
    <x v="1"/>
    <s v="Cash"/>
    <x v="4"/>
    <n v="3.2"/>
    <n v="68.97"/>
    <n v="6"/>
    <n v="30.83"/>
    <n v="110.5098"/>
    <n v="280.62"/>
    <n v="3.8764546470000001"/>
    <n v="98.82"/>
  </r>
  <r>
    <s v="East"/>
    <x v="0"/>
    <d v="2017-03-03T00:00:00"/>
    <x v="90"/>
    <n v="229827192"/>
    <s v="Female"/>
    <x v="1"/>
    <s v="Credit card"/>
    <x v="0"/>
    <n v="8.4"/>
    <n v="35.729999999999997"/>
    <n v="10"/>
    <n v="33.83"/>
    <n v="135.46899999999999"/>
    <n v="323.2"/>
    <n v="3.8764546470000001"/>
    <n v="68.581000000000003"/>
  </r>
  <r>
    <s v="south"/>
    <x v="1"/>
    <d v="2018-12-27T00:00:00"/>
    <x v="11"/>
    <n v="191616880"/>
    <s v="Female"/>
    <x v="0"/>
    <s v="Ewallet"/>
    <x v="5"/>
    <n v="4.0999999999999996"/>
    <n v="13.57"/>
    <n v="9"/>
    <n v="29.67"/>
    <n v="133.14259999999999"/>
    <n v="486.63"/>
    <n v="3.8764546470000001"/>
    <n v="21.896999999999998"/>
  </r>
  <r>
    <s v="West"/>
    <x v="2"/>
    <d v="2018-02-24T00:00:00"/>
    <x v="1"/>
    <n v="932642304"/>
    <s v="Male"/>
    <x v="1"/>
    <s v="Credit card"/>
    <x v="4"/>
    <n v="2.2000000000000002"/>
    <n v="92.57"/>
    <n v="7"/>
    <n v="11.39"/>
    <n v="141.5317"/>
    <n v="127.54"/>
    <n v="3.8764546470000001"/>
    <n v="12.827999999999999"/>
  </r>
  <r>
    <s v="south"/>
    <x v="1"/>
    <d v="2018-06-23T00:00:00"/>
    <x v="141"/>
    <n v="882439822"/>
    <s v="Female"/>
    <x v="0"/>
    <s v="Cash"/>
    <x v="5"/>
    <n v="2.1"/>
    <n v="24"/>
    <n v="3"/>
    <n v="70.14"/>
    <n v="104.7274"/>
    <n v="241.44"/>
    <n v="3.8764546470000001"/>
    <n v="41.220999999999997"/>
  </r>
  <r>
    <s v="West"/>
    <x v="2"/>
    <d v="2017-06-18T00:00:00"/>
    <x v="137"/>
    <n v="174728822"/>
    <s v="Female"/>
    <x v="1"/>
    <s v="Cash"/>
    <x v="5"/>
    <n v="7.5"/>
    <n v="50.7"/>
    <n v="10"/>
    <n v="80.56"/>
    <n v="105.8498"/>
    <n v="379.5"/>
    <n v="3.8764546470000001"/>
    <n v="34.459000000000003"/>
  </r>
  <r>
    <s v="East"/>
    <x v="0"/>
    <d v="2018-08-14T00:00:00"/>
    <x v="104"/>
    <n v="83605110"/>
    <s v="Male"/>
    <x v="0"/>
    <s v="Ewallet"/>
    <x v="1"/>
    <n v="5.3"/>
    <n v="47.46"/>
    <n v="1"/>
    <n v="59.8"/>
    <n v="166.16489999999999"/>
    <n v="76.819999999999993"/>
    <n v="3.8764546470000001"/>
    <n v="68.763999999999996"/>
  </r>
  <r>
    <s v="East"/>
    <x v="0"/>
    <d v="2018-03-05T00:00:00"/>
    <x v="153"/>
    <n v="491128842"/>
    <s v="Female"/>
    <x v="0"/>
    <s v="Credit card"/>
    <x v="3"/>
    <n v="3.7"/>
    <n v="68.42"/>
    <n v="10"/>
    <n v="32.93"/>
    <n v="130.82159999999999"/>
    <n v="522.6"/>
    <n v="3.8764546470000001"/>
    <n v="78.45"/>
  </r>
  <r>
    <s v="East"/>
    <x v="0"/>
    <d v="2017-12-20T00:00:00"/>
    <x v="178"/>
    <n v="332382105"/>
    <s v="Female"/>
    <x v="1"/>
    <s v="Ewallet"/>
    <x v="0"/>
    <n v="8.4"/>
    <n v="78.81"/>
    <n v="1"/>
    <n v="82.3"/>
    <n v="114.4665"/>
    <n v="79.739999999999995"/>
    <n v="3.8764546470000001"/>
    <n v="93.662999999999997"/>
  </r>
  <r>
    <s v="East"/>
    <x v="0"/>
    <d v="2017-07-30T00:00:00"/>
    <x v="109"/>
    <n v="300557771"/>
    <s v="Female"/>
    <x v="1"/>
    <s v="Ewallet"/>
    <x v="0"/>
    <n v="7.5"/>
    <n v="50.1"/>
    <n v="5"/>
    <n v="80.05"/>
    <n v="158.56190000000001"/>
    <n v="387.5"/>
    <n v="3.8764546470000001"/>
    <n v="85.972999999999999"/>
  </r>
  <r>
    <s v="East"/>
    <x v="0"/>
    <d v="2017-08-01T00:00:00"/>
    <x v="83"/>
    <n v="569055628"/>
    <s v="Female"/>
    <x v="1"/>
    <s v="Ewallet"/>
    <x v="4"/>
    <n v="1.6"/>
    <n v="19.34"/>
    <n v="5"/>
    <n v="32.49"/>
    <n v="157.75569999999999"/>
    <n v="271.35000000000002"/>
    <n v="3.8764546470000001"/>
    <n v="84.808000000000007"/>
  </r>
  <r>
    <s v="West"/>
    <x v="2"/>
    <d v="2017-09-15T00:00:00"/>
    <x v="163"/>
    <n v="49293727"/>
    <s v="Male"/>
    <x v="1"/>
    <s v="Cash"/>
    <x v="2"/>
    <n v="6.1"/>
    <n v="22.36"/>
    <n v="9"/>
    <n v="67.77"/>
    <n v="124.4508"/>
    <n v="122.31"/>
    <n v="3.8764546470000001"/>
    <n v="54.064999999999998"/>
  </r>
  <r>
    <s v="West"/>
    <x v="2"/>
    <d v="2017-11-22T00:00:00"/>
    <x v="28"/>
    <n v="706154706"/>
    <s v="Female"/>
    <x v="0"/>
    <s v="Credit card"/>
    <x v="0"/>
    <n v="5"/>
    <n v="84.33"/>
    <n v="6"/>
    <n v="89.72"/>
    <n v="106.622"/>
    <n v="246.36"/>
    <n v="3.8764546470000001"/>
    <n v="15.287000000000001"/>
  </r>
  <r>
    <s v="West"/>
    <x v="2"/>
    <d v="2018-11-20T00:00:00"/>
    <x v="144"/>
    <n v="936473901"/>
    <s v="Male"/>
    <x v="0"/>
    <s v="Cash"/>
    <x v="1"/>
    <n v="9.5"/>
    <n v="71.97"/>
    <n v="9"/>
    <n v="47.76"/>
    <n v="107.5448"/>
    <n v="173.16"/>
    <n v="3.8764546470000001"/>
    <n v="64.447999999999993"/>
  </r>
  <r>
    <s v="south"/>
    <x v="1"/>
    <d v="2017-03-22T00:00:00"/>
    <x v="38"/>
    <n v="353955243"/>
    <s v="Female"/>
    <x v="1"/>
    <s v="Credit card"/>
    <x v="4"/>
    <n v="7.9"/>
    <n v="32.36"/>
    <n v="6"/>
    <n v="36.92"/>
    <n v="176.58519999999999"/>
    <n v="236.58"/>
    <n v="3.8764546470000001"/>
    <n v="70.14"/>
  </r>
  <r>
    <s v="south"/>
    <x v="1"/>
    <d v="2017-08-24T00:00:00"/>
    <x v="179"/>
    <n v="738061791"/>
    <s v="Male"/>
    <x v="1"/>
    <s v="Credit card"/>
    <x v="2"/>
    <n v="2.1"/>
    <n v="87.23"/>
    <n v="4"/>
    <n v="96.43"/>
    <n v="147.49080000000001"/>
    <n v="184.88"/>
    <n v="3.8764546470000001"/>
    <n v="84.5"/>
  </r>
  <r>
    <s v="south"/>
    <x v="1"/>
    <d v="2017-03-15T00:00:00"/>
    <x v="14"/>
    <n v="510631147"/>
    <s v="Male"/>
    <x v="0"/>
    <s v="Ewallet"/>
    <x v="2"/>
    <n v="6"/>
    <n v="82.02"/>
    <n v="1"/>
    <n v="59.81"/>
    <n v="119.8995"/>
    <n v="13.98"/>
    <n v="3.8764546470000001"/>
    <n v="83.26"/>
  </r>
  <r>
    <s v="West"/>
    <x v="2"/>
    <d v="2018-04-29T00:00:00"/>
    <x v="125"/>
    <n v="843677081"/>
    <s v="Female"/>
    <x v="1"/>
    <s v="Ewallet"/>
    <x v="5"/>
    <n v="3"/>
    <n v="22.73"/>
    <n v="5"/>
    <n v="37.1"/>
    <n v="136.1893"/>
    <n v="198.75"/>
    <n v="3.8764546470000001"/>
    <n v="93.16"/>
  </r>
  <r>
    <s v="south"/>
    <x v="1"/>
    <d v="2017-10-16T00:00:00"/>
    <x v="51"/>
    <n v="969499508"/>
    <s v="Female"/>
    <x v="0"/>
    <s v="Ewallet"/>
    <x v="5"/>
    <n v="6"/>
    <n v="33.22"/>
    <n v="7"/>
    <n v="37.71"/>
    <n v="103.9474"/>
    <n v="684.53"/>
    <n v="3.8764546470000001"/>
    <n v="40.97"/>
  </r>
  <r>
    <s v="East"/>
    <x v="0"/>
    <d v="2017-05-20T00:00:00"/>
    <x v="180"/>
    <n v="613600869"/>
    <s v="Male"/>
    <x v="0"/>
    <s v="Credit card"/>
    <x v="3"/>
    <n v="8"/>
    <n v="31.88"/>
    <n v="4"/>
    <n v="16.100000000000001"/>
    <n v="158.84979999999999"/>
    <n v="269.04000000000002"/>
    <n v="3.8764546470000001"/>
    <n v="60.65"/>
  </r>
  <r>
    <s v="East"/>
    <x v="0"/>
    <d v="2018-10-05T00:00:00"/>
    <x v="84"/>
    <n v="125099074"/>
    <s v="Male"/>
    <x v="1"/>
    <s v="Credit card"/>
    <x v="4"/>
    <n v="4"/>
    <n v="56.7"/>
    <n v="5"/>
    <n v="34.61"/>
    <n v="128.1551"/>
    <n v="68.95"/>
    <n v="3.8764546470000001"/>
    <n v="16.199000000000002"/>
  </r>
  <r>
    <s v="West"/>
    <x v="2"/>
    <d v="2017-03-29T00:00:00"/>
    <x v="18"/>
    <n v="910043365"/>
    <s v="Female"/>
    <x v="0"/>
    <s v="Cash"/>
    <x v="5"/>
    <n v="4"/>
    <n v="59.6"/>
    <n v="4"/>
    <n v="64.53"/>
    <n v="130.66200000000001"/>
    <n v="274.83999999999997"/>
    <n v="3.8764546470000001"/>
    <n v="32.203000000000003"/>
  </r>
  <r>
    <s v="East"/>
    <x v="0"/>
    <d v="2017-07-04T00:00:00"/>
    <x v="31"/>
    <n v="625955290"/>
    <s v="Female"/>
    <x v="1"/>
    <s v="Ewallet"/>
    <x v="2"/>
    <n v="9"/>
    <n v="84.86"/>
    <n v="4"/>
    <n v="78.11"/>
    <n v="117.27370000000001"/>
    <n v="226.12"/>
    <n v="3.8764546470000001"/>
    <n v="86.382000000000005"/>
  </r>
  <r>
    <s v="south"/>
    <x v="1"/>
    <d v="2018-12-30T00:00:00"/>
    <x v="173"/>
    <n v="98315498"/>
    <s v="Female"/>
    <x v="1"/>
    <s v="Ewallet"/>
    <x v="5"/>
    <n v="3"/>
    <n v="31.03"/>
    <n v="5"/>
    <n v="15.2"/>
    <n v="175.0479"/>
    <n v="119.1"/>
    <n v="3.8764546470000001"/>
    <n v="24.32"/>
  </r>
  <r>
    <s v="West"/>
    <x v="2"/>
    <d v="2018-08-15T00:00:00"/>
    <x v="30"/>
    <n v="875986815"/>
    <s v="Female"/>
    <x v="1"/>
    <s v="Cash"/>
    <x v="0"/>
    <n v="3"/>
    <n v="74.84"/>
    <n v="10"/>
    <n v="99.81"/>
    <n v="132.2954"/>
    <n v="342.1"/>
    <n v="3.8764546470000001"/>
    <n v="82"/>
  </r>
  <r>
    <s v="West"/>
    <x v="2"/>
    <d v="2018-02-19T00:00:00"/>
    <x v="68"/>
    <n v="442846526"/>
    <s v="Male"/>
    <x v="1"/>
    <s v="Ewallet"/>
    <x v="3"/>
    <n v="8"/>
    <n v="51.86"/>
    <n v="2"/>
    <n v="26.97"/>
    <n v="151.57810000000001"/>
    <n v="43.74"/>
    <n v="3.8764546470000001"/>
    <n v="36.520000000000003"/>
  </r>
  <r>
    <s v="East"/>
    <x v="0"/>
    <d v="2018-03-08T00:00:00"/>
    <x v="113"/>
    <n v="39448717"/>
    <s v="Male"/>
    <x v="0"/>
    <s v="Cash"/>
    <x v="0"/>
    <n v="5"/>
    <n v="11.16"/>
    <n v="5"/>
    <n v="60.54"/>
    <n v="137.37110000000001"/>
    <n v="104.85"/>
    <n v="3.8764546470000001"/>
    <n v="80.010000000000005"/>
  </r>
  <r>
    <s v="East"/>
    <x v="0"/>
    <d v="2018-08-09T00:00:00"/>
    <x v="142"/>
    <n v="410316899"/>
    <s v="Male"/>
    <x v="1"/>
    <s v="Ewallet"/>
    <x v="3"/>
    <n v="6.9"/>
    <n v="28.55"/>
    <n v="3"/>
    <n v="92.63"/>
    <n v="182.77600000000001"/>
    <n v="77.52"/>
    <n v="3.8764546470000001"/>
    <n v="92.3"/>
  </r>
  <r>
    <s v="East"/>
    <x v="0"/>
    <d v="2017-04-11T00:00:00"/>
    <x v="181"/>
    <n v="945523543"/>
    <s v="Male"/>
    <x v="1"/>
    <s v="Ewallet"/>
    <x v="2"/>
    <n v="8.1"/>
    <n v="83.61"/>
    <n v="8"/>
    <n v="37.78"/>
    <n v="113.0528"/>
    <n v="407.44"/>
    <n v="3.8764546470000001"/>
    <n v="23.446999999999999"/>
  </r>
  <r>
    <s v="West"/>
    <x v="2"/>
    <d v="2017-06-17T00:00:00"/>
    <x v="44"/>
    <n v="236547266"/>
    <s v="Male"/>
    <x v="1"/>
    <s v="Ewallet"/>
    <x v="0"/>
    <n v="8.1999999999999993"/>
    <n v="44.68"/>
    <n v="1"/>
    <n v="71.72"/>
    <n v="185.57900000000001"/>
    <n v="96.11"/>
    <n v="3.8764546470000001"/>
    <n v="48.594999999999999"/>
  </r>
  <r>
    <s v="south"/>
    <x v="1"/>
    <d v="2017-08-18T00:00:00"/>
    <x v="119"/>
    <n v="992827101"/>
    <s v="Female"/>
    <x v="1"/>
    <s v="Credit card"/>
    <x v="2"/>
    <n v="9"/>
    <n v="65.97"/>
    <n v="4"/>
    <n v="27.86"/>
    <n v="110.4821"/>
    <n v="181.52"/>
    <n v="3.8764546470000001"/>
    <n v="58.843000000000004"/>
  </r>
  <r>
    <s v="south"/>
    <x v="1"/>
    <d v="2018-06-18T00:00:00"/>
    <x v="182"/>
    <n v="255280671"/>
    <s v="Female"/>
    <x v="0"/>
    <s v="Ewallet"/>
    <x v="0"/>
    <n v="4.3"/>
    <n v="62.77"/>
    <n v="1"/>
    <n v="73.25"/>
    <n v="160.2603"/>
    <n v="81.510000000000005"/>
    <n v="3.8764546470000001"/>
    <n v="77.209999999999994"/>
  </r>
  <r>
    <s v="West"/>
    <x v="2"/>
    <d v="2018-04-30T00:00:00"/>
    <x v="117"/>
    <n v="970323519"/>
    <s v="Female"/>
    <x v="1"/>
    <s v="Ewallet"/>
    <x v="0"/>
    <n v="5"/>
    <n v="38.22"/>
    <n v="2"/>
    <n v="97.87"/>
    <n v="143.40360000000001"/>
    <n v="114.44"/>
    <n v="3.8764546470000001"/>
    <n v="55.14"/>
  </r>
  <r>
    <s v="East"/>
    <x v="0"/>
    <d v="2018-07-24T00:00:00"/>
    <x v="112"/>
    <n v="926151474"/>
    <s v="Female"/>
    <x v="0"/>
    <s v="Cash"/>
    <x v="1"/>
    <n v="8.6"/>
    <n v="78.790000000000006"/>
    <n v="7"/>
    <n v="84.8"/>
    <n v="112.57559999999999"/>
    <n v="176.54"/>
    <n v="3.8764546470000001"/>
    <n v="68.64"/>
  </r>
  <r>
    <s v="south"/>
    <x v="1"/>
    <d v="2017-06-13T00:00:00"/>
    <x v="117"/>
    <n v="685027980"/>
    <s v="Female"/>
    <x v="0"/>
    <s v="Ewallet"/>
    <x v="4"/>
    <n v="1.8"/>
    <n v="33.68"/>
    <n v="3"/>
    <n v="27.91"/>
    <n v="100.4483"/>
    <n v="115.8"/>
    <n v="3.8764546470000001"/>
    <n v="42.113999999999997"/>
  </r>
  <r>
    <s v="south"/>
    <x v="1"/>
    <d v="2017-12-20T00:00:00"/>
    <x v="164"/>
    <n v="280060543"/>
    <s v="Female"/>
    <x v="1"/>
    <s v="Cash"/>
    <x v="1"/>
    <n v="6.8"/>
    <n v="45.35"/>
    <n v="3"/>
    <n v="57.48"/>
    <n v="160.72110000000001"/>
    <n v="252.15"/>
    <n v="3.8764546470000001"/>
    <n v="33.195999999999998"/>
  </r>
  <r>
    <s v="south"/>
    <x v="1"/>
    <d v="2018-03-05T00:00:00"/>
    <x v="183"/>
    <n v="566321138"/>
    <s v="Female"/>
    <x v="0"/>
    <s v="Credit card"/>
    <x v="5"/>
    <n v="7.3"/>
    <n v="20.48"/>
    <n v="10"/>
    <n v="59.67"/>
    <n v="152.3871"/>
    <n v="972.1"/>
    <n v="3.8764546470000001"/>
    <n v="19.526"/>
  </r>
  <r>
    <s v="West"/>
    <x v="2"/>
    <d v="2017-06-12T00:00:00"/>
    <x v="49"/>
    <n v="781955191"/>
    <s v="Male"/>
    <x v="0"/>
    <s v="Credit card"/>
    <x v="5"/>
    <n v="7"/>
    <n v="51.62"/>
    <n v="8"/>
    <n v="47.63"/>
    <n v="142.8124"/>
    <n v="203.36"/>
    <n v="3.8764546470000001"/>
    <n v="24.943999999999999"/>
  </r>
  <r>
    <s v="south"/>
    <x v="1"/>
    <d v="2017-04-07T00:00:00"/>
    <x v="42"/>
    <n v="254990913"/>
    <s v="Male"/>
    <x v="1"/>
    <s v="Cash"/>
    <x v="5"/>
    <n v="1.5"/>
    <n v="31.82"/>
    <n v="1"/>
    <n v="82.3"/>
    <n v="167.20679999999999"/>
    <n v="16.28"/>
    <n v="3.8764546470000001"/>
    <n v="19.701000000000001"/>
  </r>
  <r>
    <s v="West"/>
    <x v="2"/>
    <d v="2017-08-05T00:00:00"/>
    <x v="15"/>
    <n v="284442859"/>
    <s v="Male"/>
    <x v="0"/>
    <s v="Cash"/>
    <x v="5"/>
    <n v="4.4000000000000004"/>
    <n v="93.16"/>
    <n v="9"/>
    <n v="40.04"/>
    <n v="167.0883"/>
    <n v="365.49"/>
    <n v="3.8764546470000001"/>
    <n v="89.894000000000005"/>
  </r>
  <r>
    <s v="East"/>
    <x v="0"/>
    <d v="2017-03-19T00:00:00"/>
    <x v="13"/>
    <n v="319739583"/>
    <s v="Male"/>
    <x v="0"/>
    <s v="Cash"/>
    <x v="0"/>
    <n v="9"/>
    <n v="20.27"/>
    <n v="7"/>
    <n v="36.090000000000003"/>
    <n v="167.42"/>
    <n v="372.19"/>
    <n v="3.8764546470000001"/>
    <n v="77.748999999999995"/>
  </r>
  <r>
    <s v="West"/>
    <x v="2"/>
    <d v="2018-03-18T00:00:00"/>
    <x v="164"/>
    <n v="738870517"/>
    <s v="Female"/>
    <x v="0"/>
    <s v="Credit card"/>
    <x v="4"/>
    <n v="9.4"/>
    <n v="65.739999999999995"/>
    <n v="3"/>
    <n v="91.3"/>
    <n v="141.3843"/>
    <n v="62.61"/>
    <n v="3.8764546470000001"/>
    <n v="87.965000000000003"/>
  </r>
  <r>
    <s v="West"/>
    <x v="2"/>
    <d v="2018-12-10T00:00:00"/>
    <x v="99"/>
    <n v="854473323"/>
    <s v="Male"/>
    <x v="1"/>
    <s v="Cash"/>
    <x v="3"/>
    <n v="6"/>
    <n v="94.92"/>
    <n v="5"/>
    <n v="74.81"/>
    <n v="155.33869999999999"/>
    <n v="336.35"/>
    <n v="3.8764546470000001"/>
    <n v="29.571000000000002"/>
  </r>
  <r>
    <s v="East"/>
    <x v="0"/>
    <d v="2017-11-23T00:00:00"/>
    <x v="73"/>
    <n v="561354556"/>
    <s v="Female"/>
    <x v="0"/>
    <s v="Ewallet"/>
    <x v="2"/>
    <n v="8.6999999999999993"/>
    <n v="87.4"/>
    <n v="10"/>
    <n v="53.17"/>
    <n v="111.6831"/>
    <n v="906.5"/>
    <n v="3.8764546470000001"/>
    <n v="55.21"/>
  </r>
  <r>
    <s v="West"/>
    <x v="2"/>
    <d v="2017-12-08T00:00:00"/>
    <x v="35"/>
    <n v="556934871"/>
    <s v="Male"/>
    <x v="1"/>
    <s v="Credit card"/>
    <x v="5"/>
    <n v="8.6"/>
    <n v="70.47"/>
    <n v="2"/>
    <n v="20.18"/>
    <n v="131.7766"/>
    <n v="138.16"/>
    <n v="3.8764546470000001"/>
    <n v="46.85"/>
  </r>
  <r>
    <s v="south"/>
    <x v="1"/>
    <d v="2018-05-24T00:00:00"/>
    <x v="107"/>
    <n v="988402860"/>
    <s v="Male"/>
    <x v="1"/>
    <s v="Ewallet"/>
    <x v="4"/>
    <n v="2.1"/>
    <n v="82.9"/>
    <n v="2"/>
    <n v="63.57"/>
    <n v="187.45939999999999"/>
    <n v="86.54"/>
    <n v="3.8764546470000001"/>
    <n v="15.18"/>
  </r>
  <r>
    <s v="East"/>
    <x v="0"/>
    <d v="2018-10-29T00:00:00"/>
    <x v="163"/>
    <n v="817416309"/>
    <s v="Female"/>
    <x v="1"/>
    <s v="Ewallet"/>
    <x v="1"/>
    <n v="2.9"/>
    <n v="46.95"/>
    <n v="6"/>
    <n v="90.83"/>
    <n v="167.1301"/>
    <n v="140.76"/>
    <n v="3.8764546470000001"/>
    <n v="79.3"/>
  </r>
  <r>
    <s v="West"/>
    <x v="2"/>
    <d v="2018-01-17T00:00:00"/>
    <x v="122"/>
    <n v="933981556"/>
    <s v="Male"/>
    <x v="1"/>
    <s v="Credit card"/>
    <x v="5"/>
    <n v="6.3"/>
    <n v="86.4"/>
    <n v="7"/>
    <n v="48.9"/>
    <n v="132.69220000000001"/>
    <n v="668.78"/>
    <n v="3.8764546470000001"/>
    <n v="10.87"/>
  </r>
  <r>
    <s v="West"/>
    <x v="2"/>
    <d v="2018-03-15T00:00:00"/>
    <x v="34"/>
    <n v="277420006"/>
    <s v="Female"/>
    <x v="1"/>
    <s v="Credit card"/>
    <x v="5"/>
    <n v="7.3"/>
    <n v="90.07"/>
    <n v="1"/>
    <n v="94.26"/>
    <n v="173.45820000000001"/>
    <n v="47.44"/>
    <n v="3.8764546470000001"/>
    <n v="61.87"/>
  </r>
  <r>
    <s v="south"/>
    <x v="1"/>
    <d v="2017-03-21T00:00:00"/>
    <x v="74"/>
    <n v="476921020"/>
    <s v="Male"/>
    <x v="1"/>
    <s v="Ewallet"/>
    <x v="3"/>
    <n v="8"/>
    <n v="63.77"/>
    <n v="9"/>
    <n v="37.65"/>
    <n v="180.38650000000001"/>
    <n v="893.16"/>
    <n v="3.8764546470000001"/>
    <n v="98.61"/>
  </r>
  <r>
    <s v="south"/>
    <x v="1"/>
    <d v="2017-10-15T00:00:00"/>
    <x v="184"/>
    <n v="220680646"/>
    <s v="Male"/>
    <x v="0"/>
    <s v="Ewallet"/>
    <x v="3"/>
    <n v="7.7"/>
    <n v="88.79"/>
    <n v="4"/>
    <n v="98.16"/>
    <n v="185.48599999999999"/>
    <n v="331.72"/>
    <n v="3.8764546470000001"/>
    <n v="18.786000000000001"/>
  </r>
  <r>
    <s v="East"/>
    <x v="0"/>
    <d v="2017-05-08T00:00:00"/>
    <x v="185"/>
    <n v="838610488"/>
    <s v="Male"/>
    <x v="1"/>
    <s v="Credit card"/>
    <x v="2"/>
    <n v="6.6"/>
    <n v="47.01"/>
    <n v="6"/>
    <n v="80.28"/>
    <n v="118.6545"/>
    <n v="203.94"/>
    <n v="3.8764546470000001"/>
    <n v="58.048999999999999"/>
  </r>
  <r>
    <s v="south"/>
    <x v="1"/>
    <d v="2018-09-09T00:00:00"/>
    <x v="78"/>
    <n v="685015349"/>
    <s v="Male"/>
    <x v="0"/>
    <s v="Ewallet"/>
    <x v="4"/>
    <n v="8.5"/>
    <n v="18.079999999999998"/>
    <n v="4"/>
    <n v="96.05"/>
    <n v="160.43260000000001"/>
    <n v="68.16"/>
    <n v="3.8764546470000001"/>
    <n v="25.69"/>
  </r>
  <r>
    <s v="south"/>
    <x v="1"/>
    <d v="2017-12-30T00:00:00"/>
    <x v="176"/>
    <n v="589897953"/>
    <s v="Female"/>
    <x v="1"/>
    <s v="Credit card"/>
    <x v="1"/>
    <n v="4"/>
    <n v="28.67"/>
    <n v="8"/>
    <n v="13.71"/>
    <n v="183.29179999999999"/>
    <n v="326.88"/>
    <n v="3.8764546470000001"/>
    <n v="64.599999999999994"/>
  </r>
  <r>
    <s v="south"/>
    <x v="1"/>
    <d v="2018-05-05T00:00:00"/>
    <x v="99"/>
    <n v="991756965"/>
    <s v="Male"/>
    <x v="0"/>
    <s v="Cash"/>
    <x v="4"/>
    <n v="4"/>
    <n v="35.479999999999997"/>
    <n v="5"/>
    <n v="94.44"/>
    <n v="147.7527"/>
    <n v="87.2"/>
    <n v="3.8764546470000001"/>
    <n v="74.61"/>
  </r>
  <r>
    <s v="West"/>
    <x v="2"/>
    <d v="2017-12-14T00:00:00"/>
    <x v="94"/>
    <n v="850287718"/>
    <s v="Female"/>
    <x v="0"/>
    <s v="Credit card"/>
    <x v="3"/>
    <n v="3"/>
    <n v="32.42"/>
    <n v="8"/>
    <n v="51.56"/>
    <n v="123.3981"/>
    <n v="707.44"/>
    <n v="3.8764546470000001"/>
    <n v="60.05"/>
  </r>
  <r>
    <s v="East"/>
    <x v="0"/>
    <d v="2017-04-19T00:00:00"/>
    <x v="186"/>
    <n v="896811170"/>
    <s v="Female"/>
    <x v="0"/>
    <s v="Credit card"/>
    <x v="2"/>
    <n v="2"/>
    <n v="58.36"/>
    <n v="9"/>
    <n v="49.02"/>
    <n v="180.0076"/>
    <n v="802.89"/>
    <n v="3.8764546470000001"/>
    <n v="25.63"/>
  </r>
  <r>
    <s v="south"/>
    <x v="1"/>
    <d v="2017-08-13T00:00:00"/>
    <x v="31"/>
    <n v="313679977"/>
    <s v="Male"/>
    <x v="1"/>
    <s v="Ewallet"/>
    <x v="5"/>
    <n v="2"/>
    <n v="66.75"/>
    <n v="1"/>
    <n v="95.09"/>
    <n v="189.0069"/>
    <n v="12.78"/>
    <n v="3.8764546470000001"/>
    <n v="44.77"/>
  </r>
  <r>
    <s v="East"/>
    <x v="0"/>
    <d v="2018-08-13T00:00:00"/>
    <x v="3"/>
    <n v="293986341"/>
    <s v="Female"/>
    <x v="1"/>
    <s v="Cash"/>
    <x v="3"/>
    <n v="6"/>
    <n v="15.43"/>
    <n v="7"/>
    <n v="30.98"/>
    <n v="178.916"/>
    <n v="133.69999999999999"/>
    <n v="3.8764546470000001"/>
    <n v="32.048999999999999"/>
  </r>
  <r>
    <s v="West"/>
    <x v="2"/>
    <d v="2017-07-21T00:00:00"/>
    <x v="4"/>
    <n v="519807770"/>
    <s v="Female"/>
    <x v="0"/>
    <s v="Credit card"/>
    <x v="0"/>
    <n v="9"/>
    <n v="90.42"/>
    <n v="1"/>
    <n v="28.71"/>
    <n v="167.7064"/>
    <n v="19.149999999999999"/>
    <n v="3.8764546470000001"/>
    <n v="14.625999999999999"/>
  </r>
  <r>
    <s v="south"/>
    <x v="1"/>
    <d v="2017-08-09T00:00:00"/>
    <x v="91"/>
    <n v="304835388"/>
    <s v="Male"/>
    <x v="0"/>
    <s v="Credit card"/>
    <x v="4"/>
    <n v="9"/>
    <n v="40.81"/>
    <n v="10"/>
    <n v="63.24"/>
    <n v="185.88980000000001"/>
    <n v="276.60000000000002"/>
    <n v="3.8764546470000001"/>
    <n v="14.444000000000001"/>
  </r>
  <r>
    <s v="south"/>
    <x v="1"/>
    <d v="2017-08-10T00:00:00"/>
    <x v="126"/>
    <n v="722360966"/>
    <s v="Male"/>
    <x v="1"/>
    <s v="Credit card"/>
    <x v="5"/>
    <n v="8"/>
    <n v="95.46"/>
    <n v="3"/>
    <n v="27.26"/>
    <n v="183.94820000000001"/>
    <n v="137.22"/>
    <n v="3.8764546470000001"/>
    <n v="40.718000000000004"/>
  </r>
  <r>
    <s v="West"/>
    <x v="2"/>
    <d v="2017-04-21T00:00:00"/>
    <x v="126"/>
    <n v="892617697"/>
    <s v="Female"/>
    <x v="0"/>
    <s v="Credit card"/>
    <x v="0"/>
    <n v="10"/>
    <n v="98.13"/>
    <n v="1"/>
    <n v="53.9"/>
    <n v="141.0522"/>
    <n v="27.07"/>
    <n v="3.8764546470000001"/>
    <n v="82.43"/>
  </r>
  <r>
    <s v="West"/>
    <x v="2"/>
    <d v="2017-11-14T00:00:00"/>
    <x v="23"/>
    <n v="433793084"/>
    <s v="Female"/>
    <x v="0"/>
    <s v="Credit card"/>
    <x v="3"/>
    <n v="6"/>
    <n v="55.95"/>
    <n v="1"/>
    <n v="40.020000000000003"/>
    <n v="130.87690000000001"/>
    <n v="39.119999999999997"/>
    <n v="3.8764546470000001"/>
    <n v="68.2"/>
  </r>
  <r>
    <s v="West"/>
    <x v="2"/>
    <d v="2018-01-18T00:00:00"/>
    <x v="187"/>
    <n v="696268276"/>
    <s v="Female"/>
    <x v="1"/>
    <s v="Cash"/>
    <x v="1"/>
    <n v="3"/>
    <n v="96.5"/>
    <n v="6"/>
    <n v="61.65"/>
    <n v="124.09699999999999"/>
    <n v="448.26"/>
    <n v="3.8764546470000001"/>
    <n v="80.12"/>
  </r>
  <r>
    <s v="West"/>
    <x v="2"/>
    <d v="2017-06-11T00:00:00"/>
    <x v="75"/>
    <n v="128680234"/>
    <s v="Male"/>
    <x v="1"/>
    <s v="Cash"/>
    <x v="1"/>
    <n v="6.4"/>
    <n v="92.05"/>
    <n v="6"/>
    <n v="28.96"/>
    <n v="137.3348"/>
    <n v="132.06"/>
    <n v="3.8764546470000001"/>
    <n v="93.02"/>
  </r>
  <r>
    <s v="East"/>
    <x v="0"/>
    <d v="2017-11-15T00:00:00"/>
    <x v="85"/>
    <n v="900216281"/>
    <s v="Female"/>
    <x v="1"/>
    <s v="Ewallet"/>
    <x v="4"/>
    <n v="9.6"/>
    <n v="40.17"/>
    <n v="5"/>
    <n v="43.6"/>
    <n v="101.23439999999999"/>
    <n v="318.05"/>
    <n v="3.8764546470000001"/>
    <n v="36.72"/>
  </r>
  <r>
    <s v="East"/>
    <x v="0"/>
    <d v="2018-02-01T00:00:00"/>
    <x v="26"/>
    <n v="742249621"/>
    <s v="Male"/>
    <x v="1"/>
    <s v="Ewallet"/>
    <x v="0"/>
    <n v="8"/>
    <n v="23.25"/>
    <n v="1"/>
    <n v="88"/>
    <n v="104.58750000000001"/>
    <n v="25"/>
    <n v="3.8764546470000001"/>
    <n v="48.47"/>
  </r>
  <r>
    <s v="East"/>
    <x v="0"/>
    <d v="2017-07-31T00:00:00"/>
    <x v="188"/>
    <n v="597981987"/>
    <s v="Male"/>
    <x v="0"/>
    <s v="Cash"/>
    <x v="1"/>
    <n v="3.6"/>
    <n v="25.89"/>
    <n v="4"/>
    <n v="24.71"/>
    <n v="101.794"/>
    <n v="83.08"/>
    <n v="3.8764546470000001"/>
    <n v="83.82"/>
  </r>
  <r>
    <s v="West"/>
    <x v="2"/>
    <d v="2018-01-21T00:00:00"/>
    <x v="95"/>
    <n v="863862825"/>
    <s v="Female"/>
    <x v="0"/>
    <s v="Cash"/>
    <x v="5"/>
    <n v="8.1999999999999993"/>
    <n v="85.18"/>
    <n v="5"/>
    <n v="51.11"/>
    <n v="154.8843"/>
    <n v="147.80000000000001"/>
    <n v="3.8764546470000001"/>
    <n v="17.135000000000002"/>
  </r>
  <r>
    <s v="West"/>
    <x v="2"/>
    <d v="2018-12-14T00:00:00"/>
    <x v="11"/>
    <n v="512633133"/>
    <s v="Female"/>
    <x v="0"/>
    <s v="Credit card"/>
    <x v="4"/>
    <n v="1.1000000000000001"/>
    <n v="34.979999999999997"/>
    <n v="9"/>
    <n v="98.47"/>
    <n v="116.10380000000001"/>
    <n v="696.6"/>
    <n v="3.8764546470000001"/>
    <n v="11.013"/>
  </r>
  <r>
    <s v="West"/>
    <x v="2"/>
    <d v="2018-05-13T00:00:00"/>
    <x v="112"/>
    <n v="989672350"/>
    <s v="Male"/>
    <x v="1"/>
    <s v="Cash"/>
    <x v="1"/>
    <n v="9.1"/>
    <n v="57.63"/>
    <n v="10"/>
    <n v="33.89"/>
    <n v="130.73820000000001"/>
    <n v="793.9"/>
    <n v="3.8764546470000001"/>
    <n v="52.869"/>
  </r>
  <r>
    <s v="south"/>
    <x v="1"/>
    <d v="2018-05-10T00:00:00"/>
    <x v="5"/>
    <n v="675580427"/>
    <s v="Female"/>
    <x v="0"/>
    <s v="Cash"/>
    <x v="1"/>
    <n v="2.6"/>
    <n v="18.36"/>
    <n v="10"/>
    <n v="66.5"/>
    <n v="128.85550000000001"/>
    <n v="465.7"/>
    <n v="3.8764546470000001"/>
    <n v="13.249000000000001"/>
  </r>
  <r>
    <s v="south"/>
    <x v="1"/>
    <d v="2017-05-01T00:00:00"/>
    <x v="51"/>
    <n v="284786022"/>
    <s v="Male"/>
    <x v="1"/>
    <s v="Credit card"/>
    <x v="4"/>
    <n v="5.8"/>
    <n v="90.37"/>
    <n v="1"/>
    <n v="10.73"/>
    <n v="174.43950000000001"/>
    <n v="35.89"/>
    <n v="3.8764546470000001"/>
    <n v="76.784999999999997"/>
  </r>
  <r>
    <s v="south"/>
    <x v="1"/>
    <d v="2018-07-16T00:00:00"/>
    <x v="189"/>
    <n v="450795712"/>
    <s v="Male"/>
    <x v="1"/>
    <s v="Cash"/>
    <x v="4"/>
    <n v="9"/>
    <n v="67.67"/>
    <n v="5"/>
    <n v="93.65"/>
    <n v="118.8918"/>
    <n v="202.6"/>
    <n v="3.8764546470000001"/>
    <n v="67.655000000000001"/>
  </r>
  <r>
    <s v="West"/>
    <x v="2"/>
    <d v="2017-04-05T00:00:00"/>
    <x v="8"/>
    <n v="428093118"/>
    <s v="Female"/>
    <x v="0"/>
    <s v="Credit card"/>
    <x v="4"/>
    <n v="3.7"/>
    <n v="39.369999999999997"/>
    <n v="10"/>
    <n v="51.75"/>
    <n v="178.78630000000001"/>
    <n v="730.5"/>
    <n v="3.8764546470000001"/>
    <n v="87.599000000000004"/>
  </r>
  <r>
    <s v="south"/>
    <x v="1"/>
    <d v="2018-03-29T00:00:00"/>
    <x v="131"/>
    <n v="197679125"/>
    <s v="Female"/>
    <x v="1"/>
    <s v="Cash"/>
    <x v="3"/>
    <n v="1.9"/>
    <n v="77.2"/>
    <n v="4"/>
    <n v="74.97"/>
    <n v="123.0795"/>
    <n v="295.8"/>
    <n v="3.8764546470000001"/>
    <n v="54.87"/>
  </r>
  <r>
    <s v="south"/>
    <x v="1"/>
    <d v="2017-04-04T00:00:00"/>
    <x v="140"/>
    <n v="466061404"/>
    <s v="Female"/>
    <x v="0"/>
    <s v="Cash"/>
    <x v="4"/>
    <n v="4.4000000000000004"/>
    <n v="22.11"/>
    <n v="1"/>
    <n v="75.2"/>
    <n v="169.51329999999999"/>
    <n v="22.62"/>
    <n v="3.8764546470000001"/>
    <n v="89.16"/>
  </r>
  <r>
    <s v="East"/>
    <x v="0"/>
    <d v="2018-02-06T00:00:00"/>
    <x v="190"/>
    <n v="186027959"/>
    <s v="Male"/>
    <x v="0"/>
    <s v="Credit card"/>
    <x v="4"/>
    <n v="6"/>
    <n v="96.98"/>
    <n v="5"/>
    <n v="58.5"/>
    <n v="125.3036"/>
    <n v="256.7"/>
    <n v="3.8764546470000001"/>
    <n v="40.72"/>
  </r>
  <r>
    <s v="south"/>
    <x v="1"/>
    <d v="2017-08-19T00:00:00"/>
    <x v="191"/>
    <n v="425852247"/>
    <s v="Female"/>
    <x v="0"/>
    <s v="Credit card"/>
    <x v="3"/>
    <n v="4.8"/>
    <n v="56.46"/>
    <n v="10"/>
    <n v="96.46"/>
    <n v="125.1896"/>
    <n v="545.5"/>
    <n v="3.8764546470000001"/>
    <n v="20.54"/>
  </r>
  <r>
    <s v="south"/>
    <x v="1"/>
    <d v="2017-12-10T00:00:00"/>
    <x v="163"/>
    <n v="701598252"/>
    <s v="Female"/>
    <x v="0"/>
    <s v="Credit card"/>
    <x v="0"/>
    <n v="5.0999999999999996"/>
    <n v="42.68"/>
    <n v="7"/>
    <n v="71.819999999999993"/>
    <n v="117.86920000000001"/>
    <n v="260.05"/>
    <n v="3.8764546470000001"/>
    <n v="10.28"/>
  </r>
  <r>
    <s v="West"/>
    <x v="2"/>
    <d v="2017-08-02T00:00:00"/>
    <x v="126"/>
    <n v="89663422"/>
    <s v="Male"/>
    <x v="1"/>
    <s v="Cash"/>
    <x v="3"/>
    <n v="1.3"/>
    <n v="54.85"/>
    <n v="6"/>
    <n v="29.59"/>
    <n v="110.7893"/>
    <n v="222.12"/>
    <n v="3.8764546470000001"/>
    <n v="11.06"/>
  </r>
  <r>
    <s v="south"/>
    <x v="1"/>
    <d v="2018-08-13T00:00:00"/>
    <x v="120"/>
    <n v="237399267"/>
    <s v="Male"/>
    <x v="1"/>
    <s v="Ewallet"/>
    <x v="4"/>
    <n v="8"/>
    <n v="58.16"/>
    <n v="1"/>
    <n v="49.37"/>
    <n v="167.8895"/>
    <n v="21.58"/>
    <n v="3.8764546470000001"/>
    <n v="88.82"/>
  </r>
  <r>
    <s v="south"/>
    <x v="1"/>
    <d v="2018-03-12T00:00:00"/>
    <x v="94"/>
    <n v="951096641"/>
    <s v="Female"/>
    <x v="0"/>
    <s v="Cash"/>
    <x v="1"/>
    <n v="5"/>
    <n v="76.349999999999994"/>
    <n v="1"/>
    <n v="16.45"/>
    <n v="105.2086"/>
    <n v="98.84"/>
    <n v="3.8764546470000001"/>
    <n v="99.631"/>
  </r>
  <r>
    <s v="south"/>
    <x v="1"/>
    <d v="2018-06-20T00:00:00"/>
    <x v="11"/>
    <n v="444363817"/>
    <s v="Female"/>
    <x v="0"/>
    <s v="Ewallet"/>
    <x v="2"/>
    <n v="10"/>
    <n v="82.58"/>
    <n v="6"/>
    <n v="66.05"/>
    <n v="121.0082"/>
    <n v="502.62"/>
    <n v="3.8764546470000001"/>
    <n v="29.178000000000001"/>
  </r>
  <r>
    <s v="East"/>
    <x v="0"/>
    <d v="2017-12-19T00:00:00"/>
    <x v="30"/>
    <n v="566689775"/>
    <s v="Female"/>
    <x v="0"/>
    <s v="Cash"/>
    <x v="3"/>
    <n v="4"/>
    <n v="19.63"/>
    <n v="4"/>
    <n v="91.8"/>
    <n v="177.994"/>
    <n v="160.19999999999999"/>
    <n v="3.8764546470000001"/>
    <n v="46.652999999999999"/>
  </r>
  <r>
    <s v="East"/>
    <x v="0"/>
    <d v="2018-11-24T00:00:00"/>
    <x v="90"/>
    <n v="114732594"/>
    <s v="Male"/>
    <x v="0"/>
    <s v="Credit card"/>
    <x v="5"/>
    <n v="4"/>
    <n v="19.03"/>
    <n v="10"/>
    <n v="75.58"/>
    <n v="181.61410000000001"/>
    <n v="431.3"/>
    <n v="3.8764546470000001"/>
    <n v="15.242000000000001"/>
  </r>
  <r>
    <s v="West"/>
    <x v="2"/>
    <d v="2017-05-24T00:00:00"/>
    <x v="63"/>
    <n v="846219702"/>
    <s v="Male"/>
    <x v="0"/>
    <s v="Cash"/>
    <x v="0"/>
    <n v="2"/>
    <n v="64.010000000000005"/>
    <n v="8"/>
    <n v="37.5"/>
    <n v="127.553"/>
    <n v="580.55999999999995"/>
    <n v="3.8764546470000001"/>
    <n v="26.373999999999999"/>
  </r>
  <r>
    <s v="East"/>
    <x v="0"/>
    <d v="2018-10-27T00:00:00"/>
    <x v="127"/>
    <n v="417156607"/>
    <s v="Female"/>
    <x v="0"/>
    <s v="Cash"/>
    <x v="1"/>
    <n v="9"/>
    <n v="10.46"/>
    <n v="5"/>
    <n v="75.42"/>
    <n v="180.9359"/>
    <n v="322.2"/>
    <n v="3.8764546470000001"/>
    <n v="16.466999999999999"/>
  </r>
  <r>
    <s v="East"/>
    <x v="0"/>
    <d v="2018-10-01T00:00:00"/>
    <x v="192"/>
    <n v="971290974"/>
    <s v="Male"/>
    <x v="1"/>
    <s v="Credit card"/>
    <x v="0"/>
    <n v="4"/>
    <n v="57.27"/>
    <n v="3"/>
    <n v="95.91"/>
    <n v="176.6035"/>
    <n v="195.54"/>
    <n v="3.8764546470000001"/>
    <n v="84.894000000000005"/>
  </r>
  <r>
    <s v="East"/>
    <x v="0"/>
    <d v="2018-09-01T00:00:00"/>
    <x v="193"/>
    <n v="677261092"/>
    <s v="Female"/>
    <x v="1"/>
    <s v="Credit card"/>
    <x v="3"/>
    <n v="5"/>
    <n v="37.619999999999997"/>
    <n v="5"/>
    <n v="60.27"/>
    <n v="126.1794"/>
    <n v="166.3"/>
    <n v="3.8764546470000001"/>
    <n v="49.783000000000001"/>
  </r>
  <r>
    <s v="south"/>
    <x v="1"/>
    <d v="2017-12-17T00:00:00"/>
    <x v="19"/>
    <n v="222014456"/>
    <s v="Male"/>
    <x v="1"/>
    <s v="Ewallet"/>
    <x v="1"/>
    <n v="8"/>
    <n v="62.866"/>
    <n v="4"/>
    <n v="52.82"/>
    <n v="163.38419999999999"/>
    <n v="336.28"/>
    <n v="3.8764546470000001"/>
    <n v="16.413"/>
  </r>
  <r>
    <s v="West"/>
    <x v="2"/>
    <d v="2018-08-11T00:00:00"/>
    <x v="48"/>
    <n v="711740977"/>
    <s v="Male"/>
    <x v="1"/>
    <s v="Ewallet"/>
    <x v="3"/>
    <n v="2"/>
    <n v="73.92"/>
    <n v="10"/>
    <n v="14.18"/>
    <n v="158.78059999999999"/>
    <n v="343.7"/>
    <n v="3.8764546470000001"/>
    <n v="43.188000000000002"/>
  </r>
  <r>
    <s v="East"/>
    <x v="0"/>
    <d v="2018-09-07T00:00:00"/>
    <x v="27"/>
    <n v="668720412"/>
    <s v="Male"/>
    <x v="1"/>
    <s v="Ewallet"/>
    <x v="1"/>
    <n v="5.2"/>
    <n v="88.74"/>
    <n v="1"/>
    <n v="42.76"/>
    <n v="171.03960000000001"/>
    <n v="38.6"/>
    <n v="3.8764546470000001"/>
    <n v="62.682000000000002"/>
  </r>
  <r>
    <s v="south"/>
    <x v="1"/>
    <d v="2018-06-06T00:00:00"/>
    <x v="155"/>
    <n v="546529499"/>
    <s v="Male"/>
    <x v="1"/>
    <s v="Cash"/>
    <x v="4"/>
    <n v="6"/>
    <n v="27.08"/>
    <n v="8"/>
    <n v="76.599999999999994"/>
    <n v="133.13980000000001"/>
    <n v="527.76"/>
    <n v="3.8764546470000001"/>
    <n v="57.8"/>
  </r>
  <r>
    <s v="south"/>
    <x v="1"/>
    <d v="2018-07-20T00:00:00"/>
    <x v="93"/>
    <n v="387590772"/>
    <s v="Female"/>
    <x v="1"/>
    <s v="Cash"/>
    <x v="1"/>
    <n v="2.1"/>
    <n v="89.82"/>
    <n v="10"/>
    <n v="84.1"/>
    <n v="154.84039999999999"/>
    <n v="328"/>
    <n v="3.8764546470000001"/>
    <n v="71.25"/>
  </r>
  <r>
    <s v="East"/>
    <x v="0"/>
    <d v="2017-11-27T00:00:00"/>
    <x v="119"/>
    <n v="904230799"/>
    <s v="Male"/>
    <x v="1"/>
    <s v="Ewallet"/>
    <x v="3"/>
    <n v="3"/>
    <n v="63.66"/>
    <n v="5"/>
    <n v="99.58"/>
    <n v="134.5839"/>
    <n v="185.7"/>
    <n v="3.8764546470000001"/>
    <n v="24.59"/>
  </r>
  <r>
    <s v="West"/>
    <x v="2"/>
    <d v="2018-02-10T00:00:00"/>
    <x v="163"/>
    <n v="265475975"/>
    <s v="Male"/>
    <x v="0"/>
    <s v="Cash"/>
    <x v="2"/>
    <n v="6"/>
    <n v="70.884"/>
    <n v="10"/>
    <n v="15.2"/>
    <n v="158.18100000000001"/>
    <n v="603.79999999999995"/>
    <n v="3.8764546470000001"/>
    <n v="70.37"/>
  </r>
  <r>
    <s v="south"/>
    <x v="1"/>
    <d v="2018-12-26T00:00:00"/>
    <x v="115"/>
    <n v="575254477"/>
    <s v="Female"/>
    <x v="0"/>
    <s v="Credit card"/>
    <x v="3"/>
    <n v="6.4"/>
    <n v="61.92"/>
    <n v="10"/>
    <n v="18.649999999999999"/>
    <n v="177.37559999999999"/>
    <n v="369.8"/>
    <n v="3.8764546470000001"/>
    <n v="83.78"/>
  </r>
  <r>
    <s v="West"/>
    <x v="2"/>
    <d v="2018-01-27T00:00:00"/>
    <x v="162"/>
    <n v="401727084"/>
    <s v="Female"/>
    <x v="0"/>
    <s v="Ewallet"/>
    <x v="3"/>
    <n v="4.4000000000000004"/>
    <n v="90.33"/>
    <n v="4"/>
    <n v="99.33"/>
    <n v="102.5232"/>
    <n v="197.96"/>
    <n v="3.8764546470000001"/>
    <n v="67.492000000000004"/>
  </r>
  <r>
    <s v="West"/>
    <x v="2"/>
    <d v="2017-10-15T00:00:00"/>
    <x v="106"/>
    <n v="934241735"/>
    <s v="Female"/>
    <x v="1"/>
    <s v="Cash"/>
    <x v="5"/>
    <n v="3"/>
    <n v="45.780999999999999"/>
    <n v="10"/>
    <n v="69.989999999999995"/>
    <n v="173.10589999999999"/>
    <n v="410.9"/>
    <n v="3.8764546470000001"/>
    <n v="82.918999999999997"/>
  </r>
  <r>
    <s v="East"/>
    <x v="0"/>
    <d v="2017-08-05T00:00:00"/>
    <x v="182"/>
    <n v="560941921"/>
    <s v="Male"/>
    <x v="1"/>
    <s v="Ewallet"/>
    <x v="5"/>
    <n v="6.9"/>
    <n v="45.914999999999999"/>
    <n v="4"/>
    <n v="42.62"/>
    <n v="179.0103"/>
    <n v="148.6"/>
    <n v="3.8764546470000001"/>
    <n v="84.935000000000002"/>
  </r>
  <r>
    <s v="south"/>
    <x v="1"/>
    <d v="2018-07-10T00:00:00"/>
    <x v="186"/>
    <n v="322531274"/>
    <s v="Male"/>
    <x v="1"/>
    <s v="Cash"/>
    <x v="2"/>
    <n v="6.1"/>
    <n v="36.81"/>
    <n v="1"/>
    <n v="21.9"/>
    <n v="109.2218"/>
    <n v="22.96"/>
    <n v="3.8764546470000001"/>
    <n v="78.540000000000006"/>
  </r>
  <r>
    <s v="West"/>
    <x v="2"/>
    <d v="2018-08-04T00:00:00"/>
    <x v="81"/>
    <n v="350000188"/>
    <s v="Female"/>
    <x v="0"/>
    <s v="Ewallet"/>
    <x v="2"/>
    <n v="5.8"/>
    <n v="95.03"/>
    <n v="9"/>
    <n v="46.09"/>
    <n v="158.02889999999999"/>
    <n v="699.12"/>
    <n v="3.8764546470000001"/>
    <n v="26.16"/>
  </r>
  <r>
    <s v="West"/>
    <x v="2"/>
    <d v="2018-08-19T00:00:00"/>
    <x v="11"/>
    <n v="498953601"/>
    <s v="Female"/>
    <x v="1"/>
    <s v="Ewallet"/>
    <x v="5"/>
    <n v="2.1"/>
    <n v="92.49"/>
    <n v="2"/>
    <n v="13.73"/>
    <n v="159.83439999999999"/>
    <n v="69.400000000000006"/>
    <n v="3.8764546470000001"/>
    <n v="31.32"/>
  </r>
  <r>
    <s v="East"/>
    <x v="0"/>
    <d v="2018-10-17T00:00:00"/>
    <x v="20"/>
    <n v="433238787"/>
    <s v="Female"/>
    <x v="0"/>
    <s v="Credit card"/>
    <x v="5"/>
    <n v="9.6"/>
    <n v="92.8"/>
    <n v="10"/>
    <n v="90.52"/>
    <n v="157.08000000000001"/>
    <n v="196.6"/>
    <n v="3.8764546470000001"/>
    <n v="46"/>
  </r>
  <r>
    <s v="West"/>
    <x v="2"/>
    <d v="2017-11-17T00:00:00"/>
    <x v="161"/>
    <n v="171587243"/>
    <s v="Female"/>
    <x v="0"/>
    <s v="Ewallet"/>
    <x v="0"/>
    <n v="4.7"/>
    <n v="65.27"/>
    <n v="8"/>
    <n v="50.74"/>
    <n v="183.7961"/>
    <n v="202.56"/>
    <n v="3.8764546470000001"/>
    <n v="21.17"/>
  </r>
  <r>
    <s v="south"/>
    <x v="1"/>
    <d v="2017-03-13T00:00:00"/>
    <x v="125"/>
    <n v="274342218"/>
    <s v="Female"/>
    <x v="0"/>
    <s v="Credit card"/>
    <x v="2"/>
    <n v="2.6"/>
    <n v="14.73"/>
    <n v="10"/>
    <n v="95.79"/>
    <n v="180.26920000000001"/>
    <n v="121.2"/>
    <n v="3.8764546470000001"/>
    <n v="85.8"/>
  </r>
  <r>
    <s v="West"/>
    <x v="2"/>
    <d v="2018-01-03T00:00:00"/>
    <x v="7"/>
    <n v="352979679"/>
    <s v="Male"/>
    <x v="1"/>
    <s v="Ewallet"/>
    <x v="5"/>
    <n v="1.7"/>
    <n v="97.09"/>
    <n v="2"/>
    <n v="48.49"/>
    <n v="156.45599999999999"/>
    <n v="199.78"/>
    <n v="3.8764546470000001"/>
    <n v="43.621000000000002"/>
  </r>
  <r>
    <s v="West"/>
    <x v="2"/>
    <d v="2018-01-19T00:00:00"/>
    <x v="130"/>
    <n v="838660315"/>
    <s v="Male"/>
    <x v="1"/>
    <s v="Cash"/>
    <x v="3"/>
    <n v="7"/>
    <n v="65.040000000000006"/>
    <n v="8"/>
    <n v="22.94"/>
    <n v="175.64769999999999"/>
    <n v="607.36"/>
    <n v="3.8764546470000001"/>
    <n v="96.373999999999995"/>
  </r>
  <r>
    <s v="south"/>
    <x v="1"/>
    <d v="2017-11-24T00:00:00"/>
    <x v="110"/>
    <n v="935972172"/>
    <s v="Female"/>
    <x v="1"/>
    <s v="Cash"/>
    <x v="1"/>
    <n v="10"/>
    <n v="98.68"/>
    <n v="2"/>
    <n v="53.26"/>
    <n v="141.66079999999999"/>
    <n v="126.44"/>
    <n v="3.8764546470000001"/>
    <n v="92.207999999999998"/>
  </r>
  <r>
    <s v="south"/>
    <x v="1"/>
    <d v="2017-03-15T00:00:00"/>
    <x v="128"/>
    <n v="440011565"/>
    <s v="Female"/>
    <x v="1"/>
    <s v="Cash"/>
    <x v="4"/>
    <n v="9"/>
    <n v="86.07"/>
    <n v="6"/>
    <n v="26.21"/>
    <n v="135.63140000000001"/>
    <n v="541.44000000000005"/>
    <n v="3.8764546470000001"/>
    <n v="78.602000000000004"/>
  </r>
  <r>
    <s v="West"/>
    <x v="2"/>
    <d v="2017-06-29T00:00:00"/>
    <x v="10"/>
    <n v="44304390"/>
    <s v="Female"/>
    <x v="0"/>
    <s v="Cash"/>
    <x v="3"/>
    <n v="9"/>
    <n v="60.01"/>
    <n v="1"/>
    <n v="12.39"/>
    <n v="127.57859999999999"/>
    <n v="98.13"/>
    <n v="3.8764546470000001"/>
    <n v="31.902999999999999"/>
  </r>
  <r>
    <s v="East"/>
    <x v="0"/>
    <d v="2017-10-20T00:00:00"/>
    <x v="116"/>
    <n v="440768672"/>
    <s v="Female"/>
    <x v="0"/>
    <s v="Cash"/>
    <x v="3"/>
    <n v="7"/>
    <n v="15.678000000000001"/>
    <n v="8"/>
    <n v="38.479999999999997"/>
    <n v="101.5838"/>
    <n v="412.16"/>
    <n v="3.8764546470000001"/>
    <n v="22.245999999999999"/>
  </r>
  <r>
    <s v="West"/>
    <x v="2"/>
    <d v="2018-06-14T00:00:00"/>
    <x v="41"/>
    <n v="29340917"/>
    <s v="Male"/>
    <x v="0"/>
    <s v="Credit card"/>
    <x v="3"/>
    <n v="4.9000000000000004"/>
    <n v="94.61"/>
    <n v="1"/>
    <n v="89.96"/>
    <n v="162.10329999999999"/>
    <n v="73.97"/>
    <n v="3.8764546470000001"/>
    <n v="66.631"/>
  </r>
  <r>
    <s v="south"/>
    <x v="1"/>
    <d v="2017-05-30T00:00:00"/>
    <x v="18"/>
    <n v="38810670"/>
    <s v="Female"/>
    <x v="0"/>
    <s v="Ewallet"/>
    <x v="5"/>
    <n v="8"/>
    <n v="88.52"/>
    <n v="1"/>
    <n v="26.99"/>
    <n v="163.46979999999999"/>
    <n v="31.9"/>
    <n v="3.8764546470000001"/>
    <n v="72.674000000000007"/>
  </r>
  <r>
    <s v="south"/>
    <x v="1"/>
    <d v="2017-05-30T00:00:00"/>
    <x v="23"/>
    <n v="214124298"/>
    <s v="Male"/>
    <x v="1"/>
    <s v="Ewallet"/>
    <x v="2"/>
    <n v="5.8"/>
    <n v="67.84"/>
    <n v="2"/>
    <n v="44.68"/>
    <n v="140.8313"/>
    <n v="138.80000000000001"/>
    <n v="3.8764546470000001"/>
    <n v="74.89"/>
  </r>
  <r>
    <s v="West"/>
    <x v="2"/>
    <d v="2017-12-16T00:00:00"/>
    <x v="68"/>
    <n v="182315948"/>
    <s v="Female"/>
    <x v="1"/>
    <s v="Cash"/>
    <x v="3"/>
    <n v="9.4"/>
    <n v="84.63"/>
    <n v="2"/>
    <n v="88.22"/>
    <n v="149.3724"/>
    <n v="186.62"/>
    <n v="3.8764546470000001"/>
    <n v="76.180000000000007"/>
  </r>
  <r>
    <s v="West"/>
    <x v="2"/>
    <d v="2017-04-28T00:00:00"/>
    <x v="41"/>
    <n v="651944874"/>
    <s v="Male"/>
    <x v="1"/>
    <s v="Credit card"/>
    <x v="3"/>
    <n v="1.6"/>
    <n v="97.63"/>
    <n v="1"/>
    <n v="69.81"/>
    <n v="184.87100000000001"/>
    <n v="88.45"/>
    <n v="3.8764546470000001"/>
    <n v="87.93"/>
  </r>
  <r>
    <s v="East"/>
    <x v="0"/>
    <d v="2017-04-17T00:00:00"/>
    <x v="45"/>
    <n v="820096808"/>
    <s v="Male"/>
    <x v="0"/>
    <s v="Ewallet"/>
    <x v="1"/>
    <n v="4.2"/>
    <n v="30.26"/>
    <n v="8"/>
    <n v="55.78"/>
    <n v="130.91069999999999"/>
    <n v="193.44"/>
    <n v="3.8764546470000001"/>
    <n v="65.25"/>
  </r>
  <r>
    <s v="West"/>
    <x v="2"/>
    <d v="2017-07-15T00:00:00"/>
    <x v="86"/>
    <n v="254652563"/>
    <s v="Female"/>
    <x v="0"/>
    <s v="Cash"/>
    <x v="3"/>
    <n v="5.6"/>
    <n v="49.37"/>
    <n v="3"/>
    <n v="35.26"/>
    <n v="180.7252"/>
    <n v="145.5"/>
    <n v="3.8764546470000001"/>
    <n v="72.86"/>
  </r>
  <r>
    <s v="West"/>
    <x v="2"/>
    <d v="2017-05-05T00:00:00"/>
    <x v="85"/>
    <n v="821513219"/>
    <s v="Female"/>
    <x v="1"/>
    <s v="Credit card"/>
    <x v="4"/>
    <n v="2"/>
    <n v="63.88"/>
    <n v="6"/>
    <n v="87.84"/>
    <n v="170.39359999999999"/>
    <n v="504.3"/>
    <n v="3.8764546470000001"/>
    <n v="69.48"/>
  </r>
  <r>
    <s v="West"/>
    <x v="2"/>
    <d v="2017-09-17T00:00:00"/>
    <x v="188"/>
    <n v="744381719"/>
    <s v="Male"/>
    <x v="0"/>
    <s v="Cash"/>
    <x v="0"/>
    <n v="2.6"/>
    <n v="41.536000000000001"/>
    <n v="5"/>
    <n v="35.19"/>
    <n v="172.47190000000001"/>
    <n v="306.45"/>
    <n v="3.8764546470000001"/>
    <n v="48.37"/>
  </r>
  <r>
    <s v="south"/>
    <x v="1"/>
    <d v="2018-07-31T00:00:00"/>
    <x v="177"/>
    <n v="515841328"/>
    <s v="Female"/>
    <x v="0"/>
    <s v="Credit card"/>
    <x v="2"/>
    <n v="8"/>
    <n v="82.691999999999993"/>
    <n v="6"/>
    <n v="43.18"/>
    <n v="131.36850000000001"/>
    <n v="95.7"/>
    <n v="3.8764546470000001"/>
    <n v="75.75"/>
  </r>
  <r>
    <s v="West"/>
    <x v="2"/>
    <d v="2018-01-03T00:00:00"/>
    <x v="31"/>
    <n v="818543615"/>
    <s v="Female"/>
    <x v="0"/>
    <s v="Credit card"/>
    <x v="3"/>
    <n v="2.2999999999999998"/>
    <n v="55.07"/>
    <n v="7"/>
    <n v="95.12"/>
    <n v="124.5048"/>
    <n v="635.17999999999995"/>
    <n v="3.8764546470000001"/>
    <n v="85.524000000000001"/>
  </r>
  <r>
    <s v="East"/>
    <x v="0"/>
    <d v="2017-04-30T00:00:00"/>
    <x v="123"/>
    <n v="340060598"/>
    <s v="Female"/>
    <x v="1"/>
    <s v="Ewallet"/>
    <x v="2"/>
    <n v="3"/>
    <n v="70.972999999999999"/>
    <n v="5"/>
    <n v="72.8"/>
    <n v="103.6544"/>
    <n v="214.55"/>
    <n v="3.8764546470000001"/>
    <n v="58.985999999999997"/>
  </r>
  <r>
    <s v="East"/>
    <x v="0"/>
    <d v="2018-06-23T00:00:00"/>
    <x v="16"/>
    <n v="18047862"/>
    <s v="Female"/>
    <x v="1"/>
    <s v="Ewallet"/>
    <x v="5"/>
    <n v="8.1999999999999993"/>
    <n v="62.59"/>
    <n v="7"/>
    <n v="93.79"/>
    <n v="112.5376"/>
    <n v="379.96"/>
    <n v="3.8764546470000001"/>
    <n v="17.044"/>
  </r>
  <r>
    <s v="East"/>
    <x v="0"/>
    <d v="2018-09-18T00:00:00"/>
    <x v="90"/>
    <n v="124617727"/>
    <s v="Male"/>
    <x v="1"/>
    <s v="Cash"/>
    <x v="1"/>
    <n v="7.5"/>
    <n v="58.86"/>
    <n v="7"/>
    <n v="55.28"/>
    <n v="165.49160000000001"/>
    <n v="696.85"/>
    <n v="3.8764546470000001"/>
    <n v="70.302000000000007"/>
  </r>
  <r>
    <s v="south"/>
    <x v="1"/>
    <d v="2017-04-09T00:00:00"/>
    <x v="43"/>
    <n v="529882909"/>
    <s v="Male"/>
    <x v="0"/>
    <s v="Credit card"/>
    <x v="3"/>
    <n v="1.6"/>
    <n v="75.47"/>
    <n v="7"/>
    <n v="54.7"/>
    <n v="155.18360000000001"/>
    <n v="408.73"/>
    <n v="3.8764546470000001"/>
    <n v="24.143999999999998"/>
  </r>
  <r>
    <s v="south"/>
    <x v="1"/>
    <d v="2017-03-05T00:00:00"/>
    <x v="97"/>
    <n v="795697407"/>
    <s v="Female"/>
    <x v="0"/>
    <s v="Ewallet"/>
    <x v="5"/>
    <n v="4.3"/>
    <n v="57.24"/>
    <n v="1"/>
    <n v="20.239999999999998"/>
    <n v="144.9564"/>
    <n v="51.47"/>
    <n v="3.8764546470000001"/>
    <n v="54.526000000000003"/>
  </r>
  <r>
    <s v="West"/>
    <x v="2"/>
    <d v="2017-11-15T00:00:00"/>
    <x v="144"/>
    <n v="236752792"/>
    <s v="Male"/>
    <x v="0"/>
    <s v="Ewallet"/>
    <x v="0"/>
    <n v="7.3"/>
    <n v="19.7"/>
    <n v="5"/>
    <n v="96.79"/>
    <n v="121.24250000000001"/>
    <n v="274.3"/>
    <n v="3.8764546470000001"/>
    <n v="40.981000000000002"/>
  </r>
  <r>
    <s v="south"/>
    <x v="1"/>
    <d v="2018-05-24T00:00:00"/>
    <x v="139"/>
    <n v="829453684"/>
    <s v="Male"/>
    <x v="0"/>
    <s v="Credit card"/>
    <x v="2"/>
    <n v="7.5"/>
    <n v="33.549999999999997"/>
    <n v="5"/>
    <n v="68.27"/>
    <n v="152.9478"/>
    <n v="196.95"/>
    <n v="3.8764546470000001"/>
    <n v="32.796999999999997"/>
  </r>
  <r>
    <s v="East"/>
    <x v="0"/>
    <d v="2018-02-06T00:00:00"/>
    <x v="106"/>
    <n v="249241429"/>
    <s v="Male"/>
    <x v="1"/>
    <s v="Ewallet"/>
    <x v="2"/>
    <n v="6.8"/>
    <n v="82.5"/>
    <n v="2"/>
    <n v="44.18"/>
    <n v="132.0181"/>
    <n v="69.459999999999994"/>
    <n v="3.8764546470000001"/>
    <n v="89.11"/>
  </r>
  <r>
    <s v="south"/>
    <x v="1"/>
    <d v="2017-06-05T00:00:00"/>
    <x v="99"/>
    <n v="620711306"/>
    <s v="Male"/>
    <x v="0"/>
    <s v="Credit card"/>
    <x v="3"/>
    <n v="6"/>
    <n v="75.69"/>
    <n v="5"/>
    <n v="31.18"/>
    <n v="145.78899999999999"/>
    <n v="359.6"/>
    <n v="3.8764546470000001"/>
    <n v="97.79"/>
  </r>
  <r>
    <s v="West"/>
    <x v="2"/>
    <d v="2018-04-19T00:00:00"/>
    <x v="111"/>
    <n v="777971112"/>
    <s v="Female"/>
    <x v="1"/>
    <s v="Credit card"/>
    <x v="1"/>
    <n v="2"/>
    <n v="18.75"/>
    <n v="3"/>
    <n v="43.23"/>
    <n v="137.58670000000001"/>
    <n v="137.13"/>
    <n v="3.8764546470000001"/>
    <n v="34.42"/>
  </r>
  <r>
    <s v="south"/>
    <x v="1"/>
    <d v="2018-08-23T00:00:00"/>
    <x v="76"/>
    <n v="572376924"/>
    <s v="Female"/>
    <x v="0"/>
    <s v="Cash"/>
    <x v="2"/>
    <n v="9"/>
    <n v="61.58"/>
    <n v="6"/>
    <n v="53.81"/>
    <n v="118.2359"/>
    <n v="499.02"/>
    <n v="3.8764546470000001"/>
    <n v="33.29"/>
  </r>
  <r>
    <s v="East"/>
    <x v="0"/>
    <d v="2018-03-22T00:00:00"/>
    <x v="143"/>
    <n v="993799816"/>
    <s v="Female"/>
    <x v="0"/>
    <s v="Credit card"/>
    <x v="2"/>
    <n v="6"/>
    <n v="56.28"/>
    <n v="6"/>
    <n v="76.540000000000006"/>
    <n v="162.31549999999999"/>
    <n v="224.64"/>
    <n v="3.8764546470000001"/>
    <n v="45.91"/>
  </r>
  <r>
    <s v="south"/>
    <x v="1"/>
    <d v="2017-11-16T00:00:00"/>
    <x v="150"/>
    <n v="915789208"/>
    <s v="Male"/>
    <x v="1"/>
    <s v="Cash"/>
    <x v="0"/>
    <n v="4"/>
    <n v="27.52"/>
    <n v="2"/>
    <n v="90.94"/>
    <n v="162.5009"/>
    <n v="125.74"/>
    <n v="3.8764546470000001"/>
    <n v="69.099999999999994"/>
  </r>
  <r>
    <s v="East"/>
    <x v="0"/>
    <d v="2017-03-23T00:00:00"/>
    <x v="30"/>
    <n v="734814758"/>
    <s v="Male"/>
    <x v="1"/>
    <s v="Credit card"/>
    <x v="4"/>
    <n v="5"/>
    <n v="66.55"/>
    <n v="6"/>
    <n v="24.94"/>
    <n v="173.40629999999999"/>
    <n v="490.26"/>
    <n v="3.8764546470000001"/>
    <n v="89.16"/>
  </r>
  <r>
    <s v="East"/>
    <x v="0"/>
    <d v="2017-09-28T00:00:00"/>
    <x v="67"/>
    <n v="226564105"/>
    <s v="Female"/>
    <x v="0"/>
    <s v="Ewallet"/>
    <x v="3"/>
    <n v="10"/>
    <n v="80.5"/>
    <n v="5"/>
    <n v="39.81"/>
    <n v="112.94589999999999"/>
    <n v="457.05"/>
    <n v="3.8764546470000001"/>
    <n v="39.42"/>
  </r>
  <r>
    <s v="West"/>
    <x v="2"/>
    <d v="2017-05-07T00:00:00"/>
    <x v="81"/>
    <n v="942899613"/>
    <s v="Male"/>
    <x v="1"/>
    <s v="Credit card"/>
    <x v="5"/>
    <n v="9.6"/>
    <n v="33.96"/>
    <n v="4"/>
    <n v="51.87"/>
    <n v="168.7801"/>
    <n v="156.84"/>
    <n v="3.8764546470000001"/>
    <n v="10.438000000000001"/>
  </r>
  <r>
    <s v="West"/>
    <x v="2"/>
    <d v="2018-06-07T00:00:00"/>
    <x v="120"/>
    <n v="544151756"/>
    <s v="Male"/>
    <x v="0"/>
    <s v="Ewallet"/>
    <x v="5"/>
    <n v="1.7"/>
    <n v="73.69"/>
    <n v="2"/>
    <n v="44.47"/>
    <n v="106.21380000000001"/>
    <n v="119.72"/>
    <n v="3.8764546470000001"/>
    <n v="38.732999999999997"/>
  </r>
  <r>
    <s v="West"/>
    <x v="2"/>
    <d v="2018-07-14T00:00:00"/>
    <x v="41"/>
    <n v="630926117"/>
    <s v="Female"/>
    <x v="0"/>
    <s v="Credit card"/>
    <x v="4"/>
    <n v="2.5"/>
    <n v="52.88"/>
    <n v="10"/>
    <n v="78.98"/>
    <n v="168.72499999999999"/>
    <n v="543.6"/>
    <n v="3.8764546470000001"/>
    <n v="70.031999999999996"/>
  </r>
  <r>
    <s v="East"/>
    <x v="0"/>
    <d v="2018-10-06T00:00:00"/>
    <x v="125"/>
    <n v="630977853"/>
    <s v="Male"/>
    <x v="1"/>
    <s v="Cash"/>
    <x v="3"/>
    <n v="8.1999999999999993"/>
    <n v="27.23"/>
    <n v="9"/>
    <n v="74.28"/>
    <n v="107.3689"/>
    <n v="882.81"/>
    <n v="3.8764546470000001"/>
    <n v="29.51"/>
  </r>
  <r>
    <s v="East"/>
    <x v="0"/>
    <d v="2017-09-10T00:00:00"/>
    <x v="143"/>
    <n v="310162654"/>
    <s v="Male"/>
    <x v="1"/>
    <s v="Ewallet"/>
    <x v="0"/>
    <n v="2.8"/>
    <n v="90.29"/>
    <n v="6"/>
    <n v="95.69"/>
    <n v="137.7526"/>
    <n v="152.58000000000001"/>
    <n v="3.8764546470000001"/>
    <n v="73.025000000000006"/>
  </r>
  <r>
    <s v="East"/>
    <x v="0"/>
    <d v="2018-05-23T00:00:00"/>
    <x v="5"/>
    <n v="515145610"/>
    <s v="Male"/>
    <x v="0"/>
    <s v="Credit card"/>
    <x v="5"/>
    <n v="9.9"/>
    <n v="35.15"/>
    <n v="8"/>
    <n v="53.34"/>
    <n v="148.4162"/>
    <n v="693.44"/>
    <n v="3.8764546470000001"/>
    <n v="86.26"/>
  </r>
  <r>
    <s v="West"/>
    <x v="2"/>
    <d v="2017-11-27T00:00:00"/>
    <x v="80"/>
    <n v="348657047"/>
    <s v="Male"/>
    <x v="1"/>
    <s v="Ewallet"/>
    <x v="1"/>
    <n v="6.1"/>
    <n v="15.42"/>
    <n v="10"/>
    <n v="43.6"/>
    <n v="158.53919999999999"/>
    <n v="229.5"/>
    <n v="3.8764546470000001"/>
    <n v="11.724"/>
  </r>
  <r>
    <s v="south"/>
    <x v="1"/>
    <d v="2017-12-18T00:00:00"/>
    <x v="189"/>
    <n v="904947715"/>
    <s v="Female"/>
    <x v="1"/>
    <s v="Ewallet"/>
    <x v="4"/>
    <n v="2"/>
    <n v="46.81"/>
    <n v="9"/>
    <n v="38.479999999999997"/>
    <n v="119.99850000000001"/>
    <n v="146.79"/>
    <n v="3.8764546470000001"/>
    <n v="43.198"/>
  </r>
  <r>
    <s v="East"/>
    <x v="0"/>
    <d v="2018-12-29T00:00:00"/>
    <x v="110"/>
    <n v="920057318"/>
    <s v="Female"/>
    <x v="1"/>
    <s v="Ewallet"/>
    <x v="2"/>
    <n v="9.1999999999999993"/>
    <n v="16.86"/>
    <n v="5"/>
    <n v="74.819999999999993"/>
    <n v="185.48990000000001"/>
    <n v="141.6"/>
    <n v="3.8764546470000001"/>
    <n v="99.08"/>
  </r>
  <r>
    <s v="south"/>
    <x v="1"/>
    <d v="2018-08-04T00:00:00"/>
    <x v="159"/>
    <n v="221580863"/>
    <s v="Male"/>
    <x v="1"/>
    <s v="Ewallet"/>
    <x v="2"/>
    <n v="5.9"/>
    <n v="70.209999999999994"/>
    <n v="7"/>
    <n v="53"/>
    <n v="179.22790000000001"/>
    <n v="116.69"/>
    <n v="3.8764546470000001"/>
    <n v="43.787999999999997"/>
  </r>
  <r>
    <s v="West"/>
    <x v="2"/>
    <d v="2018-12-20T00:00:00"/>
    <x v="188"/>
    <n v="274803524"/>
    <s v="Female"/>
    <x v="0"/>
    <s v="Credit card"/>
    <x v="5"/>
    <n v="2"/>
    <n v="50.17"/>
    <n v="1"/>
    <n v="91.48"/>
    <n v="139.65889999999999"/>
    <n v="73.959999999999994"/>
    <n v="3.8764546470000001"/>
    <n v="60.87"/>
  </r>
  <r>
    <s v="East"/>
    <x v="0"/>
    <d v="2018-09-16T00:00:00"/>
    <x v="191"/>
    <n v="463616149"/>
    <s v="Male"/>
    <x v="1"/>
    <s v="Ewallet"/>
    <x v="2"/>
    <n v="9"/>
    <n v="46.018999999999998"/>
    <n v="1"/>
    <n v="22.05"/>
    <n v="133.14519999999999"/>
    <n v="97.94"/>
    <n v="3.8764546470000001"/>
    <n v="22.65"/>
  </r>
  <r>
    <s v="East"/>
    <x v="0"/>
    <d v="2018-10-01T00:00:00"/>
    <x v="179"/>
    <n v="519496049"/>
    <s v="Female"/>
    <x v="1"/>
    <s v="Credit card"/>
    <x v="5"/>
    <n v="6"/>
    <n v="42.91"/>
    <n v="4"/>
    <n v="17.52"/>
    <n v="137.92320000000001"/>
    <n v="292.2"/>
    <n v="3.8764546470000001"/>
    <n v="55.04"/>
  </r>
  <r>
    <s v="south"/>
    <x v="1"/>
    <d v="2018-08-20T00:00:00"/>
    <x v="185"/>
    <n v="22978465"/>
    <s v="Female"/>
    <x v="0"/>
    <s v="Ewallet"/>
    <x v="4"/>
    <n v="3"/>
    <n v="87.495000000000005"/>
    <n v="6"/>
    <n v="43.26"/>
    <n v="161.5779"/>
    <n v="524.88"/>
    <n v="3.8764546470000001"/>
    <n v="56.25"/>
  </r>
  <r>
    <s v="East"/>
    <x v="0"/>
    <d v="2018-06-16T00:00:00"/>
    <x v="144"/>
    <n v="608470672"/>
    <s v="Male"/>
    <x v="1"/>
    <s v="Ewallet"/>
    <x v="2"/>
    <n v="4"/>
    <n v="27.957999999999998"/>
    <n v="3"/>
    <n v="57.74"/>
    <n v="177.99420000000001"/>
    <n v="92.04"/>
    <n v="3.8764546470000001"/>
    <n v="64.28"/>
  </r>
  <r>
    <s v="south"/>
    <x v="1"/>
    <d v="2017-03-29T00:00:00"/>
    <x v="102"/>
    <n v="538912208"/>
    <s v="Male"/>
    <x v="0"/>
    <s v="Credit card"/>
    <x v="0"/>
    <n v="3"/>
    <n v="40.302"/>
    <n v="1"/>
    <n v="97.96"/>
    <n v="168.25020000000001"/>
    <n v="75.88"/>
    <n v="3.8764546470000001"/>
    <n v="73.28"/>
  </r>
  <r>
    <s v="West"/>
    <x v="2"/>
    <d v="2018-11-10T00:00:00"/>
    <x v="25"/>
    <n v="448445124"/>
    <s v="Female"/>
    <x v="0"/>
    <s v="Credit card"/>
    <x v="3"/>
    <n v="7"/>
    <n v="33.573"/>
    <n v="4"/>
    <n v="24.89"/>
    <n v="180.5196"/>
    <n v="80.72"/>
    <n v="3.8764546470000001"/>
    <n v="68.251000000000005"/>
  </r>
  <r>
    <s v="south"/>
    <x v="1"/>
    <d v="2018-07-28T00:00:00"/>
    <x v="36"/>
    <n v="94690236"/>
    <s v="Male"/>
    <x v="0"/>
    <s v="Credit card"/>
    <x v="1"/>
    <n v="8"/>
    <n v="34.28"/>
    <n v="6"/>
    <n v="77.94"/>
    <n v="110.23350000000001"/>
    <n v="112.62"/>
    <n v="3.8764546470000001"/>
    <n v="27.763000000000002"/>
  </r>
  <r>
    <s v="West"/>
    <x v="2"/>
    <d v="2018-05-15T00:00:00"/>
    <x v="49"/>
    <n v="311998574"/>
    <s v="Female"/>
    <x v="1"/>
    <s v="Credit card"/>
    <x v="4"/>
    <n v="6"/>
    <n v="18.920000000000002"/>
    <n v="1"/>
    <n v="32.43"/>
    <n v="133.83189999999999"/>
    <n v="71.2"/>
    <n v="3.8764546470000001"/>
    <n v="91.676000000000002"/>
  </r>
  <r>
    <s v="West"/>
    <x v="2"/>
    <d v="2017-12-09T00:00:00"/>
    <x v="29"/>
    <n v="140700913"/>
    <s v="Male"/>
    <x v="0"/>
    <s v="Ewallet"/>
    <x v="2"/>
    <n v="3.4"/>
    <n v="88.852000000000004"/>
    <n v="4"/>
    <n v="49.3"/>
    <n v="121.4721"/>
    <n v="155.24"/>
    <n v="3.8764546470000001"/>
    <n v="39.840000000000003"/>
  </r>
  <r>
    <s v="East"/>
    <x v="0"/>
    <d v="2018-10-27T00:00:00"/>
    <x v="165"/>
    <n v="21060061"/>
    <s v="Female"/>
    <x v="1"/>
    <s v="Ewallet"/>
    <x v="5"/>
    <n v="9.1"/>
    <n v="10.49"/>
    <n v="10"/>
    <n v="88.01"/>
    <n v="130.20670000000001"/>
    <n v="294.2"/>
    <n v="3.8764546470000001"/>
    <n v="29.58"/>
  </r>
  <r>
    <s v="East"/>
    <x v="0"/>
    <d v="2017-06-04T00:00:00"/>
    <x v="84"/>
    <n v="878427015"/>
    <s v="Male"/>
    <x v="1"/>
    <s v="Credit card"/>
    <x v="3"/>
    <n v="8.9"/>
    <n v="93.18"/>
    <n v="9"/>
    <n v="72.38"/>
    <n v="183.2567"/>
    <n v="548.54999999999995"/>
    <n v="3.8764546470000001"/>
    <n v="82.71"/>
  </r>
  <r>
    <s v="West"/>
    <x v="2"/>
    <d v="2018-08-28T00:00:00"/>
    <x v="10"/>
    <n v="312552905"/>
    <s v="Female"/>
    <x v="1"/>
    <s v="Cash"/>
    <x v="3"/>
    <n v="1.9"/>
    <n v="47.81"/>
    <n v="5"/>
    <n v="49.68"/>
    <n v="130.63409999999999"/>
    <n v="257.7"/>
    <n v="3.8764546470000001"/>
    <n v="18.55"/>
  </r>
  <r>
    <s v="East"/>
    <x v="0"/>
    <d v="2018-06-01T00:00:00"/>
    <x v="147"/>
    <n v="573582116"/>
    <s v="Female"/>
    <x v="1"/>
    <s v="Cash"/>
    <x v="1"/>
    <n v="9"/>
    <n v="38.26"/>
    <n v="6"/>
    <n v="46.58"/>
    <n v="164.22649999999999"/>
    <n v="396.36"/>
    <n v="3.8764546470000001"/>
    <n v="50.83"/>
  </r>
  <r>
    <s v="West"/>
    <x v="2"/>
    <d v="2018-12-26T00:00:00"/>
    <x v="58"/>
    <n v="511993165"/>
    <s v="Male"/>
    <x v="1"/>
    <s v="Ewallet"/>
    <x v="5"/>
    <n v="4.3"/>
    <n v="41.46"/>
    <n v="3"/>
    <n v="92.4"/>
    <n v="119.3219"/>
    <n v="171.81"/>
    <n v="3.8764546470000001"/>
    <n v="44.35"/>
  </r>
  <r>
    <s v="West"/>
    <x v="2"/>
    <d v="2017-03-11T00:00:00"/>
    <x v="14"/>
    <n v="50137450"/>
    <s v="Female"/>
    <x v="1"/>
    <s v="Cash"/>
    <x v="5"/>
    <n v="5.4"/>
    <n v="84.001000000000005"/>
    <n v="9"/>
    <n v="67.16"/>
    <n v="146.24109999999999"/>
    <n v="488.79"/>
    <n v="3.8764546470000001"/>
    <n v="54.572000000000003"/>
  </r>
  <r>
    <s v="West"/>
    <x v="2"/>
    <d v="2017-10-14T00:00:00"/>
    <x v="180"/>
    <n v="598499540"/>
    <s v="Female"/>
    <x v="1"/>
    <s v="Cash"/>
    <x v="0"/>
    <n v="6.5"/>
    <n v="13.743"/>
    <n v="9"/>
    <n v="94.48"/>
    <n v="135.7251"/>
    <n v="524.16"/>
    <n v="3.8764546470000001"/>
    <n v="23.722999999999999"/>
  </r>
  <r>
    <s v="south"/>
    <x v="1"/>
    <d v="2018-12-01T00:00:00"/>
    <x v="153"/>
    <n v="483142578"/>
    <s v="Male"/>
    <x v="1"/>
    <s v="Credit card"/>
    <x v="1"/>
    <n v="7.4"/>
    <n v="14.962999999999999"/>
    <n v="6"/>
    <n v="98.25"/>
    <n v="101.54989999999999"/>
    <n v="133.26"/>
    <n v="3.8764546470000001"/>
    <n v="52.406999999999996"/>
  </r>
  <r>
    <s v="East"/>
    <x v="0"/>
    <d v="2018-10-02T00:00:00"/>
    <x v="13"/>
    <n v="345375428"/>
    <s v="Male"/>
    <x v="0"/>
    <s v="Cash"/>
    <x v="1"/>
    <n v="3.9"/>
    <n v="50.023000000000003"/>
    <n v="7"/>
    <n v="54.8"/>
    <n v="188.01490000000001"/>
    <n v="135.24"/>
    <n v="3.8764546470000001"/>
    <n v="44.884999999999998"/>
  </r>
  <r>
    <s v="West"/>
    <x v="2"/>
    <d v="2018-05-04T00:00:00"/>
    <x v="182"/>
    <n v="844823130"/>
    <s v="Male"/>
    <x v="1"/>
    <s v="Credit card"/>
    <x v="2"/>
    <n v="9.1"/>
    <n v="36.369999999999997"/>
    <n v="3"/>
    <n v="21.97"/>
    <n v="123.02119999999999"/>
    <n v="112.44"/>
    <n v="3.8764546470000001"/>
    <n v="78.27"/>
  </r>
  <r>
    <s v="West"/>
    <x v="2"/>
    <d v="2017-08-19T00:00:00"/>
    <x v="129"/>
    <n v="992624928"/>
    <s v="Female"/>
    <x v="0"/>
    <s v="Cash"/>
    <x v="5"/>
    <n v="8.6999999999999993"/>
    <n v="75.45"/>
    <n v="2"/>
    <n v="99.87"/>
    <n v="154.09030000000001"/>
    <n v="144.08000000000001"/>
    <n v="3.8764546470000001"/>
    <n v="93.97"/>
  </r>
  <r>
    <s v="south"/>
    <x v="1"/>
    <d v="2018-09-08T00:00:00"/>
    <x v="8"/>
    <n v="364393666"/>
    <s v="Female"/>
    <x v="0"/>
    <s v="Ewallet"/>
    <x v="4"/>
    <n v="2.5"/>
    <n v="95.82"/>
    <n v="10"/>
    <n v="89.43"/>
    <n v="115.1062"/>
    <n v="985.2"/>
    <n v="3.8764546470000001"/>
    <n v="42.55"/>
  </r>
  <r>
    <s v="East"/>
    <x v="0"/>
    <d v="2017-06-15T00:00:00"/>
    <x v="58"/>
    <n v="357309898"/>
    <s v="Male"/>
    <x v="0"/>
    <s v="Ewallet"/>
    <x v="4"/>
    <n v="4.9000000000000004"/>
    <n v="41.08"/>
    <n v="6"/>
    <n v="39.380000000000003"/>
    <n v="127.206"/>
    <n v="249.96"/>
    <n v="3.8764546470000001"/>
    <n v="32.049999999999997"/>
  </r>
  <r>
    <s v="East"/>
    <x v="0"/>
    <d v="2017-12-09T00:00:00"/>
    <x v="52"/>
    <n v="407957436"/>
    <s v="Female"/>
    <x v="0"/>
    <s v="Ewallet"/>
    <x v="2"/>
    <n v="9"/>
    <n v="85.34"/>
    <n v="3"/>
    <n v="53.42"/>
    <n v="119.8306"/>
    <n v="217.26"/>
    <n v="3.8764546470000001"/>
    <n v="81.091999999999999"/>
  </r>
  <r>
    <s v="West"/>
    <x v="2"/>
    <d v="2018-06-27T00:00:00"/>
    <x v="80"/>
    <n v="375298946"/>
    <s v="Male"/>
    <x v="1"/>
    <s v="Cash"/>
    <x v="1"/>
    <n v="8"/>
    <n v="35.01"/>
    <n v="9"/>
    <n v="100"/>
    <n v="178.86490000000001"/>
    <n v="194.22"/>
    <n v="3.8764546470000001"/>
    <n v="22.975999999999999"/>
  </r>
  <r>
    <s v="south"/>
    <x v="1"/>
    <d v="2017-04-28T00:00:00"/>
    <x v="60"/>
    <n v="733122427"/>
    <s v="Male"/>
    <x v="1"/>
    <s v="Credit card"/>
    <x v="4"/>
    <n v="9"/>
    <n v="68.319999999999993"/>
    <n v="10"/>
    <n v="68.430000000000007"/>
    <n v="147.87729999999999"/>
    <n v="892"/>
    <n v="3.8764546470000001"/>
    <n v="92.820999999999998"/>
  </r>
  <r>
    <s v="West"/>
    <x v="2"/>
    <d v="2017-12-25T00:00:00"/>
    <x v="91"/>
    <n v="107250566"/>
    <s v="Female"/>
    <x v="1"/>
    <s v="Ewallet"/>
    <x v="1"/>
    <n v="2"/>
    <n v="19.196000000000002"/>
    <n v="8"/>
    <n v="72.849999999999994"/>
    <n v="133.56219999999999"/>
    <n v="339.36"/>
    <n v="3.8764546470000001"/>
    <n v="72.456999999999994"/>
  </r>
  <r>
    <s v="East"/>
    <x v="0"/>
    <d v="2017-09-30T00:00:00"/>
    <x v="108"/>
    <n v="394234873"/>
    <s v="Male"/>
    <x v="0"/>
    <s v="Ewallet"/>
    <x v="1"/>
    <n v="4"/>
    <n v="26.38"/>
    <n v="6"/>
    <n v="75.58"/>
    <n v="114.931"/>
    <n v="447.06"/>
    <n v="3.8764546470000001"/>
    <n v="25.06"/>
  </r>
  <r>
    <s v="West"/>
    <x v="2"/>
    <d v="2018-11-15T00:00:00"/>
    <x v="24"/>
    <n v="519814257"/>
    <s v="Male"/>
    <x v="1"/>
    <s v="Cash"/>
    <x v="5"/>
    <n v="1"/>
    <n v="68.19"/>
    <n v="2"/>
    <n v="85.01"/>
    <n v="120.2705"/>
    <n v="198.5"/>
    <n v="3.8764546470000001"/>
    <n v="93.733999999999995"/>
  </r>
  <r>
    <s v="East"/>
    <x v="0"/>
    <d v="2018-07-27T00:00:00"/>
    <x v="161"/>
    <n v="576763064"/>
    <s v="Female"/>
    <x v="1"/>
    <s v="Credit card"/>
    <x v="4"/>
    <n v="1"/>
    <n v="26.33"/>
    <n v="10"/>
    <n v="57.27"/>
    <n v="129.35130000000001"/>
    <n v="812.1"/>
    <n v="3.8764546470000001"/>
    <n v="89.897999999999996"/>
  </r>
  <r>
    <s v="south"/>
    <x v="1"/>
    <d v="2017-07-18T00:00:00"/>
    <x v="46"/>
    <n v="411637513"/>
    <s v="Female"/>
    <x v="1"/>
    <s v="Credit card"/>
    <x v="3"/>
    <n v="8.6"/>
    <n v="40.47"/>
    <n v="10"/>
    <n v="73.61"/>
    <n v="138.9752"/>
    <n v="493.3"/>
    <n v="3.8764546470000001"/>
    <n v="31.77"/>
  </r>
  <r>
    <s v="East"/>
    <x v="0"/>
    <d v="2018-06-01T00:00:00"/>
    <x v="161"/>
    <n v="619877572"/>
    <s v="Female"/>
    <x v="1"/>
    <s v="Cash"/>
    <x v="5"/>
    <n v="6.2"/>
    <n v="23.391999999999999"/>
    <n v="9"/>
    <n v="79.62"/>
    <n v="140.64439999999999"/>
    <n v="591.66"/>
    <n v="3.8764546470000001"/>
    <n v="22.31"/>
  </r>
  <r>
    <s v="West"/>
    <x v="2"/>
    <d v="2018-12-31T00:00:00"/>
    <x v="118"/>
    <n v="447037518"/>
    <s v="Female"/>
    <x v="1"/>
    <s v="Credit card"/>
    <x v="5"/>
    <n v="1.2"/>
    <n v="56.11"/>
    <n v="7"/>
    <n v="39.869999999999997"/>
    <n v="143.34819999999999"/>
    <n v="559.02"/>
    <n v="3.8764546470000001"/>
    <n v="40.880000000000003"/>
  </r>
  <r>
    <s v="south"/>
    <x v="1"/>
    <d v="2018-08-10T00:00:00"/>
    <x v="186"/>
    <n v="341728416"/>
    <s v="Female"/>
    <x v="1"/>
    <s v="Ewallet"/>
    <x v="3"/>
    <n v="9.1999999999999993"/>
    <n v="39.817999999999998"/>
    <n v="7"/>
    <n v="90.97"/>
    <n v="136.44499999999999"/>
    <n v="517.86"/>
    <n v="3.8764546470000001"/>
    <n v="60.06"/>
  </r>
  <r>
    <s v="West"/>
    <x v="2"/>
    <d v="2018-05-25T00:00:00"/>
    <x v="16"/>
    <n v="379980758"/>
    <s v="Female"/>
    <x v="0"/>
    <s v="Credit card"/>
    <x v="2"/>
    <n v="1.3"/>
    <n v="80.61"/>
    <n v="5"/>
    <n v="52.98"/>
    <n v="154.00960000000001"/>
    <n v="410.2"/>
    <n v="3.8764546470000001"/>
    <n v="45.16"/>
  </r>
  <r>
    <s v="West"/>
    <x v="2"/>
    <d v="2017-08-17T00:00:00"/>
    <x v="93"/>
    <n v="518532565"/>
    <s v="Male"/>
    <x v="0"/>
    <s v="Cash"/>
    <x v="3"/>
    <n v="4.7"/>
    <n v="85.3"/>
    <n v="10"/>
    <n v="16.84"/>
    <n v="121.0536"/>
    <n v="266.7"/>
    <n v="3.8764546470000001"/>
    <n v="78.947999999999993"/>
  </r>
  <r>
    <s v="East"/>
    <x v="0"/>
    <d v="2018-12-19T00:00:00"/>
    <x v="33"/>
    <n v="262299208"/>
    <s v="Male"/>
    <x v="0"/>
    <s v="Ewallet"/>
    <x v="4"/>
    <n v="6"/>
    <n v="42.69"/>
    <n v="7"/>
    <n v="71.72"/>
    <n v="148.5266"/>
    <n v="70.91"/>
    <n v="3.8764546470000001"/>
    <n v="88.424999999999997"/>
  </r>
  <r>
    <s v="West"/>
    <x v="2"/>
    <d v="2018-12-06T00:00:00"/>
    <x v="189"/>
    <n v="524261600"/>
    <s v="Male"/>
    <x v="1"/>
    <s v="Credit card"/>
    <x v="4"/>
    <n v="4"/>
    <n v="30.08"/>
    <n v="2"/>
    <n v="63.05"/>
    <n v="160.76609999999999"/>
    <n v="144.78"/>
    <n v="3.8764546470000001"/>
    <n v="45.116999999999997"/>
  </r>
  <r>
    <s v="East"/>
    <x v="0"/>
    <d v="2018-01-21T00:00:00"/>
    <x v="121"/>
    <n v="30644072"/>
    <s v="Male"/>
    <x v="1"/>
    <s v="Credit card"/>
    <x v="3"/>
    <n v="2"/>
    <n v="85.73"/>
    <n v="5"/>
    <n v="74.209999999999994"/>
    <n v="111.818"/>
    <n v="429.55"/>
    <n v="3.8764546470000001"/>
    <n v="91.591999999999999"/>
  </r>
  <r>
    <s v="West"/>
    <x v="2"/>
    <d v="2017-10-11T00:00:00"/>
    <x v="115"/>
    <n v="513262233"/>
    <s v="Male"/>
    <x v="0"/>
    <s v="Ewallet"/>
    <x v="5"/>
    <n v="6"/>
    <n v="54.82"/>
    <n v="7"/>
    <n v="56.66"/>
    <n v="114.6844"/>
    <n v="569.16999999999996"/>
    <n v="3.8764546470000001"/>
    <n v="83.388999999999996"/>
  </r>
  <r>
    <s v="West"/>
    <x v="2"/>
    <d v="2018-04-02T00:00:00"/>
    <x v="69"/>
    <n v="341896882"/>
    <s v="Male"/>
    <x v="1"/>
    <s v="Cash"/>
    <x v="4"/>
    <n v="8"/>
    <n v="19.690000000000001"/>
    <n v="4"/>
    <n v="54.13"/>
    <n v="116.1444"/>
    <n v="241.2"/>
    <n v="3.8764546470000001"/>
    <n v="58.283000000000001"/>
  </r>
  <r>
    <s v="south"/>
    <x v="1"/>
    <d v="2018-03-01T00:00:00"/>
    <x v="4"/>
    <n v="957730849"/>
    <s v="Male"/>
    <x v="1"/>
    <s v="Ewallet"/>
    <x v="4"/>
    <n v="9"/>
    <n v="13.35"/>
    <n v="4"/>
    <n v="74.599999999999994"/>
    <n v="118.4068"/>
    <n v="127.08"/>
    <n v="3.8764546470000001"/>
    <n v="60.414999999999999"/>
  </r>
  <r>
    <s v="East"/>
    <x v="0"/>
    <d v="2018-10-15T00:00:00"/>
    <x v="169"/>
    <n v="498361674"/>
    <s v="Female"/>
    <x v="1"/>
    <s v="Cash"/>
    <x v="0"/>
    <n v="6"/>
    <n v="62.47"/>
    <n v="4"/>
    <n v="91.35"/>
    <n v="178.81059999999999"/>
    <n v="257.08"/>
    <n v="3.8764546470000001"/>
    <n v="90.152000000000001"/>
  </r>
  <r>
    <s v="West"/>
    <x v="2"/>
    <d v="2018-11-20T00:00:00"/>
    <x v="13"/>
    <n v="161161682"/>
    <s v="Male"/>
    <x v="1"/>
    <s v="Ewallet"/>
    <x v="0"/>
    <n v="4.4000000000000004"/>
    <n v="13.73"/>
    <n v="2"/>
    <n v="48.63"/>
    <n v="152.27979999999999"/>
    <n v="139.02000000000001"/>
    <n v="3.8764546470000001"/>
    <n v="78.730999999999995"/>
  </r>
  <r>
    <s v="south"/>
    <x v="1"/>
    <d v="2017-09-26T00:00:00"/>
    <x v="128"/>
    <n v="921962202"/>
    <s v="Male"/>
    <x v="1"/>
    <s v="Cash"/>
    <x v="4"/>
    <n v="5.7"/>
    <n v="82.156999999999996"/>
    <n v="3"/>
    <n v="61.78"/>
    <n v="149.6523"/>
    <n v="81.66"/>
    <n v="3.8764546470000001"/>
    <n v="36.17"/>
  </r>
  <r>
    <s v="East"/>
    <x v="0"/>
    <d v="2018-01-20T00:00:00"/>
    <x v="93"/>
    <n v="703920687"/>
    <s v="Female"/>
    <x v="0"/>
    <s v="Cash"/>
    <x v="0"/>
    <n v="2.6"/>
    <n v="41.378"/>
    <n v="4"/>
    <n v="96.46"/>
    <n v="136.13999999999999"/>
    <n v="310.72000000000003"/>
    <n v="3.8764546470000001"/>
    <n v="10.02"/>
  </r>
  <r>
    <s v="south"/>
    <x v="1"/>
    <d v="2018-10-16T00:00:00"/>
    <x v="72"/>
    <n v="984655143"/>
    <s v="Female"/>
    <x v="0"/>
    <s v="Credit card"/>
    <x v="5"/>
    <n v="3.2"/>
    <n v="34.537999999999997"/>
    <n v="2"/>
    <n v="68.95"/>
    <n v="139.6892"/>
    <n v="185.96"/>
    <n v="3.8764546470000001"/>
    <n v="60.06"/>
  </r>
  <r>
    <s v="West"/>
    <x v="2"/>
    <d v="2017-09-30T00:00:00"/>
    <x v="133"/>
    <n v="883123726"/>
    <s v="Female"/>
    <x v="0"/>
    <s v="Credit card"/>
    <x v="5"/>
    <n v="1.7"/>
    <n v="72.03"/>
    <n v="4"/>
    <n v="91.44"/>
    <n v="148.0264"/>
    <n v="72.319999999999993"/>
    <n v="3.8764546470000001"/>
    <n v="83.2"/>
  </r>
  <r>
    <s v="West"/>
    <x v="2"/>
    <d v="2017-12-09T00:00:00"/>
    <x v="127"/>
    <n v="171832483"/>
    <s v="Male"/>
    <x v="1"/>
    <s v="Ewallet"/>
    <x v="3"/>
    <n v="8.5"/>
    <n v="83.76"/>
    <n v="3"/>
    <n v="38.299999999999997"/>
    <n v="155.47669999999999"/>
    <n v="189.18"/>
    <n v="3.8764546470000001"/>
    <n v="82.75"/>
  </r>
  <r>
    <s v="East"/>
    <x v="0"/>
    <d v="2017-08-21T00:00:00"/>
    <x v="194"/>
    <n v="615655037"/>
    <s v="Male"/>
    <x v="1"/>
    <s v="Credit card"/>
    <x v="0"/>
    <n v="6"/>
    <n v="84.38"/>
    <n v="4"/>
    <n v="87.25"/>
    <n v="107.94199999999999"/>
    <n v="206.84"/>
    <n v="3.8764546470000001"/>
    <n v="54.96"/>
  </r>
  <r>
    <s v="East"/>
    <x v="0"/>
    <d v="2018-02-17T00:00:00"/>
    <x v="14"/>
    <n v="515602102"/>
    <s v="Female"/>
    <x v="1"/>
    <s v="Cash"/>
    <x v="4"/>
    <n v="2.8"/>
    <n v="29.47"/>
    <n v="3"/>
    <n v="29.5"/>
    <n v="161.44579999999999"/>
    <n v="157.02000000000001"/>
    <n v="3.8764546470000001"/>
    <n v="69.959999999999994"/>
  </r>
  <r>
    <s v="East"/>
    <x v="0"/>
    <d v="2018-05-15T00:00:00"/>
    <x v="145"/>
    <n v="993124454"/>
    <s v="Female"/>
    <x v="1"/>
    <s v="Ewallet"/>
    <x v="3"/>
    <n v="9.9"/>
    <n v="93.46"/>
    <n v="5"/>
    <n v="41.4"/>
    <n v="138.9211"/>
    <n v="215.3"/>
    <n v="3.8764546470000001"/>
    <n v="79.650000000000006"/>
  </r>
  <r>
    <s v="south"/>
    <x v="1"/>
    <d v="2018-03-20T00:00:00"/>
    <x v="128"/>
    <n v="909371511"/>
    <s v="Male"/>
    <x v="1"/>
    <s v="Cash"/>
    <x v="5"/>
    <n v="1.5"/>
    <n v="87.7"/>
    <n v="10"/>
    <n v="31.54"/>
    <n v="175.4847"/>
    <n v="596.1"/>
    <n v="3.8764546470000001"/>
    <n v="50.311"/>
  </r>
  <r>
    <s v="East"/>
    <x v="0"/>
    <d v="2018-11-12T00:00:00"/>
    <x v="87"/>
    <n v="405669812"/>
    <s v="Male"/>
    <x v="1"/>
    <s v="Cash"/>
    <x v="0"/>
    <n v="1.1000000000000001"/>
    <n v="40.92"/>
    <n v="5"/>
    <n v="96.45"/>
    <n v="175.30459999999999"/>
    <n v="73.099999999999994"/>
    <n v="3.8764546470000001"/>
    <n v="94.864999999999995"/>
  </r>
  <r>
    <s v="south"/>
    <x v="1"/>
    <d v="2017-08-17T00:00:00"/>
    <x v="187"/>
    <n v="283771338"/>
    <s v="Male"/>
    <x v="0"/>
    <s v="Credit card"/>
    <x v="0"/>
    <n v="7"/>
    <n v="28.14"/>
    <n v="6"/>
    <n v="75.150000000000006"/>
    <n v="107.7501"/>
    <n v="279.18"/>
    <n v="3.8764546470000001"/>
    <n v="53.381999999999998"/>
  </r>
  <r>
    <s v="south"/>
    <x v="1"/>
    <d v="2018-06-13T00:00:00"/>
    <x v="138"/>
    <n v="726267913"/>
    <s v="Female"/>
    <x v="0"/>
    <s v="Ewallet"/>
    <x v="2"/>
    <n v="2"/>
    <n v="19.23"/>
    <n v="7"/>
    <n v="74.12"/>
    <n v="133.84479999999999"/>
    <n v="169.68"/>
    <n v="3.8764546470000001"/>
    <n v="53.738999999999997"/>
  </r>
  <r>
    <s v="East"/>
    <x v="0"/>
    <d v="2018-02-09T00:00:00"/>
    <x v="64"/>
    <n v="596904449"/>
    <s v="Female"/>
    <x v="0"/>
    <s v="Cash"/>
    <x v="3"/>
    <n v="6"/>
    <n v="43.97"/>
    <n v="1"/>
    <n v="45.25"/>
    <n v="126.75660000000001"/>
    <n v="45.58"/>
    <n v="3.8764546470000001"/>
    <n v="96.638000000000005"/>
  </r>
  <r>
    <s v="East"/>
    <x v="0"/>
    <d v="2017-10-27T00:00:00"/>
    <x v="126"/>
    <n v="330955573"/>
    <s v="Female"/>
    <x v="0"/>
    <s v="Ewallet"/>
    <x v="3"/>
    <n v="5"/>
    <n v="28.96"/>
    <n v="3"/>
    <n v="39.9"/>
    <n v="182.49109999999999"/>
    <n v="225.6"/>
    <n v="3.8764546470000001"/>
    <n v="41.634999999999998"/>
  </r>
  <r>
    <s v="West"/>
    <x v="2"/>
    <d v="2018-02-25T00:00:00"/>
    <x v="156"/>
    <n v="131391251"/>
    <s v="Male"/>
    <x v="0"/>
    <s v="Cash"/>
    <x v="3"/>
    <n v="1"/>
    <n v="94.421999999999997"/>
    <n v="3"/>
    <n v="30.67"/>
    <n v="130.6146"/>
    <n v="290.39999999999998"/>
    <n v="3.8764546470000001"/>
    <n v="82.828999999999994"/>
  </r>
  <r>
    <s v="West"/>
    <x v="2"/>
    <d v="2017-07-06T00:00:00"/>
    <x v="195"/>
    <n v="376477124"/>
    <s v="Male"/>
    <x v="1"/>
    <s v="Credit card"/>
    <x v="0"/>
    <n v="5.9"/>
    <n v="47.31"/>
    <n v="3"/>
    <n v="28"/>
    <n v="104.02"/>
    <n v="44.46"/>
    <n v="3.8764546470000001"/>
    <n v="35.494"/>
  </r>
  <r>
    <s v="East"/>
    <x v="0"/>
    <d v="2017-06-03T00:00:00"/>
    <x v="65"/>
    <n v="791375123"/>
    <s v="Male"/>
    <x v="1"/>
    <s v="Credit card"/>
    <x v="4"/>
    <n v="7.4"/>
    <n v="51.41"/>
    <n v="3"/>
    <n v="83.99"/>
    <n v="110.13379999999999"/>
    <n v="156.6"/>
    <n v="3.8764546470000001"/>
    <n v="55.14"/>
  </r>
  <r>
    <s v="south"/>
    <x v="1"/>
    <d v="2018-04-04T00:00:00"/>
    <x v="160"/>
    <n v="465604431"/>
    <s v="Female"/>
    <x v="1"/>
    <s v="Ewallet"/>
    <x v="3"/>
    <n v="6.3"/>
    <n v="62.81"/>
    <n v="9"/>
    <n v="23.08"/>
    <n v="183.35570000000001"/>
    <n v="419.94"/>
    <n v="3.8764546470000001"/>
    <n v="88.15"/>
  </r>
  <r>
    <s v="south"/>
    <x v="1"/>
    <d v="2018-12-26T00:00:00"/>
    <x v="100"/>
    <n v="945122141"/>
    <s v="Female"/>
    <x v="1"/>
    <s v="Cash"/>
    <x v="5"/>
    <n v="8.4"/>
    <n v="18.46"/>
    <n v="5"/>
    <n v="13.48"/>
    <n v="134.47739999999999"/>
    <n v="184.25"/>
    <n v="3.8764546470000001"/>
    <n v="40.451000000000001"/>
  </r>
  <r>
    <s v="East"/>
    <x v="0"/>
    <d v="2018-06-04T00:00:00"/>
    <x v="12"/>
    <n v="679201236"/>
    <s v="Female"/>
    <x v="0"/>
    <s v="Ewallet"/>
    <x v="2"/>
    <n v="2.9"/>
    <n v="13.9"/>
    <n v="2"/>
    <n v="89.11"/>
    <n v="103.2863"/>
    <n v="140.63999999999999"/>
    <n v="3.8764546470000001"/>
    <n v="56.637"/>
  </r>
  <r>
    <s v="south"/>
    <x v="1"/>
    <d v="2017-07-07T00:00:00"/>
    <x v="167"/>
    <n v="525438992"/>
    <s v="Male"/>
    <x v="1"/>
    <s v="Ewallet"/>
    <x v="1"/>
    <n v="3"/>
    <n v="54.59"/>
    <n v="1"/>
    <n v="65.099999999999994"/>
    <n v="150.66300000000001"/>
    <n v="83.08"/>
    <n v="3.8764546470000001"/>
    <n v="99.68"/>
  </r>
  <r>
    <s v="south"/>
    <x v="1"/>
    <d v="2018-09-24T00:00:00"/>
    <x v="56"/>
    <n v="852185767"/>
    <s v="Female"/>
    <x v="1"/>
    <s v="Credit card"/>
    <x v="5"/>
    <n v="2"/>
    <n v="20.376000000000001"/>
    <n v="1"/>
    <n v="94.37"/>
    <n v="161.66409999999999"/>
    <n v="64.989999999999995"/>
    <n v="3.8764546470000001"/>
    <n v="73.188000000000002"/>
  </r>
  <r>
    <s v="south"/>
    <x v="1"/>
    <d v="2017-03-17T00:00:00"/>
    <x v="83"/>
    <n v="938374011"/>
    <s v="Male"/>
    <x v="1"/>
    <s v="Ewallet"/>
    <x v="4"/>
    <n v="3"/>
    <n v="92.944999999999993"/>
    <n v="10"/>
    <n v="45.65"/>
    <n v="178.9752"/>
    <n v="775.6"/>
    <n v="3.8764546470000001"/>
    <n v="27.335999999999999"/>
  </r>
  <r>
    <s v="West"/>
    <x v="2"/>
    <d v="2017-12-23T00:00:00"/>
    <x v="45"/>
    <n v="297027347"/>
    <s v="Female"/>
    <x v="1"/>
    <s v="Ewallet"/>
    <x v="3"/>
    <n v="7.9"/>
    <n v="53.997"/>
    <n v="6"/>
    <n v="70.73"/>
    <n v="167.4444"/>
    <n v="327.06"/>
    <n v="3.8764546470000001"/>
    <n v="29.867000000000001"/>
  </r>
  <r>
    <s v="south"/>
    <x v="1"/>
    <d v="2017-04-06T00:00:00"/>
    <x v="71"/>
    <n v="71189109"/>
    <s v="Female"/>
    <x v="0"/>
    <s v="Cash"/>
    <x v="5"/>
    <n v="7"/>
    <n v="81.379000000000005"/>
    <n v="7"/>
    <n v="57.7"/>
    <n v="115.80240000000001"/>
    <n v="363.23"/>
    <n v="3.8764546470000001"/>
    <n v="27.231999999999999"/>
  </r>
  <r>
    <s v="West"/>
    <x v="2"/>
    <d v="2018-05-24T00:00:00"/>
    <x v="81"/>
    <n v="472222733"/>
    <s v="Male"/>
    <x v="1"/>
    <s v="Cash"/>
    <x v="2"/>
    <n v="7.1"/>
    <n v="61.404000000000003"/>
    <n v="4"/>
    <n v="29.85"/>
    <n v="151.6858"/>
    <n v="127"/>
    <n v="3.8764546470000001"/>
    <n v="61.423999999999999"/>
  </r>
  <r>
    <s v="East"/>
    <x v="0"/>
    <d v="2018-04-14T00:00:00"/>
    <x v="12"/>
    <n v="940744525"/>
    <s v="Female"/>
    <x v="0"/>
    <s v="Ewallet"/>
    <x v="5"/>
    <n v="7.8"/>
    <n v="50.18"/>
    <n v="7"/>
    <n v="10.89"/>
    <n v="151.53479999999999"/>
    <n v="375.55"/>
    <n v="3.8764546470000001"/>
    <n v="55.35"/>
  </r>
  <r>
    <s v="south"/>
    <x v="1"/>
    <d v="2018-05-31T00:00:00"/>
    <x v="103"/>
    <n v="459925986"/>
    <s v="Female"/>
    <x v="0"/>
    <s v="Credit card"/>
    <x v="4"/>
    <n v="8"/>
    <n v="38.85"/>
    <n v="4"/>
    <n v="59.78"/>
    <n v="130.25069999999999"/>
    <n v="199.16"/>
    <n v="3.8764546470000001"/>
    <n v="65.569999999999993"/>
  </r>
  <r>
    <s v="East"/>
    <x v="0"/>
    <d v="2017-10-05T00:00:00"/>
    <x v="163"/>
    <n v="463838231"/>
    <s v="Male"/>
    <x v="1"/>
    <s v="Ewallet"/>
    <x v="5"/>
    <n v="8"/>
    <n v="87.49"/>
    <n v="1"/>
    <n v="91.8"/>
    <n v="119.45910000000001"/>
    <n v="30.61"/>
    <n v="3.8764546470000001"/>
    <n v="59.58"/>
  </r>
  <r>
    <s v="West"/>
    <x v="2"/>
    <d v="2018-07-30T00:00:00"/>
    <x v="151"/>
    <n v="31973881"/>
    <s v="Male"/>
    <x v="0"/>
    <s v="Ewallet"/>
    <x v="4"/>
    <n v="9"/>
    <n v="10.01"/>
    <n v="2"/>
    <n v="12.7"/>
    <n v="166.26589999999999"/>
    <n v="115.78"/>
    <n v="3.8764546470000001"/>
    <n v="76.53"/>
  </r>
  <r>
    <s v="East"/>
    <x v="0"/>
    <d v="2018-06-16T00:00:00"/>
    <x v="174"/>
    <n v="943930569"/>
    <s v="Female"/>
    <x v="1"/>
    <s v="Credit card"/>
    <x v="1"/>
    <n v="8.3000000000000007"/>
    <n v="88.11"/>
    <n v="1"/>
    <n v="85.45"/>
    <n v="112.4396"/>
    <n v="28.96"/>
    <n v="3.8764546470000001"/>
    <n v="95.298000000000002"/>
  </r>
  <r>
    <s v="south"/>
    <x v="1"/>
    <d v="2017-09-07T00:00:00"/>
    <x v="147"/>
    <n v="191138510"/>
    <s v="Female"/>
    <x v="0"/>
    <s v="Cash"/>
    <x v="4"/>
    <n v="5.5"/>
    <n v="40.700000000000003"/>
    <n v="9"/>
    <n v="10.76"/>
    <n v="125.4205"/>
    <n v="890.73"/>
    <n v="3.8764546470000001"/>
    <n v="40.619999999999997"/>
  </r>
  <r>
    <s v="West"/>
    <x v="2"/>
    <d v="2017-06-28T00:00:00"/>
    <x v="58"/>
    <n v="467871488"/>
    <s v="Male"/>
    <x v="0"/>
    <s v="Cash"/>
    <x v="5"/>
    <n v="1.6"/>
    <n v="73.09"/>
    <n v="3"/>
    <n v="97.06"/>
    <n v="176.73939999999999"/>
    <n v="279.66000000000003"/>
    <n v="3.8764546470000001"/>
    <n v="14.045999999999999"/>
  </r>
  <r>
    <s v="south"/>
    <x v="1"/>
    <d v="2018-06-27T00:00:00"/>
    <x v="99"/>
    <n v="140705737"/>
    <s v="Male"/>
    <x v="0"/>
    <s v="Credit card"/>
    <x v="3"/>
    <n v="4.4000000000000004"/>
    <n v="50.933"/>
    <n v="1"/>
    <n v="37.299999999999997"/>
    <n v="100.53660000000001"/>
    <n v="80.930000000000007"/>
    <n v="3.8764546470000001"/>
    <n v="99.813000000000002"/>
  </r>
  <r>
    <s v="East"/>
    <x v="0"/>
    <d v="2017-06-21T00:00:00"/>
    <x v="57"/>
    <n v="297428309"/>
    <s v="Male"/>
    <x v="0"/>
    <s v="Ewallet"/>
    <x v="4"/>
    <n v="3.1"/>
    <n v="48.972999999999999"/>
    <n v="10"/>
    <n v="45.65"/>
    <n v="171.09010000000001"/>
    <n v="674.5"/>
    <n v="3.8764546470000001"/>
    <n v="18.3"/>
  </r>
  <r>
    <s v="East"/>
    <x v="0"/>
    <d v="2018-07-10T00:00:00"/>
    <x v="99"/>
    <n v="531800302"/>
    <s v="Female"/>
    <x v="0"/>
    <s v="Ewallet"/>
    <x v="3"/>
    <n v="3.9"/>
    <n v="26.103000000000002"/>
    <n v="9"/>
    <n v="85.28"/>
    <n v="171.02269999999999"/>
    <n v="348.48"/>
    <n v="3.8764546470000001"/>
    <n v="25.844999999999999"/>
  </r>
  <r>
    <s v="West"/>
    <x v="2"/>
    <d v="2018-04-02T00:00:00"/>
    <x v="74"/>
    <n v="360208744"/>
    <s v="Male"/>
    <x v="0"/>
    <s v="Cash"/>
    <x v="3"/>
    <n v="2.8"/>
    <n v="56.643000000000001"/>
    <n v="6"/>
    <n v="16.04"/>
    <n v="172.2166"/>
    <n v="435.6"/>
    <n v="3.8764546470000001"/>
    <n v="91.646000000000001"/>
  </r>
  <r>
    <s v="south"/>
    <x v="1"/>
    <d v="2018-02-08T00:00:00"/>
    <x v="120"/>
    <n v="619827630"/>
    <s v="Male"/>
    <x v="0"/>
    <s v="Ewallet"/>
    <x v="1"/>
    <n v="1.7"/>
    <n v="48.75"/>
    <n v="5"/>
    <n v="51.94"/>
    <n v="117.3981"/>
    <n v="439.55"/>
    <n v="3.8764546470000001"/>
    <n v="76.44"/>
  </r>
  <r>
    <s v="East"/>
    <x v="0"/>
    <d v="2018-03-16T00:00:00"/>
    <x v="108"/>
    <n v="614705067"/>
    <s v="Male"/>
    <x v="0"/>
    <s v="Credit card"/>
    <x v="4"/>
    <n v="4"/>
    <n v="88.85"/>
    <n v="6"/>
    <n v="37.049999999999997"/>
    <n v="185.99770000000001"/>
    <n v="591.17999999999995"/>
    <n v="3.8764546470000001"/>
    <n v="65.814999999999998"/>
  </r>
  <r>
    <s v="south"/>
    <x v="1"/>
    <d v="2018-07-22T00:00:00"/>
    <x v="148"/>
    <n v="120242553"/>
    <s v="Female"/>
    <x v="0"/>
    <s v="Ewallet"/>
    <x v="5"/>
    <n v="9"/>
    <n v="90.84"/>
    <n v="6"/>
    <n v="96.68"/>
    <n v="120.5324"/>
    <n v="260.76"/>
    <n v="3.8764546470000001"/>
    <n v="96.941000000000003"/>
  </r>
  <r>
    <s v="East"/>
    <x v="0"/>
    <d v="2017-11-16T00:00:00"/>
    <x v="114"/>
    <n v="524676858"/>
    <s v="Female"/>
    <x v="1"/>
    <s v="Credit card"/>
    <x v="4"/>
    <n v="4"/>
    <n v="42.06"/>
    <n v="3"/>
    <n v="50.05"/>
    <n v="119.82470000000001"/>
    <n v="215.04"/>
    <n v="3.8764546470000001"/>
    <n v="91.67"/>
  </r>
  <r>
    <s v="East"/>
    <x v="0"/>
    <d v="2018-07-14T00:00:00"/>
    <x v="87"/>
    <n v="143617420"/>
    <s v="Female"/>
    <x v="0"/>
    <s v="Cash"/>
    <x v="4"/>
    <n v="9"/>
    <n v="88.18"/>
    <n v="1"/>
    <n v="71.48"/>
    <n v="124.6"/>
    <n v="91.61"/>
    <n v="3.8764546470000001"/>
    <n v="87.879000000000005"/>
  </r>
  <r>
    <s v="West"/>
    <x v="2"/>
    <d v="2017-07-23T00:00:00"/>
    <x v="129"/>
    <n v="800149222"/>
    <s v="Female"/>
    <x v="0"/>
    <s v="Credit card"/>
    <x v="2"/>
    <n v="8"/>
    <n v="57.24"/>
    <n v="7"/>
    <n v="50.55"/>
    <n v="121.10250000000001"/>
    <n v="662.13"/>
    <n v="3.8764546470000001"/>
    <n v="79.62"/>
  </r>
  <r>
    <s v="West"/>
    <x v="2"/>
    <d v="2017-12-01T00:00:00"/>
    <x v="45"/>
    <n v="341510761"/>
    <s v="Female"/>
    <x v="1"/>
    <s v="Credit card"/>
    <x v="5"/>
    <n v="7"/>
    <n v="97.29"/>
    <n v="10"/>
    <n v="27.29"/>
    <n v="101.6935"/>
    <n v="832.5"/>
    <n v="3.8764546470000001"/>
    <n v="22.343"/>
  </r>
  <r>
    <s v="West"/>
    <x v="2"/>
    <d v="2018-10-14T00:00:00"/>
    <x v="150"/>
    <n v="232031384"/>
    <s v="Male"/>
    <x v="0"/>
    <s v="Cash"/>
    <x v="5"/>
    <n v="7.2"/>
    <n v="30.84"/>
    <n v="1"/>
    <n v="35.26"/>
    <n v="131.99340000000001"/>
    <n v="91.35"/>
    <n v="3.8764546470000001"/>
    <n v="89.628"/>
  </r>
  <r>
    <s v="West"/>
    <x v="2"/>
    <d v="2017-08-02T00:00:00"/>
    <x v="65"/>
    <n v="868848592"/>
    <s v="Female"/>
    <x v="0"/>
    <s v="Cash"/>
    <x v="4"/>
    <n v="4.5"/>
    <n v="46.168999999999997"/>
    <n v="2"/>
    <n v="92.08"/>
    <n v="170.83799999999999"/>
    <n v="157.76"/>
    <n v="3.8764546470000001"/>
    <n v="40"/>
  </r>
  <r>
    <s v="East"/>
    <x v="0"/>
    <d v="2018-06-28T00:00:00"/>
    <x v="119"/>
    <n v="26418153"/>
    <s v="Male"/>
    <x v="1"/>
    <s v="Ewallet"/>
    <x v="3"/>
    <n v="4.2"/>
    <n v="23.4"/>
    <n v="2"/>
    <n v="76.510000000000005"/>
    <n v="172.54400000000001"/>
    <n v="121.74"/>
    <n v="3.8764546470000001"/>
    <n v="89.59"/>
  </r>
  <r>
    <s v="West"/>
    <x v="2"/>
    <d v="2018-08-06T00:00:00"/>
    <x v="48"/>
    <n v="306386608"/>
    <s v="Male"/>
    <x v="0"/>
    <s v="Cash"/>
    <x v="0"/>
    <n v="9.8000000000000007"/>
    <n v="39.26"/>
    <n v="10"/>
    <n v="32.57"/>
    <n v="168.91829999999999"/>
    <n v="825.8"/>
    <n v="3.8764546470000001"/>
    <n v="77.22"/>
  </r>
  <r>
    <s v="East"/>
    <x v="0"/>
    <d v="2018-05-12T00:00:00"/>
    <x v="196"/>
    <n v="924721742"/>
    <s v="Male"/>
    <x v="0"/>
    <s v="Ewallet"/>
    <x v="2"/>
    <n v="9.9"/>
    <n v="97.29"/>
    <n v="3"/>
    <n v="90.61"/>
    <n v="154.0095"/>
    <n v="159.9"/>
    <n v="3.8764546470000001"/>
    <n v="59.8"/>
  </r>
  <r>
    <s v="East"/>
    <x v="0"/>
    <d v="2017-12-12T00:00:00"/>
    <x v="161"/>
    <n v="674697642"/>
    <s v="Female"/>
    <x v="1"/>
    <s v="Credit card"/>
    <x v="5"/>
    <n v="5.0999999999999996"/>
    <n v="98.75"/>
    <n v="1"/>
    <n v="51.51"/>
    <n v="173.93719999999999"/>
    <n v="12.09"/>
    <n v="3.8764546470000001"/>
    <n v="22.544"/>
  </r>
  <r>
    <s v="East"/>
    <x v="0"/>
    <d v="2017-10-07T00:00:00"/>
    <x v="149"/>
    <n v="484608459"/>
    <s v="Male"/>
    <x v="1"/>
    <s v="Credit card"/>
    <x v="3"/>
    <n v="9"/>
    <n v="90.847999999999999"/>
    <n v="10"/>
    <n v="75.67"/>
    <n v="178.2422"/>
    <n v="641.9"/>
    <n v="3.8764546470000001"/>
    <n v="52.366"/>
  </r>
  <r>
    <s v="East"/>
    <x v="0"/>
    <d v="2018-06-30T00:00:00"/>
    <x v="43"/>
    <n v="565929433"/>
    <s v="Male"/>
    <x v="1"/>
    <s v="Ewallet"/>
    <x v="1"/>
    <n v="1.5"/>
    <n v="20.81"/>
    <n v="3"/>
    <n v="46.67"/>
    <n v="142.8143"/>
    <n v="234.93"/>
    <n v="3.8764546470000001"/>
    <n v="12.18"/>
  </r>
  <r>
    <s v="East"/>
    <x v="0"/>
    <d v="2017-03-03T00:00:00"/>
    <x v="21"/>
    <n v="710979310"/>
    <s v="Male"/>
    <x v="0"/>
    <s v="Credit card"/>
    <x v="4"/>
    <n v="5"/>
    <n v="65.47"/>
    <n v="2"/>
    <n v="65.400000000000006"/>
    <n v="167.32759999999999"/>
    <n v="167.54"/>
    <n v="3.8764546470000001"/>
    <n v="52.694000000000003"/>
  </r>
  <r>
    <s v="West"/>
    <x v="2"/>
    <d v="2017-07-22T00:00:00"/>
    <x v="19"/>
    <n v="191457017"/>
    <s v="Male"/>
    <x v="1"/>
    <s v="Ewallet"/>
    <x v="2"/>
    <n v="3"/>
    <n v="64.08"/>
    <n v="3"/>
    <n v="47.67"/>
    <n v="132.66730000000001"/>
    <n v="299.10000000000002"/>
    <n v="3.8764546470000001"/>
    <n v="63.156999999999996"/>
  </r>
  <r>
    <s v="West"/>
    <x v="2"/>
    <d v="2017-07-09T00:00:00"/>
    <x v="171"/>
    <n v="662126119"/>
    <s v="Male"/>
    <x v="0"/>
    <s v="Credit card"/>
    <x v="4"/>
    <n v="4"/>
    <n v="73.5"/>
    <n v="3"/>
    <n v="40.72"/>
    <n v="172.56180000000001"/>
    <n v="239.73"/>
    <n v="3.8764546470000001"/>
    <n v="22.463999999999999"/>
  </r>
  <r>
    <s v="West"/>
    <x v="2"/>
    <d v="2018-02-04T00:00:00"/>
    <x v="133"/>
    <n v="785948928"/>
    <s v="Male"/>
    <x v="0"/>
    <s v="Credit card"/>
    <x v="0"/>
    <n v="6"/>
    <n v="87.79"/>
    <n v="10"/>
    <n v="72.11"/>
    <n v="105.5073"/>
    <n v="664.7"/>
    <n v="3.8764546470000001"/>
    <n v="63.78"/>
  </r>
  <r>
    <s v="East"/>
    <x v="0"/>
    <d v="2017-04-13T00:00:00"/>
    <x v="137"/>
    <n v="338883566"/>
    <s v="Male"/>
    <x v="1"/>
    <s v="Credit card"/>
    <x v="0"/>
    <n v="8"/>
    <n v="84.180999999999997"/>
    <n v="7"/>
    <n v="35.869999999999997"/>
    <n v="124.38979999999999"/>
    <n v="202.65"/>
    <n v="3.8764546470000001"/>
    <n v="71.099999999999994"/>
  </r>
  <r>
    <s v="south"/>
    <x v="1"/>
    <d v="2017-06-15T00:00:00"/>
    <x v="108"/>
    <n v="971794730"/>
    <s v="Female"/>
    <x v="1"/>
    <s v="Cash"/>
    <x v="1"/>
    <n v="9"/>
    <n v="25.31"/>
    <n v="1"/>
    <n v="65.680000000000007"/>
    <n v="140.53829999999999"/>
    <n v="46.2"/>
    <n v="3.8764546470000001"/>
    <n v="42.2"/>
  </r>
  <r>
    <s v="West"/>
    <x v="2"/>
    <d v="2018-11-07T00:00:00"/>
    <x v="71"/>
    <n v="921051571"/>
    <s v="Female"/>
    <x v="0"/>
    <s v="Cash"/>
    <x v="4"/>
    <n v="7"/>
    <n v="28.273"/>
    <n v="5"/>
    <n v="44.16"/>
    <n v="154.9941"/>
    <n v="88.15"/>
    <n v="3.8764546470000001"/>
    <n v="71.869"/>
  </r>
  <r>
    <s v="West"/>
    <x v="2"/>
    <d v="2017-08-08T00:00:00"/>
    <x v="146"/>
    <n v="572334049"/>
    <s v="Male"/>
    <x v="1"/>
    <s v="Ewallet"/>
    <x v="5"/>
    <n v="9.8000000000000007"/>
    <n v="67.966999999999999"/>
    <n v="3"/>
    <n v="57.12"/>
    <n v="188.70650000000001"/>
    <n v="157.26"/>
    <n v="3.8764546470000001"/>
    <n v="37.17"/>
  </r>
  <r>
    <s v="West"/>
    <x v="2"/>
    <d v="2018-10-08T00:00:00"/>
    <x v="183"/>
    <n v="388208309"/>
    <s v="Female"/>
    <x v="0"/>
    <s v="Ewallet"/>
    <x v="4"/>
    <n v="1.8"/>
    <n v="23.905000000000001"/>
    <n v="3"/>
    <n v="23.42"/>
    <n v="148.2929"/>
    <n v="296.37"/>
    <n v="3.8764546470000001"/>
    <n v="36.994"/>
  </r>
  <r>
    <s v="south"/>
    <x v="1"/>
    <d v="2018-08-29T00:00:00"/>
    <x v="20"/>
    <n v="714048055"/>
    <s v="Female"/>
    <x v="0"/>
    <s v="Ewallet"/>
    <x v="1"/>
    <n v="9.8000000000000007"/>
    <n v="66.897999999999996"/>
    <n v="8"/>
    <n v="38.97"/>
    <n v="112.9753"/>
    <n v="708.4"/>
    <n v="3.8764546470000001"/>
    <n v="26.04"/>
  </r>
  <r>
    <s v="West"/>
    <x v="2"/>
    <d v="2017-09-23T00:00:00"/>
    <x v="161"/>
    <n v="358544942"/>
    <s v="Male"/>
    <x v="0"/>
    <s v="Ewallet"/>
    <x v="1"/>
    <n v="9.4"/>
    <n v="94.93"/>
    <n v="2"/>
    <n v="64.22"/>
    <n v="157.25450000000001"/>
    <n v="111.34"/>
    <n v="3.8764546470000001"/>
    <n v="92.361000000000004"/>
  </r>
  <r>
    <s v="south"/>
    <x v="1"/>
    <d v="2018-10-03T00:00:00"/>
    <x v="149"/>
    <n v="43037593"/>
    <s v="Female"/>
    <x v="0"/>
    <s v="Credit card"/>
    <x v="4"/>
    <n v="7.1"/>
    <n v="19.66"/>
    <n v="8"/>
    <n v="25.85"/>
    <n v="100.1407"/>
    <n v="580.16"/>
    <n v="3.8764546470000001"/>
    <n v="95.819000000000003"/>
  </r>
  <r>
    <s v="south"/>
    <x v="1"/>
    <d v="2018-06-26T00:00:00"/>
    <x v="197"/>
    <n v="481490177"/>
    <s v="Male"/>
    <x v="0"/>
    <s v="Ewallet"/>
    <x v="1"/>
    <n v="3.4"/>
    <n v="84.37"/>
    <n v="5"/>
    <n v="67.16"/>
    <n v="155.37780000000001"/>
    <n v="60.25"/>
    <n v="3.8764546470000001"/>
    <n v="54.09"/>
  </r>
  <r>
    <s v="East"/>
    <x v="0"/>
    <d v="2018-12-17T00:00:00"/>
    <x v="13"/>
    <n v="391428273"/>
    <s v="Male"/>
    <x v="0"/>
    <s v="Ewallet"/>
    <x v="2"/>
    <n v="7.1"/>
    <n v="24.417000000000002"/>
    <n v="9"/>
    <n v="78.680000000000007"/>
    <n v="127.8419"/>
    <n v="174.24"/>
    <n v="3.8764546470000001"/>
    <n v="91.793999999999997"/>
  </r>
  <r>
    <s v="south"/>
    <x v="1"/>
    <d v="2017-07-13T00:00:00"/>
    <x v="30"/>
    <n v="118327409"/>
    <s v="Male"/>
    <x v="1"/>
    <s v="Cash"/>
    <x v="0"/>
    <n v="1.7"/>
    <n v="22.69"/>
    <n v="6"/>
    <n v="32.57"/>
    <n v="159.536"/>
    <n v="421.26"/>
    <n v="3.8764546470000001"/>
    <n v="49.892000000000003"/>
  </r>
  <r>
    <s v="West"/>
    <x v="2"/>
    <d v="2018-06-11T00:00:00"/>
    <x v="124"/>
    <n v="802947842"/>
    <s v="Male"/>
    <x v="0"/>
    <s v="Cash"/>
    <x v="5"/>
    <n v="4.2"/>
    <n v="65.16"/>
    <n v="1"/>
    <n v="16.32"/>
    <n v="152.4905"/>
    <n v="33.630000000000003"/>
    <n v="3.8764546470000001"/>
    <n v="35.034999999999997"/>
  </r>
  <r>
    <s v="south"/>
    <x v="1"/>
    <d v="2017-07-18T00:00:00"/>
    <x v="93"/>
    <n v="97519006"/>
    <s v="Female"/>
    <x v="0"/>
    <s v="Cash"/>
    <x v="3"/>
    <n v="3"/>
    <n v="91.9"/>
    <n v="2"/>
    <n v="37.619999999999997"/>
    <n v="178.18"/>
    <n v="30.98"/>
    <n v="3.8764546470000001"/>
    <n v="24.751000000000001"/>
  </r>
  <r>
    <s v="south"/>
    <x v="1"/>
    <d v="2018-12-19T00:00:00"/>
    <x v="59"/>
    <n v="68814368"/>
    <s v="Male"/>
    <x v="1"/>
    <s v="Cash"/>
    <x v="1"/>
    <n v="8"/>
    <n v="24.28"/>
    <n v="10"/>
    <n v="92.36"/>
    <n v="122.8023"/>
    <n v="247.4"/>
    <n v="3.8764546470000001"/>
    <n v="21.7"/>
  </r>
  <r>
    <s v="West"/>
    <x v="2"/>
    <d v="2018-01-17T00:00:00"/>
    <x v="67"/>
    <n v="640836336"/>
    <s v="Male"/>
    <x v="1"/>
    <s v="Ewallet"/>
    <x v="1"/>
    <n v="3"/>
    <n v="56.93"/>
    <n v="5"/>
    <n v="17.399999999999999"/>
    <n v="162.59710000000001"/>
    <n v="378.3"/>
    <n v="3.8764546470000001"/>
    <n v="30.12"/>
  </r>
  <r>
    <s v="West"/>
    <x v="2"/>
    <d v="2018-12-18T00:00:00"/>
    <x v="60"/>
    <n v="696581275"/>
    <s v="Female"/>
    <x v="1"/>
    <s v="Cash"/>
    <x v="0"/>
    <n v="5"/>
    <n v="36.659999999999997"/>
    <n v="6"/>
    <n v="10.11"/>
    <n v="186.9615"/>
    <n v="334.86"/>
    <n v="3.8764546470000001"/>
    <n v="95.218999999999994"/>
  </r>
  <r>
    <s v="East"/>
    <x v="0"/>
    <d v="2017-10-21T00:00:00"/>
    <x v="155"/>
    <n v="368284803"/>
    <s v="Male"/>
    <x v="0"/>
    <s v="Cash"/>
    <x v="2"/>
    <n v="9"/>
    <n v="52.357999999999997"/>
    <n v="10"/>
    <n v="46.55"/>
    <n v="184.54849999999999"/>
    <n v="727.8"/>
    <n v="3.8764546470000001"/>
    <n v="45.918999999999997"/>
  </r>
  <r>
    <s v="West"/>
    <x v="2"/>
    <d v="2018-02-05T00:00:00"/>
    <x v="198"/>
    <n v="475137366"/>
    <s v="Male"/>
    <x v="0"/>
    <s v="Ewallet"/>
    <x v="3"/>
    <n v="6.6"/>
    <n v="21.986000000000001"/>
    <n v="9"/>
    <n v="87.52"/>
    <n v="133.24160000000001"/>
    <n v="335.88"/>
    <n v="3.8764546470000001"/>
    <n v="66.641000000000005"/>
  </r>
  <r>
    <s v="West"/>
    <x v="2"/>
    <d v="2017-04-07T00:00:00"/>
    <x v="109"/>
    <n v="152106579"/>
    <s v="Male"/>
    <x v="0"/>
    <s v="Credit card"/>
    <x v="5"/>
    <n v="2.5"/>
    <n v="53.04"/>
    <n v="4"/>
    <n v="78.349999999999994"/>
    <n v="134.20699999999999"/>
    <n v="240.72"/>
    <n v="3.8764546470000001"/>
    <n v="98.85"/>
  </r>
  <r>
    <s v="East"/>
    <x v="0"/>
    <d v="2017-08-13T00:00:00"/>
    <x v="57"/>
    <n v="632935720"/>
    <s v="Female"/>
    <x v="1"/>
    <s v="Credit card"/>
    <x v="1"/>
    <n v="3.9"/>
    <n v="65.819999999999993"/>
    <n v="3"/>
    <n v="48.99"/>
    <n v="110.7878"/>
    <n v="47.07"/>
    <n v="3.8764546470000001"/>
    <n v="70.98"/>
  </r>
  <r>
    <s v="south"/>
    <x v="1"/>
    <d v="2018-08-12T00:00:00"/>
    <x v="186"/>
    <n v="574087517"/>
    <s v="Female"/>
    <x v="1"/>
    <s v="Credit card"/>
    <x v="1"/>
    <n v="4.7"/>
    <n v="46.19"/>
    <n v="1"/>
    <n v="82.11"/>
    <n v="175.7885"/>
    <n v="99.69"/>
    <n v="3.8764546470000001"/>
    <n v="17.059999999999999"/>
  </r>
  <r>
    <s v="East"/>
    <x v="0"/>
    <d v="2018-10-12T00:00:00"/>
    <x v="74"/>
    <n v="450301219"/>
    <s v="Female"/>
    <x v="0"/>
    <s v="Ewallet"/>
    <x v="5"/>
    <n v="3"/>
    <n v="26.56"/>
    <n v="3"/>
    <n v="29.89"/>
    <n v="178.6045"/>
    <n v="264.45"/>
    <n v="3.8764546470000001"/>
    <n v="98.24"/>
  </r>
  <r>
    <s v="East"/>
    <x v="0"/>
    <d v="2018-06-27T00:00:00"/>
    <x v="101"/>
    <n v="530432160"/>
    <s v="Female"/>
    <x v="0"/>
    <s v="Cash"/>
    <x v="3"/>
    <n v="10"/>
    <n v="15.65"/>
    <n v="5"/>
    <n v="86.98"/>
    <n v="108.85250000000001"/>
    <n v="139.65"/>
    <n v="3.8764546470000001"/>
    <n v="34.56"/>
  </r>
  <r>
    <s v="East"/>
    <x v="0"/>
    <d v="2018-11-12T00:00:00"/>
    <x v="1"/>
    <n v="25875828"/>
    <s v="Male"/>
    <x v="0"/>
    <s v="Credit card"/>
    <x v="5"/>
    <n v="5.5"/>
    <n v="23.094000000000001"/>
    <n v="1"/>
    <n v="12.66"/>
    <n v="112.8044"/>
    <n v="55.45"/>
    <n v="3.8764546470000001"/>
    <n v="25.52"/>
  </r>
  <r>
    <s v="West"/>
    <x v="2"/>
    <d v="2018-06-26T00:00:00"/>
    <x v="199"/>
    <n v="972032108"/>
    <s v="Female"/>
    <x v="1"/>
    <s v="Cash"/>
    <x v="3"/>
    <n v="8.4"/>
    <n v="69.739999999999995"/>
    <n v="3"/>
    <n v="51.77"/>
    <n v="176.68430000000001"/>
    <n v="128.91"/>
    <n v="3.8764546470000001"/>
    <n v="23.1"/>
  </r>
  <r>
    <s v="south"/>
    <x v="1"/>
    <d v="2018-12-06T00:00:00"/>
    <x v="74"/>
    <n v="192497632"/>
    <s v="Male"/>
    <x v="0"/>
    <s v="Credit card"/>
    <x v="3"/>
    <n v="9.8000000000000007"/>
    <n v="79.19"/>
    <n v="7"/>
    <n v="48.57"/>
    <n v="105.834"/>
    <n v="119.98"/>
    <n v="3.8764546470000001"/>
    <n v="13.436"/>
  </r>
  <r>
    <s v="West"/>
    <x v="2"/>
    <d v="2018-05-20T00:00:00"/>
    <x v="149"/>
    <n v="846903560"/>
    <s v="Female"/>
    <x v="0"/>
    <s v="Credit card"/>
    <x v="5"/>
    <n v="8.6999999999999993"/>
    <n v="62.44"/>
    <n v="6"/>
    <n v="22.5"/>
    <n v="104.1781"/>
    <n v="352.5"/>
    <n v="3.8764546470000001"/>
    <n v="18.401"/>
  </r>
  <r>
    <s v="south"/>
    <x v="1"/>
    <d v="2018-02-11T00:00:00"/>
    <x v="168"/>
    <n v="588282827"/>
    <s v="Female"/>
    <x v="0"/>
    <s v="Credit card"/>
    <x v="4"/>
    <n v="6.5"/>
    <n v="16.91"/>
    <n v="10"/>
    <n v="10.95"/>
    <n v="188.44829999999999"/>
    <n v="871"/>
    <n v="3.8764546470000001"/>
    <n v="62.277999999999999"/>
  </r>
  <r>
    <s v="south"/>
    <x v="1"/>
    <d v="2018-12-13T00:00:00"/>
    <x v="54"/>
    <n v="715621710"/>
    <s v="Female"/>
    <x v="1"/>
    <s v="Cash"/>
    <x v="3"/>
    <n v="3"/>
    <n v="47.442"/>
    <n v="2"/>
    <n v="67.63"/>
    <n v="110.0992"/>
    <n v="197.6"/>
    <n v="3.8764546470000001"/>
    <n v="41.628"/>
  </r>
  <r>
    <s v="East"/>
    <x v="0"/>
    <d v="2017-10-06T00:00:00"/>
    <x v="67"/>
    <n v="216582288"/>
    <s v="Female"/>
    <x v="1"/>
    <s v="Ewallet"/>
    <x v="5"/>
    <n v="9.9"/>
    <n v="95.394000000000005"/>
    <n v="4"/>
    <n v="55.94"/>
    <n v="157.77449999999999"/>
    <n v="194.52"/>
    <n v="3.8764546470000001"/>
    <n v="82.311000000000007"/>
  </r>
  <r>
    <s v="West"/>
    <x v="2"/>
    <d v="2017-11-02T00:00:00"/>
    <x v="83"/>
    <n v="184475953"/>
    <s v="Male"/>
    <x v="0"/>
    <s v="Ewallet"/>
    <x v="4"/>
    <n v="3.8"/>
    <n v="74.100999999999999"/>
    <n v="3"/>
    <n v="91.97"/>
    <n v="127.3995"/>
    <n v="173.22"/>
    <n v="3.8764546470000001"/>
    <n v="58.7"/>
  </r>
  <r>
    <s v="West"/>
    <x v="2"/>
    <d v="2018-02-03T00:00:00"/>
    <x v="62"/>
    <n v="800768060"/>
    <s v="Female"/>
    <x v="1"/>
    <s v="Ewallet"/>
    <x v="0"/>
    <n v="2.2999999999999998"/>
    <n v="61.113999999999997"/>
    <n v="4"/>
    <n v="63.58"/>
    <n v="174.6267"/>
    <n v="71.88"/>
    <n v="3.8764546470000001"/>
    <n v="32.15"/>
  </r>
  <r>
    <s v="south"/>
    <x v="1"/>
    <d v="2017-09-13T00:00:00"/>
    <x v="135"/>
    <n v="805644212"/>
    <s v="Female"/>
    <x v="0"/>
    <s v="Ewallet"/>
    <x v="0"/>
    <n v="1.2"/>
    <n v="59.51"/>
    <n v="6"/>
    <n v="38.79"/>
    <n v="122.72709999999999"/>
    <n v="286.26"/>
    <n v="3.8764546470000001"/>
    <n v="60.33"/>
  </r>
  <r>
    <s v="West"/>
    <x v="2"/>
    <d v="2018-06-29T00:00:00"/>
    <x v="26"/>
    <n v="952515877"/>
    <s v="Female"/>
    <x v="1"/>
    <s v="Credit card"/>
    <x v="3"/>
    <n v="5"/>
    <n v="72.959999999999994"/>
    <n v="2"/>
    <n v="62.46"/>
    <n v="162.90199999999999"/>
    <n v="81.239999999999995"/>
    <n v="3.8764546470000001"/>
    <n v="30.34"/>
  </r>
  <r>
    <s v="East"/>
    <x v="0"/>
    <d v="2018-12-25T00:00:00"/>
    <x v="200"/>
    <n v="981092019"/>
    <s v="Male"/>
    <x v="0"/>
    <s v="Ewallet"/>
    <x v="5"/>
    <n v="3"/>
    <n v="39.159999999999997"/>
    <n v="10"/>
    <n v="17.46"/>
    <n v="164.33680000000001"/>
    <n v="560.4"/>
    <n v="3.8764546470000001"/>
    <n v="40.659999999999997"/>
  </r>
  <r>
    <s v="West"/>
    <x v="2"/>
    <d v="2018-06-06T00:00:00"/>
    <x v="93"/>
    <n v="528377064"/>
    <s v="Male"/>
    <x v="0"/>
    <s v="Cash"/>
    <x v="4"/>
    <n v="3"/>
    <n v="99.686000000000007"/>
    <n v="2"/>
    <n v="14.74"/>
    <n v="177.4"/>
    <n v="186.8"/>
    <n v="3.8764546470000001"/>
    <n v="99.33"/>
  </r>
  <r>
    <s v="West"/>
    <x v="2"/>
    <d v="2018-02-16T00:00:00"/>
    <x v="107"/>
    <n v="632440192"/>
    <s v="Female"/>
    <x v="1"/>
    <s v="Ewallet"/>
    <x v="0"/>
    <n v="2"/>
    <n v="21.91"/>
    <n v="3"/>
    <n v="51.14"/>
    <n v="115.7"/>
    <n v="220.23"/>
    <n v="3.8764546470000001"/>
    <n v="44.35"/>
  </r>
  <r>
    <s v="south"/>
    <x v="1"/>
    <d v="2018-11-17T00:00:00"/>
    <x v="6"/>
    <n v="574810148"/>
    <s v="Male"/>
    <x v="1"/>
    <s v="Credit card"/>
    <x v="0"/>
    <n v="6"/>
    <n v="35.085000000000001"/>
    <n v="8"/>
    <n v="28.95"/>
    <n v="176"/>
    <n v="269.12"/>
    <n v="3.8764546470000001"/>
    <n v="13.76"/>
  </r>
  <r>
    <s v="East"/>
    <x v="0"/>
    <d v="2018-10-23T00:00:00"/>
    <x v="10"/>
    <n v="706226731"/>
    <s v="Female"/>
    <x v="1"/>
    <s v="Credit card"/>
    <x v="1"/>
    <n v="3.5"/>
    <n v="35.14"/>
    <n v="10"/>
    <n v="40.94"/>
    <n v="174.9"/>
    <n v="454.8"/>
    <n v="3.8764546470000001"/>
    <n v="14.2"/>
  </r>
  <r>
    <s v="West"/>
    <x v="2"/>
    <d v="2017-04-21T00:00:00"/>
    <x v="112"/>
    <n v="932494963"/>
    <s v="Male"/>
    <x v="0"/>
    <s v="Cash"/>
    <x v="5"/>
    <n v="5.5"/>
    <n v="23.602"/>
    <n v="2"/>
    <n v="23.14"/>
    <n v="176.0566"/>
    <n v="167.54"/>
    <n v="3.8764546470000001"/>
    <n v="90.457999999999998"/>
  </r>
  <r>
    <s v="West"/>
    <x v="2"/>
    <d v="2017-08-14T00:00:00"/>
    <x v="200"/>
    <n v="713215111"/>
    <s v="Female"/>
    <x v="0"/>
    <s v="Credit card"/>
    <x v="3"/>
    <n v="4.8"/>
    <n v="68.08"/>
    <n v="7"/>
    <n v="56.71"/>
    <n v="147.3074"/>
    <n v="448.56"/>
    <n v="3.8764546470000001"/>
    <n v="50.274000000000001"/>
  </r>
  <r>
    <s v="East"/>
    <x v="0"/>
    <d v="2018-12-04T00:00:00"/>
    <x v="82"/>
    <n v="271078618"/>
    <s v="Female"/>
    <x v="0"/>
    <s v="Cash"/>
    <x v="4"/>
    <n v="10"/>
    <n v="40.404000000000003"/>
    <n v="4"/>
    <n v="29.27"/>
    <n v="113.1639"/>
    <n v="293.88"/>
    <n v="3.8764546470000001"/>
    <n v="26.952999999999999"/>
  </r>
  <r>
    <s v="south"/>
    <x v="1"/>
    <d v="2017-03-28T00:00:00"/>
    <x v="79"/>
    <n v="965203047"/>
    <s v="Male"/>
    <x v="1"/>
    <s v="Ewallet"/>
    <x v="0"/>
    <n v="5"/>
    <n v="37.270000000000003"/>
    <n v="10"/>
    <n v="46.52"/>
    <n v="110.4372"/>
    <n v="589.5"/>
    <n v="3.8764546470000001"/>
    <n v="30.210999999999999"/>
  </r>
  <r>
    <s v="East"/>
    <x v="0"/>
    <d v="2017-05-16T00:00:00"/>
    <x v="201"/>
    <n v="179664603"/>
    <s v="Male"/>
    <x v="0"/>
    <s v="Ewallet"/>
    <x v="4"/>
    <n v="6"/>
    <n v="92.14"/>
    <n v="6"/>
    <n v="83.3"/>
    <n v="165.28630000000001"/>
    <n v="291"/>
    <n v="3.8764546470000001"/>
    <n v="38.953000000000003"/>
  </r>
  <r>
    <s v="West"/>
    <x v="2"/>
    <d v="2018-09-17T00:00:00"/>
    <x v="155"/>
    <n v="216680242"/>
    <s v="Female"/>
    <x v="0"/>
    <s v="Cash"/>
    <x v="1"/>
    <n v="9"/>
    <n v="12.529"/>
    <n v="1"/>
    <n v="98.72"/>
    <n v="151.79480000000001"/>
    <n v="39.479999999999997"/>
    <n v="3.8764546470000001"/>
    <n v="61.256999999999998"/>
  </r>
  <r>
    <s v="West"/>
    <x v="2"/>
    <d v="2017-10-19T00:00:00"/>
    <x v="38"/>
    <n v="273054302"/>
    <s v="Female"/>
    <x v="1"/>
    <s v="Credit card"/>
    <x v="3"/>
    <n v="4"/>
    <n v="39.014000000000003"/>
    <n v="1"/>
    <n v="77.58"/>
    <n v="158.0265"/>
    <n v="34.81"/>
    <n v="3.8764546470000001"/>
    <n v="84.102999999999994"/>
  </r>
  <r>
    <s v="south"/>
    <x v="1"/>
    <d v="2018-12-09T00:00:00"/>
    <x v="47"/>
    <n v="164733790"/>
    <s v="Female"/>
    <x v="1"/>
    <s v="Ewallet"/>
    <x v="5"/>
    <n v="7.4"/>
    <n v="24.286999999999999"/>
    <n v="6"/>
    <n v="38.42"/>
    <n v="113.2664"/>
    <n v="295.92"/>
    <n v="3.8764546470000001"/>
    <n v="24.006"/>
  </r>
  <r>
    <s v="East"/>
    <x v="0"/>
    <d v="2017-05-11T00:00:00"/>
    <x v="148"/>
    <n v="562146315"/>
    <s v="Male"/>
    <x v="0"/>
    <s v="Ewallet"/>
    <x v="5"/>
    <n v="4.9000000000000004"/>
    <n v="96.53"/>
    <n v="2"/>
    <n v="92.34"/>
    <n v="103.13930000000001"/>
    <n v="42.96"/>
    <n v="3.8764546470000001"/>
    <n v="32.716999999999999"/>
  </r>
  <r>
    <s v="West"/>
    <x v="2"/>
    <d v="2018-01-26T00:00:00"/>
    <x v="118"/>
    <n v="932433050"/>
    <s v="Female"/>
    <x v="0"/>
    <s v="Ewallet"/>
    <x v="3"/>
    <n v="5"/>
    <n v="40.481999999999999"/>
    <n v="6"/>
    <n v="68.72"/>
    <n v="176.17429999999999"/>
    <n v="138.47999999999999"/>
    <n v="3.8764546470000001"/>
    <n v="50.741999999999997"/>
  </r>
  <r>
    <s v="West"/>
    <x v="2"/>
    <d v="2018-06-22T00:00:00"/>
    <x v="80"/>
    <n v="205464763"/>
    <s v="Female"/>
    <x v="0"/>
    <s v="Credit card"/>
    <x v="2"/>
    <n v="4"/>
    <n v="44.5"/>
    <n v="2"/>
    <n v="76.66"/>
    <n v="184.11850000000001"/>
    <n v="98.2"/>
    <n v="3.8764546470000001"/>
    <n v="67.834999999999994"/>
  </r>
  <r>
    <s v="West"/>
    <x v="2"/>
    <d v="2017-05-19T00:00:00"/>
    <x v="88"/>
    <n v="31989157"/>
    <s v="Female"/>
    <x v="0"/>
    <s v="Credit card"/>
    <x v="3"/>
    <n v="1"/>
    <n v="35.119999999999997"/>
    <n v="2"/>
    <n v="29.18"/>
    <n v="153.33240000000001"/>
    <n v="129.66"/>
    <n v="3.8764546470000001"/>
    <n v="23.1"/>
  </r>
  <r>
    <s v="East"/>
    <x v="0"/>
    <d v="2017-06-07T00:00:00"/>
    <x v="6"/>
    <n v="919919593"/>
    <s v="Male"/>
    <x v="0"/>
    <s v="Cash"/>
    <x v="2"/>
    <n v="4"/>
    <n v="65.59"/>
    <n v="10"/>
    <n v="34.56"/>
    <n v="174.38630000000001"/>
    <n v="635.6"/>
    <n v="3.8764546470000001"/>
    <n v="85.15"/>
  </r>
  <r>
    <s v="south"/>
    <x v="1"/>
    <d v="2018-04-18T00:00:00"/>
    <x v="168"/>
    <n v="72005204"/>
    <s v="Male"/>
    <x v="0"/>
    <s v="Cash"/>
    <x v="3"/>
    <n v="4"/>
    <n v="72.42"/>
    <n v="2"/>
    <n v="64.25"/>
    <n v="114.3686"/>
    <n v="145.76"/>
    <n v="3.8764546470000001"/>
    <n v="19.420000000000002"/>
  </r>
  <r>
    <s v="East"/>
    <x v="0"/>
    <d v="2017-10-11T00:00:00"/>
    <x v="186"/>
    <n v="380344434"/>
    <s v="Female"/>
    <x v="1"/>
    <s v="Cash"/>
    <x v="4"/>
    <n v="5.0999999999999996"/>
    <n v="72.010000000000005"/>
    <n v="3"/>
    <n v="89.71"/>
    <n v="181.42519999999999"/>
    <n v="201.3"/>
    <n v="3.8764546470000001"/>
    <n v="48.27"/>
  </r>
  <r>
    <s v="south"/>
    <x v="1"/>
    <d v="2018-12-12T00:00:00"/>
    <x v="3"/>
    <n v="285907327"/>
    <s v="Female"/>
    <x v="0"/>
    <s v="Cash"/>
    <x v="3"/>
    <n v="2"/>
    <n v="42.82"/>
    <n v="9"/>
    <n v="63.01"/>
    <n v="189.9494"/>
    <n v="631.71"/>
    <n v="3.8764546470000001"/>
    <n v="42.85"/>
  </r>
  <r>
    <s v="south"/>
    <x v="1"/>
    <d v="2018-08-05T00:00:00"/>
    <x v="165"/>
    <n v="413014561"/>
    <s v="Male"/>
    <x v="0"/>
    <s v="Ewallet"/>
    <x v="4"/>
    <n v="7.3"/>
    <n v="18.18"/>
    <n v="7"/>
    <n v="98.01"/>
    <n v="164.4"/>
    <n v="385.28"/>
    <n v="3.8764546470000001"/>
    <n v="62.212000000000003"/>
  </r>
  <r>
    <s v="East"/>
    <x v="0"/>
    <d v="2017-11-03T00:00:00"/>
    <x v="189"/>
    <n v="201016925"/>
    <s v="Male"/>
    <x v="0"/>
    <s v="Cash"/>
    <x v="0"/>
    <n v="6.1"/>
    <n v="21.012"/>
    <n v="10"/>
    <n v="35"/>
    <n v="107"/>
    <n v="486.3"/>
    <n v="3.8764546470000001"/>
    <n v="49.238"/>
  </r>
  <r>
    <s v="south"/>
    <x v="1"/>
    <d v="2017-08-31T00:00:00"/>
    <x v="100"/>
    <n v="550631168"/>
    <s v="Female"/>
    <x v="0"/>
    <s v="Cash"/>
    <x v="5"/>
    <n v="3.8"/>
    <n v="85.86"/>
    <n v="7"/>
    <n v="55.21"/>
    <n v="180.7577"/>
    <n v="513.66"/>
    <n v="3.8764546470000001"/>
    <n v="73.06"/>
  </r>
  <r>
    <s v="south"/>
    <x v="1"/>
    <d v="2017-05-10T00:00:00"/>
    <x v="115"/>
    <n v="553666944"/>
    <s v="Female"/>
    <x v="1"/>
    <s v="Cash"/>
    <x v="4"/>
    <n v="2"/>
    <n v="79.709999999999994"/>
    <n v="9"/>
    <n v="49"/>
    <n v="186.61709999999999"/>
    <n v="473.4"/>
    <n v="3.8764546470000001"/>
    <n v="70.72"/>
  </r>
  <r>
    <s v="East"/>
    <x v="0"/>
    <d v="2017-10-17T00:00:00"/>
    <x v="182"/>
    <n v="914851084"/>
    <s v="Female"/>
    <x v="0"/>
    <s v="Cash"/>
    <x v="2"/>
    <n v="2"/>
    <n v="23.71"/>
    <n v="5"/>
    <n v="47.6"/>
    <n v="107.312"/>
    <n v="436.85"/>
    <n v="3.8764546470000001"/>
    <n v="51.83"/>
  </r>
  <r>
    <s v="East"/>
    <x v="0"/>
    <d v="2018-04-02T00:00:00"/>
    <x v="77"/>
    <n v="692327623"/>
    <s v="Female"/>
    <x v="0"/>
    <s v="Ewallet"/>
    <x v="3"/>
    <n v="2"/>
    <n v="78.72"/>
    <n v="4"/>
    <n v="39.619999999999997"/>
    <n v="151.90469999999999"/>
    <n v="108.16"/>
    <n v="3.8764546470000001"/>
    <n v="65.819999999999993"/>
  </r>
  <r>
    <s v="West"/>
    <x v="2"/>
    <d v="2018-06-26T00:00:00"/>
    <x v="62"/>
    <n v="40500310"/>
    <s v="Male"/>
    <x v="1"/>
    <s v="Ewallet"/>
    <x v="2"/>
    <n v="3"/>
    <n v="29.475000000000001"/>
    <n v="4"/>
    <n v="38.25"/>
    <n v="103.149"/>
    <n v="248.76"/>
    <n v="3.8764546470000001"/>
    <n v="36.130000000000003"/>
  </r>
  <r>
    <s v="East"/>
    <x v="0"/>
    <d v="2018-07-27T00:00:00"/>
    <x v="31"/>
    <n v="654083229"/>
    <s v="Male"/>
    <x v="0"/>
    <s v="Credit card"/>
    <x v="1"/>
    <n v="7"/>
    <n v="14.98"/>
    <n v="9"/>
    <n v="11.79"/>
    <n v="186.2372"/>
    <n v="626.22"/>
    <n v="3.8764546470000001"/>
    <n v="29.44"/>
  </r>
  <r>
    <s v="south"/>
    <x v="1"/>
    <d v="2018-12-19T00:00:00"/>
    <x v="121"/>
    <n v="480841873"/>
    <s v="Male"/>
    <x v="1"/>
    <s v="Ewallet"/>
    <x v="2"/>
    <n v="6"/>
    <n v="48.7"/>
    <n v="10"/>
    <n v="52.7"/>
    <n v="109.56100000000001"/>
    <n v="975"/>
    <n v="3.8764546470000001"/>
    <n v="84.3"/>
  </r>
  <r>
    <s v="south"/>
    <x v="1"/>
    <d v="2018-06-11T00:00:00"/>
    <x v="102"/>
    <n v="516314644"/>
    <s v="Female"/>
    <x v="1"/>
    <s v="Ewallet"/>
    <x v="5"/>
    <n v="3"/>
    <n v="31.38"/>
    <n v="8"/>
    <n v="49.99"/>
    <n v="159.49039999999999"/>
    <n v="483.28"/>
    <n v="3.8764546470000001"/>
    <n v="65.16"/>
  </r>
  <r>
    <s v="West"/>
    <x v="2"/>
    <d v="2018-03-02T00:00:00"/>
    <x v="126"/>
    <n v="106098621"/>
    <s v="Male"/>
    <x v="1"/>
    <s v="Credit card"/>
    <x v="4"/>
    <n v="5"/>
    <n v="30.082000000000001"/>
    <n v="3"/>
    <n v="86.04"/>
    <n v="153.54769999999999"/>
    <n v="96.96"/>
    <n v="3.8764546470000001"/>
    <n v="27.16"/>
  </r>
  <r>
    <s v="West"/>
    <x v="2"/>
    <d v="2017-07-17T00:00:00"/>
    <x v="171"/>
    <n v="887678888"/>
    <s v="Female"/>
    <x v="0"/>
    <s v="Credit card"/>
    <x v="5"/>
    <n v="8.6999999999999993"/>
    <n v="22.71"/>
    <n v="10"/>
    <n v="13.64"/>
    <n v="116.6729"/>
    <n v="197.7"/>
    <n v="3.8764546470000001"/>
    <n v="69.319000000000003"/>
  </r>
  <r>
    <s v="West"/>
    <x v="2"/>
    <d v="2018-05-21T00:00:00"/>
    <x v="55"/>
    <n v="106328690"/>
    <s v="Male"/>
    <x v="0"/>
    <s v="Cash"/>
    <x v="0"/>
    <n v="9"/>
    <n v="41.96"/>
    <n v="9"/>
    <n v="21.11"/>
    <n v="134.76849999999999"/>
    <n v="724.23"/>
    <n v="3.8764546470000001"/>
    <n v="83.643000000000001"/>
  </r>
  <r>
    <s v="West"/>
    <x v="2"/>
    <d v="2018-08-30T00:00:00"/>
    <x v="44"/>
    <n v="425387555"/>
    <s v="Female"/>
    <x v="0"/>
    <s v="Cash"/>
    <x v="2"/>
    <n v="4"/>
    <n v="75.38"/>
    <n v="9"/>
    <n v="47.93"/>
    <n v="139.50659999999999"/>
    <n v="795.51"/>
    <n v="3.8764546470000001"/>
    <n v="77.768000000000001"/>
  </r>
  <r>
    <s v="West"/>
    <x v="2"/>
    <d v="2017-06-25T00:00:00"/>
    <x v="51"/>
    <n v="858508200"/>
    <s v="Male"/>
    <x v="1"/>
    <s v="Cash"/>
    <x v="0"/>
    <n v="2.5"/>
    <n v="68.474999999999994"/>
    <n v="7"/>
    <n v="13.97"/>
    <n v="126.063"/>
    <n v="502.39"/>
    <n v="3.8764546470000001"/>
    <n v="31.129000000000001"/>
  </r>
  <r>
    <s v="West"/>
    <x v="2"/>
    <d v="2018-09-24T00:00:00"/>
    <x v="130"/>
    <n v="535481584"/>
    <s v="Female"/>
    <x v="1"/>
    <s v="Ewallet"/>
    <x v="1"/>
    <n v="3.6"/>
    <n v="41.97"/>
    <n v="4"/>
    <n v="15.57"/>
    <n v="148.28129999999999"/>
    <n v="172"/>
    <n v="3.8764546470000001"/>
    <n v="62.83"/>
  </r>
  <r>
    <s v="south"/>
    <x v="1"/>
    <d v="2017-09-21T00:00:00"/>
    <x v="153"/>
    <n v="943277572"/>
    <s v="Male"/>
    <x v="0"/>
    <s v="Cash"/>
    <x v="4"/>
    <n v="3.3"/>
    <n v="38.143000000000001"/>
    <n v="1"/>
    <n v="72.67"/>
    <n v="158.60929999999999"/>
    <n v="68.98"/>
    <n v="3.8764546470000001"/>
    <n v="66.191999999999993"/>
  </r>
  <r>
    <s v="south"/>
    <x v="1"/>
    <d v="2017-09-30T00:00:00"/>
    <x v="165"/>
    <n v="135732371"/>
    <s v="Male"/>
    <x v="1"/>
    <s v="Ewallet"/>
    <x v="5"/>
    <n v="4"/>
    <n v="49.307000000000002"/>
    <n v="8"/>
    <n v="37.83"/>
    <n v="170.9879"/>
    <n v="124.96"/>
    <n v="3.8764546470000001"/>
    <n v="62.76"/>
  </r>
  <r>
    <s v="East"/>
    <x v="0"/>
    <d v="2018-02-20T00:00:00"/>
    <x v="66"/>
    <n v="288915581"/>
    <s v="Male"/>
    <x v="1"/>
    <s v="Ewallet"/>
    <x v="3"/>
    <n v="4"/>
    <n v="42.241"/>
    <n v="3"/>
    <n v="29.41"/>
    <n v="106.7865"/>
    <n v="77.099999999999994"/>
    <n v="3.8764546470000001"/>
    <n v="28.69"/>
  </r>
  <r>
    <s v="East"/>
    <x v="0"/>
    <d v="2018-08-23T00:00:00"/>
    <x v="23"/>
    <n v="65300437"/>
    <s v="Male"/>
    <x v="0"/>
    <s v="Cash"/>
    <x v="4"/>
    <n v="1.4"/>
    <n v="47.948999999999998"/>
    <n v="6"/>
    <n v="58.84"/>
    <n v="128.52279999999999"/>
    <n v="483.72"/>
    <n v="3.8764546470000001"/>
    <n v="48.338000000000001"/>
  </r>
  <r>
    <s v="south"/>
    <x v="1"/>
    <d v="2018-07-23T00:00:00"/>
    <x v="95"/>
    <n v="304039877"/>
    <s v="Female"/>
    <x v="0"/>
    <s v="Ewallet"/>
    <x v="2"/>
    <n v="1.5"/>
    <n v="91.076999999999998"/>
    <n v="4"/>
    <n v="97.83"/>
    <n v="154.73439999999999"/>
    <n v="302.12"/>
    <n v="3.8764546470000001"/>
    <n v="44.243000000000002"/>
  </r>
  <r>
    <s v="south"/>
    <x v="1"/>
    <d v="2018-09-20T00:00:00"/>
    <x v="184"/>
    <n v="680053046"/>
    <s v="Female"/>
    <x v="1"/>
    <s v="Ewallet"/>
    <x v="1"/>
    <n v="6.2"/>
    <n v="26.85"/>
    <n v="9"/>
    <n v="87.98"/>
    <n v="188.3937"/>
    <n v="698.67"/>
    <n v="3.8764546470000001"/>
    <n v="80.412000000000006"/>
  </r>
  <r>
    <s v="south"/>
    <x v="1"/>
    <d v="2018-10-04T00:00:00"/>
    <x v="71"/>
    <n v="592115144"/>
    <s v="Female"/>
    <x v="1"/>
    <s v="Ewallet"/>
    <x v="0"/>
    <n v="9.6"/>
    <n v="12.8"/>
    <n v="9"/>
    <n v="59.16"/>
    <n v="169.8569"/>
    <n v="124.65"/>
    <n v="3.8764546470000001"/>
    <n v="53.802"/>
  </r>
  <r>
    <s v="south"/>
    <x v="1"/>
    <d v="2017-08-03T00:00:00"/>
    <x v="119"/>
    <n v="575650837"/>
    <s v="Male"/>
    <x v="0"/>
    <s v="Ewallet"/>
    <x v="5"/>
    <n v="3.7"/>
    <n v="43.44"/>
    <n v="8"/>
    <n v="96.42"/>
    <n v="120.28660000000001"/>
    <n v="789.6"/>
    <n v="3.8764546470000001"/>
    <n v="92.96"/>
  </r>
  <r>
    <s v="East"/>
    <x v="0"/>
    <d v="2018-03-23T00:00:00"/>
    <x v="159"/>
    <n v="844725193"/>
    <s v="Female"/>
    <x v="1"/>
    <s v="Credit card"/>
    <x v="0"/>
    <n v="9"/>
    <n v="18.989999999999998"/>
    <n v="5"/>
    <n v="15.96"/>
    <n v="114.4468"/>
    <n v="178.4"/>
    <n v="3.8764546470000001"/>
    <n v="89.24"/>
  </r>
  <r>
    <s v="East"/>
    <x v="0"/>
    <d v="2017-06-16T00:00:00"/>
    <x v="2"/>
    <n v="447924412"/>
    <s v="Female"/>
    <x v="0"/>
    <s v="Ewallet"/>
    <x v="5"/>
    <n v="9.1"/>
    <n v="36.75"/>
    <n v="7"/>
    <n v="26.31"/>
    <n v="153.1688"/>
    <n v="500.22"/>
    <n v="3.8764546470000001"/>
    <n v="10.039999999999999"/>
  </r>
  <r>
    <s v="East"/>
    <x v="0"/>
    <d v="2017-11-30T00:00:00"/>
    <x v="129"/>
    <n v="390751478"/>
    <s v="Male"/>
    <x v="0"/>
    <s v="Credit card"/>
    <x v="1"/>
    <n v="6.6"/>
    <n v="93.75"/>
    <n v="3"/>
    <n v="38.119999999999997"/>
    <n v="150.1968"/>
    <n v="35.82"/>
    <n v="3.8764546470000001"/>
    <n v="82.71"/>
  </r>
  <r>
    <s v="East"/>
    <x v="0"/>
    <d v="2018-01-22T00:00:00"/>
    <x v="121"/>
    <n v="272318982"/>
    <s v="Male"/>
    <x v="1"/>
    <s v="Credit card"/>
    <x v="5"/>
    <n v="5.5"/>
    <n v="37.4"/>
    <n v="3"/>
    <n v="17.66"/>
    <n v="120.0934"/>
    <n v="136.13999999999999"/>
    <n v="3.8764546470000001"/>
    <n v="63.19"/>
  </r>
  <r>
    <s v="West"/>
    <x v="2"/>
    <d v="2017-08-26T00:00:00"/>
    <x v="193"/>
    <n v="704470182"/>
    <s v="Female"/>
    <x v="0"/>
    <s v="Credit card"/>
    <x v="5"/>
    <n v="3"/>
    <n v="40.21"/>
    <n v="6"/>
    <n v="47.03"/>
    <n v="144.80000000000001"/>
    <n v="104.88"/>
    <n v="3.8764546470000001"/>
    <n v="63.47"/>
  </r>
  <r>
    <s v="West"/>
    <x v="2"/>
    <d v="2017-12-08T00:00:00"/>
    <x v="25"/>
    <n v="703223256"/>
    <s v="Female"/>
    <x v="1"/>
    <s v="Cash"/>
    <x v="5"/>
    <n v="2"/>
    <n v="23.884"/>
    <n v="7"/>
    <n v="80.19"/>
    <n v="120.4"/>
    <n v="178.92"/>
    <n v="3.8764546470000001"/>
    <n v="40.72"/>
  </r>
  <r>
    <s v="south"/>
    <x v="1"/>
    <d v="2018-05-01T00:00:00"/>
    <x v="137"/>
    <n v="708291521"/>
    <s v="Female"/>
    <x v="0"/>
    <s v="Cash"/>
    <x v="3"/>
    <n v="8"/>
    <n v="73.62"/>
    <n v="9"/>
    <n v="37.08"/>
    <n v="185.7"/>
    <n v="815.67"/>
    <n v="3.8764546470000001"/>
    <n v="46.930999999999997"/>
  </r>
  <r>
    <s v="West"/>
    <x v="2"/>
    <d v="2017-08-29T00:00:00"/>
    <x v="201"/>
    <n v="607428595"/>
    <s v="Male"/>
    <x v="1"/>
    <s v="Credit card"/>
    <x v="2"/>
    <n v="8"/>
    <n v="51.8"/>
    <n v="3"/>
    <n v="91.62"/>
    <n v="118.9"/>
    <n v="132.36000000000001"/>
    <n v="3.8764546470000001"/>
    <n v="56.259"/>
  </r>
  <r>
    <s v="south"/>
    <x v="1"/>
    <d v="2018-02-23T00:00:00"/>
    <x v="86"/>
    <n v="257075376"/>
    <s v="Female"/>
    <x v="0"/>
    <s v="Cash"/>
    <x v="4"/>
    <n v="7.4"/>
    <n v="95.47"/>
    <n v="7"/>
    <n v="69.63"/>
    <n v="152.5"/>
    <n v="257.39"/>
    <n v="3.8764546470000001"/>
    <n v="93.484999999999999"/>
  </r>
  <r>
    <s v="West"/>
    <x v="2"/>
    <d v="2018-06-06T00:00:00"/>
    <x v="24"/>
    <n v="269957620"/>
    <s v="Male"/>
    <x v="0"/>
    <s v="Ewallet"/>
    <x v="4"/>
    <n v="2.9"/>
    <n v="44.2"/>
    <n v="4"/>
    <n v="20.95"/>
    <n v="118.5"/>
    <n v="93.36"/>
    <n v="3.8764546470000001"/>
    <n v="65.174000000000007"/>
  </r>
  <r>
    <s v="south"/>
    <x v="1"/>
    <d v="2017-06-06T00:00:00"/>
    <x v="177"/>
    <n v="385760453"/>
    <s v="Female"/>
    <x v="0"/>
    <s v="Cash"/>
    <x v="0"/>
    <n v="4.4000000000000004"/>
    <n v="11.3"/>
    <n v="8"/>
    <n v="12.25"/>
    <n v="142.40020000000001"/>
    <n v="228"/>
    <n v="3.8764546470000001"/>
    <n v="93.409000000000006"/>
  </r>
  <r>
    <s v="south"/>
    <x v="1"/>
    <d v="2018-06-17T00:00:00"/>
    <x v="85"/>
    <n v="234835104"/>
    <s v="Male"/>
    <x v="0"/>
    <s v="Credit card"/>
    <x v="2"/>
    <n v="8.1"/>
    <n v="88.92"/>
    <n v="3"/>
    <n v="96.53"/>
    <n v="173.9539"/>
    <n v="166.71"/>
    <n v="3.8764546470000001"/>
    <n v="77.8"/>
  </r>
  <r>
    <s v="West"/>
    <x v="2"/>
    <d v="2018-02-12T00:00:00"/>
    <x v="138"/>
    <n v="740769536"/>
    <s v="Male"/>
    <x v="1"/>
    <s v="Credit card"/>
    <x v="3"/>
    <n v="6.6"/>
    <n v="87.27"/>
    <n v="10"/>
    <n v="99.06"/>
    <n v="161.51650000000001"/>
    <n v="697.4"/>
    <n v="3.8764546470000001"/>
    <n v="25.710999999999999"/>
  </r>
  <r>
    <s v="south"/>
    <x v="1"/>
    <d v="2018-08-15T00:00:00"/>
    <x v="193"/>
    <n v="860067957"/>
    <s v="Male"/>
    <x v="1"/>
    <s v="Ewallet"/>
    <x v="5"/>
    <n v="9.1"/>
    <n v="64.180000000000007"/>
    <n v="4"/>
    <n v="68.540000000000006"/>
    <n v="120.1776"/>
    <n v="389.04"/>
    <n v="3.8764546470000001"/>
    <n v="63.634"/>
  </r>
  <r>
    <s v="West"/>
    <x v="2"/>
    <d v="2017-10-19T00:00:00"/>
    <x v="195"/>
    <n v="37714913"/>
    <s v="Female"/>
    <x v="0"/>
    <s v="Cash"/>
    <x v="2"/>
    <n v="4.0999999999999996"/>
    <n v="73.837999999999994"/>
    <n v="7"/>
    <n v="82.14"/>
    <n v="189.45840000000001"/>
    <n v="365.26"/>
    <n v="3.8764546470000001"/>
    <n v="98.292000000000002"/>
  </r>
  <r>
    <s v="East"/>
    <x v="0"/>
    <d v="2017-08-13T00:00:00"/>
    <x v="107"/>
    <n v="35724175"/>
    <s v="Female"/>
    <x v="0"/>
    <s v="Credit card"/>
    <x v="5"/>
    <n v="5.9"/>
    <n v="66.14"/>
    <n v="4"/>
    <n v="40.64"/>
    <n v="100.4727"/>
    <n v="89.28"/>
    <n v="3.8764546470000001"/>
    <n v="28.4"/>
  </r>
  <r>
    <s v="East"/>
    <x v="0"/>
    <d v="2017-11-28T00:00:00"/>
    <x v="99"/>
    <n v="846037387"/>
    <s v="Male"/>
    <x v="1"/>
    <s v="Ewallet"/>
    <x v="0"/>
    <n v="6.6"/>
    <n v="57.7"/>
    <n v="3"/>
    <n v="30.59"/>
    <n v="111.94159999999999"/>
    <n v="168"/>
    <n v="3.8764546470000001"/>
    <n v="89.867000000000004"/>
  </r>
  <r>
    <s v="East"/>
    <x v="0"/>
    <d v="2018-01-05T00:00:00"/>
    <x v="172"/>
    <n v="765295831"/>
    <s v="Male"/>
    <x v="0"/>
    <s v="Ewallet"/>
    <x v="5"/>
    <n v="2.2999999999999998"/>
    <n v="17.850000000000001"/>
    <n v="1"/>
    <n v="22.83"/>
    <n v="150.423"/>
    <n v="19.7"/>
    <n v="3.8764546470000001"/>
    <n v="88.185000000000002"/>
  </r>
  <r>
    <s v="West"/>
    <x v="2"/>
    <d v="2018-02-20T00:00:00"/>
    <x v="149"/>
    <n v="375175285"/>
    <s v="Male"/>
    <x v="1"/>
    <s v="Ewallet"/>
    <x v="1"/>
    <n v="7"/>
    <n v="51.49"/>
    <n v="7"/>
    <n v="87.49"/>
    <n v="114.23350000000001"/>
    <n v="531.16"/>
    <n v="3.8764546470000001"/>
    <n v="54.17"/>
  </r>
  <r>
    <s v="West"/>
    <x v="2"/>
    <d v="2018-05-28T00:00:00"/>
    <x v="99"/>
    <n v="751458175"/>
    <s v="Male"/>
    <x v="0"/>
    <s v="Ewallet"/>
    <x v="4"/>
    <n v="9"/>
    <n v="76.930000000000007"/>
    <n v="1"/>
    <n v="51.21"/>
    <n v="184.62799999999999"/>
    <n v="53.72"/>
    <n v="3.8764546470000001"/>
    <n v="99.522999999999996"/>
  </r>
  <r>
    <s v="south"/>
    <x v="1"/>
    <d v="2018-09-29T00:00:00"/>
    <x v="33"/>
    <n v="426871751"/>
    <s v="Male"/>
    <x v="0"/>
    <s v="Credit card"/>
    <x v="0"/>
    <n v="7"/>
    <n v="73.745999999999995"/>
    <n v="10"/>
    <n v="98.76"/>
    <n v="169.28469999999999"/>
    <n v="819.5"/>
    <n v="3.8764546470000001"/>
    <n v="11.068"/>
  </r>
  <r>
    <s v="south"/>
    <x v="1"/>
    <d v="2018-05-27T00:00:00"/>
    <x v="44"/>
    <n v="116252713"/>
    <s v="Female"/>
    <x v="0"/>
    <s v="Credit card"/>
    <x v="2"/>
    <n v="4"/>
    <n v="67.319999999999993"/>
    <n v="7"/>
    <n v="80.2"/>
    <n v="165.9"/>
    <n v="568.4"/>
    <n v="3.8764546470000001"/>
    <n v="94.277000000000001"/>
  </r>
  <r>
    <s v="south"/>
    <x v="1"/>
    <d v="2018-07-02T00:00:00"/>
    <x v="202"/>
    <n v="506422122"/>
    <s v="Male"/>
    <x v="1"/>
    <s v="Ewallet"/>
    <x v="1"/>
    <n v="5"/>
    <n v="96.43"/>
    <n v="10"/>
    <n v="83.99"/>
    <n v="173.1473"/>
    <n v="587.6"/>
    <n v="3.8764546470000001"/>
    <n v="99.397999999999996"/>
  </r>
  <r>
    <s v="West"/>
    <x v="2"/>
    <d v="2017-10-25T00:00:00"/>
    <x v="116"/>
    <n v="788344675"/>
    <s v="Male"/>
    <x v="0"/>
    <s v="Ewallet"/>
    <x v="1"/>
    <n v="9"/>
    <n v="18.940000000000001"/>
    <n v="8"/>
    <n v="51.91"/>
    <n v="162.857"/>
    <n v="732.48"/>
    <n v="3.8764546470000001"/>
    <n v="69.234999999999999"/>
  </r>
  <r>
    <s v="East"/>
    <x v="0"/>
    <d v="2017-03-31T00:00:00"/>
    <x v="115"/>
    <n v="855817747"/>
    <s v="Male"/>
    <x v="1"/>
    <s v="Cash"/>
    <x v="2"/>
    <n v="5"/>
    <n v="49.4"/>
    <n v="9"/>
    <n v="96.68"/>
    <n v="120.7032"/>
    <n v="845.64"/>
    <n v="3.8764546470000001"/>
    <n v="35.237000000000002"/>
  </r>
  <r>
    <s v="south"/>
    <x v="1"/>
    <d v="2018-04-09T00:00:00"/>
    <x v="196"/>
    <n v="210413882"/>
    <s v="Male"/>
    <x v="1"/>
    <s v="Cash"/>
    <x v="2"/>
    <n v="4"/>
    <n v="57.82"/>
    <n v="7"/>
    <n v="74.14"/>
    <n v="160.5"/>
    <n v="389.27"/>
    <n v="3.8764546470000001"/>
    <n v="53.39"/>
  </r>
  <r>
    <s v="south"/>
    <x v="1"/>
    <d v="2017-09-05T00:00:00"/>
    <x v="6"/>
    <n v="839945501"/>
    <s v="Male"/>
    <x v="1"/>
    <s v="Ewallet"/>
    <x v="4"/>
    <n v="1.2"/>
    <n v="11.81"/>
    <n v="1"/>
    <n v="59.46"/>
    <n v="166.6396"/>
    <n v="84.83"/>
    <n v="3.8764546470000001"/>
    <n v="81.5"/>
  </r>
  <r>
    <s v="East"/>
    <x v="0"/>
    <d v="2018-05-29T00:00:00"/>
    <x v="159"/>
    <n v="743510446"/>
    <s v="Female"/>
    <x v="0"/>
    <s v="Ewallet"/>
    <x v="3"/>
    <n v="4.5"/>
    <n v="98.8"/>
    <n v="2"/>
    <n v="31.94"/>
    <n v="124.25839999999999"/>
    <n v="143.26"/>
    <n v="3.8764546470000001"/>
    <n v="56.77"/>
  </r>
  <r>
    <s v="East"/>
    <x v="0"/>
    <d v="2017-03-23T00:00:00"/>
    <x v="24"/>
    <n v="660309438"/>
    <s v="Male"/>
    <x v="0"/>
    <s v="Ewallet"/>
    <x v="2"/>
    <n v="3"/>
    <n v="25.946999999999999"/>
    <n v="2"/>
    <n v="84.76"/>
    <n v="168.37739999999999"/>
    <n v="75.38"/>
    <n v="3.8764546470000001"/>
    <n v="89.27"/>
  </r>
  <r>
    <s v="south"/>
    <x v="1"/>
    <d v="2018-05-14T00:00:00"/>
    <x v="138"/>
    <n v="818506179"/>
    <s v="Female"/>
    <x v="0"/>
    <s v="Credit card"/>
    <x v="3"/>
    <n v="1.3"/>
    <n v="95.68"/>
    <n v="8"/>
    <n v="56.47"/>
    <n v="138.49690000000001"/>
    <n v="253.36"/>
    <n v="3.8764546470000001"/>
    <n v="65.450999999999993"/>
  </r>
  <r>
    <s v="south"/>
    <x v="1"/>
    <d v="2018-05-05T00:00:00"/>
    <x v="109"/>
    <n v="635745619"/>
    <s v="Female"/>
    <x v="0"/>
    <s v="Cash"/>
    <x v="4"/>
    <n v="9.9"/>
    <n v="77.39"/>
    <n v="1"/>
    <n v="69.84"/>
    <n v="118.6514"/>
    <n v="38.42"/>
    <n v="3.8764546470000001"/>
    <n v="26.132999999999999"/>
  </r>
  <r>
    <s v="West"/>
    <x v="2"/>
    <d v="2017-12-31T00:00:00"/>
    <x v="127"/>
    <n v="53499284"/>
    <s v="Male"/>
    <x v="0"/>
    <s v="Credit card"/>
    <x v="5"/>
    <n v="1.4"/>
    <n v="32.576000000000001"/>
    <n v="10"/>
    <n v="85.75"/>
    <n v="140.31110000000001"/>
    <n v="652.29999999999995"/>
    <n v="3.8764546470000001"/>
    <n v="92.206999999999994"/>
  </r>
  <r>
    <s v="south"/>
    <x v="1"/>
    <d v="2018-12-31T00:00:00"/>
    <x v="144"/>
    <n v="54593752"/>
    <s v="Female"/>
    <x v="0"/>
    <s v="Credit card"/>
    <x v="2"/>
    <n v="5.8"/>
    <n v="10.6"/>
    <n v="5"/>
    <n v="22.69"/>
    <n v="122.4119"/>
    <n v="52.65"/>
    <n v="3.8764546470000001"/>
    <n v="47.018000000000001"/>
  </r>
  <r>
    <s v="West"/>
    <x v="2"/>
    <d v="2017-05-31T00:00:00"/>
    <x v="33"/>
    <n v="684175493"/>
    <s v="Female"/>
    <x v="0"/>
    <s v="Credit card"/>
    <x v="2"/>
    <n v="9.1"/>
    <n v="87.2"/>
    <n v="9"/>
    <n v="44.33"/>
    <n v="119.4606"/>
    <n v="110.61"/>
    <n v="3.8764546470000001"/>
    <n v="39.56"/>
  </r>
  <r>
    <s v="south"/>
    <x v="1"/>
    <d v="2017-10-06T00:00:00"/>
    <x v="104"/>
    <n v="338661181"/>
    <s v="Male"/>
    <x v="0"/>
    <s v="Cash"/>
    <x v="0"/>
    <n v="7.3"/>
    <n v="17.93"/>
    <n v="7"/>
    <n v="44.59"/>
    <n v="139.88720000000001"/>
    <n v="568.61"/>
    <n v="3.8764546470000001"/>
    <n v="90.296999999999997"/>
  </r>
  <r>
    <s v="West"/>
    <x v="2"/>
    <d v="2018-10-19T00:00:00"/>
    <x v="121"/>
    <n v="835098256"/>
    <s v="Female"/>
    <x v="0"/>
    <s v="Ewallet"/>
    <x v="5"/>
    <n v="2.4"/>
    <n v="99.66"/>
    <n v="4"/>
    <n v="96.9"/>
    <n v="135.7396"/>
    <n v="89.28"/>
    <n v="3.8764546470000001"/>
    <n v="71.239999999999995"/>
  </r>
  <r>
    <s v="East"/>
    <x v="0"/>
    <d v="2018-01-04T00:00:00"/>
    <x v="149"/>
    <n v="350984951"/>
    <s v="Female"/>
    <x v="1"/>
    <s v="Credit card"/>
    <x v="4"/>
    <n v="6.5"/>
    <n v="96.53"/>
    <n v="5"/>
    <n v="17.559999999999999"/>
    <n v="163.36510000000001"/>
    <n v="136.4"/>
    <n v="3.8764546470000001"/>
    <n v="36.222999999999999"/>
  </r>
  <r>
    <s v="East"/>
    <x v="0"/>
    <d v="2018-02-09T00:00:00"/>
    <x v="130"/>
    <n v="260950552"/>
    <s v="Female"/>
    <x v="0"/>
    <s v="Ewallet"/>
    <x v="1"/>
    <n v="2.6"/>
    <n v="46.904000000000003"/>
    <n v="10"/>
    <n v="27.48"/>
    <n v="167.56710000000001"/>
    <n v="174.2"/>
    <n v="3.8764546470000001"/>
    <n v="53.192"/>
  </r>
  <r>
    <s v="West"/>
    <x v="2"/>
    <d v="2017-12-12T00:00:00"/>
    <x v="155"/>
    <n v="605829198"/>
    <s v="Male"/>
    <x v="1"/>
    <s v="Ewallet"/>
    <x v="2"/>
    <n v="4.9000000000000004"/>
    <n v="30.4"/>
    <n v="5"/>
    <n v="23.99"/>
    <n v="106.3506"/>
    <n v="366.4"/>
    <n v="3.8764546470000001"/>
    <n v="42.21"/>
  </r>
  <r>
    <s v="south"/>
    <x v="1"/>
    <d v="2017-12-22T00:00:00"/>
    <x v="29"/>
    <n v="106037177"/>
    <s v="Female"/>
    <x v="0"/>
    <s v="Ewallet"/>
    <x v="5"/>
    <n v="1.4"/>
    <n v="39.32"/>
    <n v="3"/>
    <n v="87.43"/>
    <n v="139.899"/>
    <n v="254.61"/>
    <n v="3.8764546470000001"/>
    <n v="90.358999999999995"/>
  </r>
  <r>
    <s v="East"/>
    <x v="0"/>
    <d v="2017-11-07T00:00:00"/>
    <x v="81"/>
    <n v="37633743"/>
    <s v="Female"/>
    <x v="1"/>
    <s v="Credit card"/>
    <x v="5"/>
    <n v="5.0999999999999996"/>
    <n v="96.897999999999996"/>
    <n v="8"/>
    <n v="26.74"/>
    <n v="140.4"/>
    <n v="778.32"/>
    <n v="3.8764546470000001"/>
    <n v="36.893000000000001"/>
  </r>
  <r>
    <s v="West"/>
    <x v="2"/>
    <d v="2018-03-22T00:00:00"/>
    <x v="95"/>
    <n v="855859444"/>
    <s v="Female"/>
    <x v="0"/>
    <s v="Ewallet"/>
    <x v="1"/>
    <n v="10"/>
    <n v="14.86"/>
    <n v="8"/>
    <n v="47.56"/>
    <n v="149.30000000000001"/>
    <n v="285.92"/>
    <n v="3.8764546470000001"/>
    <n v="14.343"/>
  </r>
  <r>
    <s v="East"/>
    <x v="0"/>
    <d v="2017-09-07T00:00:00"/>
    <x v="0"/>
    <n v="174648786"/>
    <s v="Female"/>
    <x v="1"/>
    <s v="Cash"/>
    <x v="2"/>
    <n v="7"/>
    <n v="23.84"/>
    <n v="6"/>
    <n v="39.15"/>
    <n v="128.19999999999999"/>
    <n v="579.12"/>
    <n v="3.8764546470000001"/>
    <n v="54.267000000000003"/>
  </r>
  <r>
    <s v="East"/>
    <x v="0"/>
    <d v="2017-10-15T00:00:00"/>
    <x v="147"/>
    <n v="888942025"/>
    <s v="Male"/>
    <x v="0"/>
    <s v="Ewallet"/>
    <x v="4"/>
    <n v="6"/>
    <n v="17.193000000000001"/>
    <n v="10"/>
    <n v="13.78"/>
    <n v="113.7"/>
    <n v="188.5"/>
    <n v="3.8764546470000001"/>
    <n v="83.492999999999995"/>
  </r>
  <r>
    <s v="East"/>
    <x v="0"/>
    <d v="2017-11-13T00:00:00"/>
    <x v="79"/>
    <n v="930824564"/>
    <s v="Female"/>
    <x v="1"/>
    <s v="Ewallet"/>
    <x v="4"/>
    <n v="5"/>
    <n v="15.83"/>
    <n v="4"/>
    <n v="91.72"/>
    <n v="124.5"/>
    <n v="221.56"/>
    <n v="3.8764546470000001"/>
    <n v="85.07"/>
  </r>
  <r>
    <s v="West"/>
    <x v="2"/>
    <d v="2017-07-30T00:00:00"/>
    <x v="9"/>
    <n v="845105993"/>
    <s v="Female"/>
    <x v="0"/>
    <s v="Credit card"/>
    <x v="4"/>
    <n v="9"/>
    <n v="50.88"/>
    <n v="10"/>
    <n v="59.83"/>
    <n v="158.1"/>
    <n v="772"/>
    <n v="3.8764546470000001"/>
    <n v="55.36"/>
  </r>
  <r>
    <s v="West"/>
    <x v="2"/>
    <d v="2017-06-16T00:00:00"/>
    <x v="185"/>
    <n v="307610128"/>
    <s v="Male"/>
    <x v="1"/>
    <s v="Credit card"/>
    <x v="1"/>
    <n v="6"/>
    <n v="20.12"/>
    <n v="10"/>
    <n v="84.98"/>
    <n v="163.6"/>
    <n v="721.3"/>
    <n v="3.8764546470000001"/>
    <n v="93.52"/>
  </r>
  <r>
    <s v="East"/>
    <x v="0"/>
    <d v="2018-04-30T00:00:00"/>
    <x v="30"/>
    <n v="274056390"/>
    <s v="Female"/>
    <x v="0"/>
    <s v="Ewallet"/>
    <x v="5"/>
    <n v="1.7"/>
    <n v="18.835999999999999"/>
    <n v="8"/>
    <n v="61.82"/>
    <n v="153.1"/>
    <n v="511.04"/>
    <n v="3.8764546470000001"/>
    <n v="38.97"/>
  </r>
  <r>
    <s v="East"/>
    <x v="0"/>
    <d v="2018-10-27T00:00:00"/>
    <x v="154"/>
    <n v="235506112"/>
    <s v="Female"/>
    <x v="0"/>
    <s v="Ewallet"/>
    <x v="0"/>
    <n v="9.1"/>
    <n v="93.78"/>
    <n v="5"/>
    <n v="57.62"/>
    <n v="120.3"/>
    <n v="53.45"/>
    <n v="3.8764546470000001"/>
    <n v="84.07"/>
  </r>
  <r>
    <s v="East"/>
    <x v="0"/>
    <d v="2017-10-10T00:00:00"/>
    <x v="150"/>
    <n v="168326176"/>
    <s v="Male"/>
    <x v="0"/>
    <s v="Credit card"/>
    <x v="0"/>
    <n v="4.0999999999999996"/>
    <n v="34.82"/>
    <n v="4"/>
    <n v="15.57"/>
    <n v="139"/>
    <n v="222"/>
    <n v="3.8764546470000001"/>
    <n v="38.527999999999999"/>
  </r>
  <r>
    <s v="West"/>
    <x v="2"/>
    <d v="2018-09-11T00:00:00"/>
    <x v="202"/>
    <n v="684054347"/>
    <s v="Female"/>
    <x v="1"/>
    <s v="Ewallet"/>
    <x v="2"/>
    <n v="2.6"/>
    <n v="97.016000000000005"/>
    <n v="8"/>
    <n v="68.37"/>
    <n v="125.3"/>
    <n v="763.68"/>
    <n v="3.8764546470000001"/>
    <n v="66.061999999999998"/>
  </r>
  <r>
    <s v="south"/>
    <x v="1"/>
    <d v="2018-05-26T00:00:00"/>
    <x v="162"/>
    <n v="763163666"/>
    <s v="Female"/>
    <x v="1"/>
    <s v="Credit card"/>
    <x v="5"/>
    <n v="5"/>
    <n v="56.087000000000003"/>
    <n v="3"/>
    <n v="39.86"/>
    <n v="146.80000000000001"/>
    <n v="228.18"/>
    <n v="3.8764546470000001"/>
    <n v="60.600999999999999"/>
  </r>
  <r>
    <s v="West"/>
    <x v="2"/>
    <d v="2018-06-04T00:00:00"/>
    <x v="60"/>
    <n v="725744914"/>
    <s v="Male"/>
    <x v="1"/>
    <s v="Cash"/>
    <x v="3"/>
    <n v="6"/>
    <n v="10.66"/>
    <n v="6"/>
    <n v="12.11"/>
    <n v="104.8"/>
    <n v="82.14"/>
    <n v="3.8764546470000001"/>
    <n v="17.616"/>
  </r>
  <r>
    <s v="West"/>
    <x v="2"/>
    <d v="2018-12-31T00:00:00"/>
    <x v="10"/>
    <n v="456576209"/>
    <s v="Female"/>
    <x v="1"/>
    <s v="Cash"/>
    <x v="1"/>
    <n v="2.1"/>
    <n v="63.3"/>
    <n v="4"/>
    <n v="90.09"/>
    <n v="168.55959999999999"/>
    <n v="382.56"/>
    <n v="3.8764546470000001"/>
    <n v="76.111000000000004"/>
  </r>
  <r>
    <s v="East"/>
    <x v="0"/>
    <d v="2017-08-14T00:00:00"/>
    <x v="2"/>
    <n v="421024924"/>
    <s v="Female"/>
    <x v="1"/>
    <s v="Cash"/>
    <x v="2"/>
    <n v="5.3"/>
    <n v="76.302000000000007"/>
    <n v="6"/>
    <n v="32.99"/>
    <n v="109.80159999999999"/>
    <n v="68.58"/>
    <n v="3.8764546470000001"/>
    <n v="28.63"/>
  </r>
  <r>
    <s v="West"/>
    <x v="2"/>
    <d v="2017-11-12T00:00:00"/>
    <x v="164"/>
    <n v="195377609"/>
    <s v="Female"/>
    <x v="0"/>
    <s v="Ewallet"/>
    <x v="3"/>
    <n v="8"/>
    <n v="29.47"/>
    <n v="4"/>
    <n v="64.849999999999994"/>
    <n v="150.2004"/>
    <n v="382.16"/>
    <n v="3.8764546470000001"/>
    <n v="18.09"/>
  </r>
  <r>
    <s v="south"/>
    <x v="1"/>
    <d v="2018-04-07T00:00:00"/>
    <x v="92"/>
    <n v="497072768"/>
    <s v="Female"/>
    <x v="0"/>
    <s v="Credit card"/>
    <x v="0"/>
    <n v="4.5"/>
    <n v="49.366"/>
    <n v="7"/>
    <n v="60.38"/>
    <n v="134.19839999999999"/>
    <n v="601.09"/>
    <n v="3.8764546470000001"/>
    <n v="35.258000000000003"/>
  </r>
  <r>
    <s v="south"/>
    <x v="1"/>
    <d v="2018-10-16T00:00:00"/>
    <x v="163"/>
    <n v="312484337"/>
    <s v="Female"/>
    <x v="0"/>
    <s v="Ewallet"/>
    <x v="3"/>
    <n v="4.2"/>
    <n v="97.98"/>
    <n v="7"/>
    <n v="89.48"/>
    <n v="127.1742"/>
    <n v="475.93"/>
    <n v="3.8764546470000001"/>
    <n v="89.611999999999995"/>
  </r>
  <r>
    <s v="south"/>
    <x v="1"/>
    <d v="2017-05-21T00:00:00"/>
    <x v="108"/>
    <n v="200571115"/>
    <s v="Female"/>
    <x v="1"/>
    <s v="Credit card"/>
    <x v="4"/>
    <n v="6"/>
    <n v="24.23"/>
    <n v="1"/>
    <n v="94.09"/>
    <n v="147.29499999999999"/>
    <n v="52.42"/>
    <n v="3.8764546470000001"/>
    <n v="11.477"/>
  </r>
  <r>
    <s v="south"/>
    <x v="1"/>
    <d v="2018-08-22T00:00:00"/>
    <x v="154"/>
    <n v="832870148"/>
    <s v="Male"/>
    <x v="0"/>
    <s v="Cash"/>
    <x v="4"/>
    <n v="1"/>
    <n v="51.18"/>
    <n v="2"/>
    <n v="25.45"/>
    <n v="117.4633"/>
    <n v="131.30000000000001"/>
    <n v="3.8764546470000001"/>
    <n v="90.061000000000007"/>
  </r>
  <r>
    <s v="West"/>
    <x v="2"/>
    <d v="2017-10-01T00:00:00"/>
    <x v="157"/>
    <n v="755863403"/>
    <s v="Female"/>
    <x v="1"/>
    <s v="Credit card"/>
    <x v="4"/>
    <n v="8"/>
    <n v="12.009"/>
    <n v="5"/>
    <n v="32.31"/>
    <n v="135.58080000000001"/>
    <n v="144.30000000000001"/>
    <n v="3.8764546470000001"/>
    <n v="60.534999999999997"/>
  </r>
  <r>
    <s v="south"/>
    <x v="1"/>
    <d v="2017-05-02T00:00:00"/>
    <x v="181"/>
    <n v="263306224"/>
    <s v="Male"/>
    <x v="0"/>
    <s v="Credit card"/>
    <x v="0"/>
    <n v="1"/>
    <n v="50.44"/>
    <n v="7"/>
    <n v="84.82"/>
    <n v="155.39279999999999"/>
    <n v="457.17"/>
    <n v="3.8764546470000001"/>
    <n v="44.957999999999998"/>
  </r>
  <r>
    <s v="West"/>
    <x v="2"/>
    <d v="2018-05-02T00:00:00"/>
    <x v="159"/>
    <n v="172202914"/>
    <s v="Male"/>
    <x v="1"/>
    <s v="Cash"/>
    <x v="3"/>
    <n v="7"/>
    <n v="99.32"/>
    <n v="1"/>
    <n v="35.090000000000003"/>
    <n v="162.57640000000001"/>
    <n v="93.38"/>
    <n v="3.8764546470000001"/>
    <n v="65.489999999999995"/>
  </r>
  <r>
    <s v="south"/>
    <x v="1"/>
    <d v="2018-06-19T00:00:00"/>
    <x v="156"/>
    <n v="724480130"/>
    <s v="Male"/>
    <x v="0"/>
    <s v="Cash"/>
    <x v="3"/>
    <n v="3"/>
    <n v="63.74"/>
    <n v="5"/>
    <n v="61.13"/>
    <n v="167.66720000000001"/>
    <n v="126.25"/>
    <n v="3.8764546470000001"/>
    <n v="71.819999999999993"/>
  </r>
  <r>
    <s v="West"/>
    <x v="2"/>
    <d v="2018-08-04T00:00:00"/>
    <x v="45"/>
    <n v="989491771"/>
    <s v="Male"/>
    <x v="0"/>
    <s v="Ewallet"/>
    <x v="1"/>
    <n v="8.1999999999999993"/>
    <n v="70.242000000000004"/>
    <n v="9"/>
    <n v="74.790000000000006"/>
    <n v="172.12020000000001"/>
    <n v="790.83"/>
    <n v="3.8764546470000001"/>
    <n v="62.36"/>
  </r>
  <r>
    <s v="south"/>
    <x v="1"/>
    <d v="2017-08-22T00:00:00"/>
    <x v="32"/>
    <n v="253885272"/>
    <s v="Male"/>
    <x v="1"/>
    <s v="Cash"/>
    <x v="0"/>
    <n v="5.4"/>
    <n v="31.5"/>
    <n v="8"/>
    <n v="18.8"/>
    <n v="140.5515"/>
    <n v="174.4"/>
    <n v="3.8764546470000001"/>
    <n v="27.07"/>
  </r>
  <r>
    <s v="East"/>
    <x v="0"/>
    <d v="2018-02-24T00:00:00"/>
    <x v="18"/>
    <n v="855458938"/>
    <s v="Female"/>
    <x v="1"/>
    <s v="Ewallet"/>
    <x v="3"/>
    <n v="9.4"/>
    <n v="98.01"/>
    <n v="4"/>
    <n v="31.09"/>
    <n v="148.1414"/>
    <n v="379.04"/>
    <n v="3.8764546470000001"/>
    <n v="58.48"/>
  </r>
  <r>
    <s v="East"/>
    <x v="0"/>
    <d v="2018-05-18T00:00:00"/>
    <x v="135"/>
    <n v="40500541"/>
    <s v="Female"/>
    <x v="0"/>
    <s v="Credit card"/>
    <x v="5"/>
    <n v="2"/>
    <n v="38.369999999999997"/>
    <n v="1"/>
    <n v="80.06"/>
    <n v="160.4075"/>
    <n v="30.62"/>
    <n v="3.8764546470000001"/>
    <n v="69.180000000000007"/>
  </r>
  <r>
    <s v="south"/>
    <x v="1"/>
    <d v="2018-02-06T00:00:00"/>
    <x v="75"/>
    <n v="539552942"/>
    <s v="Female"/>
    <x v="1"/>
    <s v="Cash"/>
    <x v="2"/>
    <n v="7.5"/>
    <n v="41.417000000000002"/>
    <n v="8"/>
    <n v="59.53"/>
    <n v="173.05289999999999"/>
    <n v="352.08"/>
    <n v="3.8764546470000001"/>
    <n v="86.855999999999995"/>
  </r>
  <r>
    <s v="south"/>
    <x v="1"/>
    <d v="2017-08-31T00:00:00"/>
    <x v="57"/>
    <n v="660466112"/>
    <s v="Female"/>
    <x v="0"/>
    <s v="Ewallet"/>
    <x v="0"/>
    <n v="7.8"/>
    <n v="49.16"/>
    <n v="5"/>
    <n v="67.41"/>
    <n v="117.54430000000001"/>
    <n v="50.8"/>
    <n v="3.8764546470000001"/>
    <n v="43.636000000000003"/>
  </r>
  <r>
    <s v="East"/>
    <x v="0"/>
    <d v="2018-09-16T00:00:00"/>
    <x v="153"/>
    <n v="339144843"/>
    <s v="Male"/>
    <x v="1"/>
    <s v="Credit card"/>
    <x v="1"/>
    <n v="9.6"/>
    <n v="24.52"/>
    <n v="7"/>
    <n v="67.75"/>
    <n v="153.5035"/>
    <n v="522.05999999999995"/>
    <n v="3.8764546470000001"/>
    <n v="62.959000000000003"/>
  </r>
  <r>
    <s v="south"/>
    <x v="1"/>
    <d v="2018-06-18T00:00:00"/>
    <x v="163"/>
    <n v="341925218"/>
    <s v="Male"/>
    <x v="1"/>
    <s v="Ewallet"/>
    <x v="1"/>
    <n v="5.4"/>
    <n v="68.040000000000006"/>
    <n v="8"/>
    <n v="32.32"/>
    <n v="157.80189999999999"/>
    <n v="575.12"/>
    <n v="3.8764546470000001"/>
    <n v="39.49"/>
  </r>
  <r>
    <s v="south"/>
    <x v="1"/>
    <d v="2018-11-20T00:00:00"/>
    <x v="86"/>
    <n v="818691657"/>
    <s v="Female"/>
    <x v="1"/>
    <s v="Credit card"/>
    <x v="0"/>
    <n v="6.7"/>
    <n v="55.95"/>
    <n v="5"/>
    <n v="10.77"/>
    <n v="134.34530000000001"/>
    <n v="54.95"/>
    <n v="3.8764546470000001"/>
    <n v="85.79"/>
  </r>
  <r>
    <s v="south"/>
    <x v="1"/>
    <d v="2017-05-04T00:00:00"/>
    <x v="99"/>
    <n v="715621569"/>
    <s v="Male"/>
    <x v="0"/>
    <s v="Credit card"/>
    <x v="0"/>
    <n v="1.8"/>
    <n v="82.67"/>
    <n v="3"/>
    <n v="99.65"/>
    <n v="120.87090000000001"/>
    <n v="181.41"/>
    <n v="3.8764546470000001"/>
    <n v="24.26"/>
  </r>
  <r>
    <s v="East"/>
    <x v="0"/>
    <d v="2017-04-07T00:00:00"/>
    <x v="46"/>
    <n v="660220609"/>
    <s v="Male"/>
    <x v="1"/>
    <s v="Ewallet"/>
    <x v="3"/>
    <n v="2"/>
    <n v="21.934999999999999"/>
    <n v="7"/>
    <n v="50.89"/>
    <n v="119.5193"/>
    <n v="412.37"/>
    <n v="3.8764546470000001"/>
    <n v="86.65"/>
  </r>
  <r>
    <s v="East"/>
    <x v="0"/>
    <d v="2017-06-28T00:00:00"/>
    <x v="124"/>
    <n v="685477460"/>
    <s v="Male"/>
    <x v="1"/>
    <s v="Credit card"/>
    <x v="5"/>
    <n v="2"/>
    <n v="27.96"/>
    <n v="1"/>
    <n v="64.319999999999993"/>
    <n v="152.78370000000001"/>
    <n v="46.41"/>
    <n v="3.8764546470000001"/>
    <n v="71.900000000000006"/>
  </r>
  <r>
    <s v="south"/>
    <x v="1"/>
    <d v="2018-11-20T00:00:00"/>
    <x v="163"/>
    <n v="564205528"/>
    <s v="Male"/>
    <x v="0"/>
    <s v="Credit card"/>
    <x v="0"/>
    <n v="7"/>
    <n v="39.83"/>
    <n v="4"/>
    <n v="68.53"/>
    <n v="152.63140000000001"/>
    <n v="274.2"/>
    <n v="3.8764546470000001"/>
    <n v="17.126999999999999"/>
  </r>
  <r>
    <s v="West"/>
    <x v="2"/>
    <d v="2018-03-31T00:00:00"/>
    <x v="203"/>
    <n v="332748455"/>
    <s v="Female"/>
    <x v="1"/>
    <s v="Credit card"/>
    <x v="2"/>
    <n v="9"/>
    <n v="90.5"/>
    <n v="10"/>
    <n v="94.49"/>
    <n v="127.45740000000001"/>
    <n v="973.7"/>
    <n v="3.8764546470000001"/>
    <n v="79.930000000000007"/>
  </r>
  <r>
    <s v="East"/>
    <x v="0"/>
    <d v="2018-01-15T00:00:00"/>
    <x v="200"/>
    <n v="327503200"/>
    <s v="Male"/>
    <x v="0"/>
    <s v="Credit card"/>
    <x v="1"/>
    <n v="8"/>
    <n v="47.19"/>
    <n v="7"/>
    <n v="64.53"/>
    <n v="174.1951"/>
    <n v="648.20000000000005"/>
    <n v="3.8764546470000001"/>
    <n v="59.786999999999999"/>
  </r>
  <r>
    <s v="East"/>
    <x v="0"/>
    <d v="2018-10-18T00:00:00"/>
    <x v="100"/>
    <n v="418822965"/>
    <s v="Female"/>
    <x v="1"/>
    <s v="Credit card"/>
    <x v="1"/>
    <n v="1"/>
    <n v="66.831999999999994"/>
    <n v="2"/>
    <n v="26.4"/>
    <n v="136.02109999999999"/>
    <n v="93.22"/>
    <n v="3.8764546470000001"/>
    <n v="19.527999999999999"/>
  </r>
  <r>
    <s v="West"/>
    <x v="2"/>
    <d v="2017-08-23T00:00:00"/>
    <x v="32"/>
    <n v="540965827"/>
    <s v="Male"/>
    <x v="1"/>
    <s v="Ewallet"/>
    <x v="5"/>
    <n v="3"/>
    <n v="76.510000000000005"/>
    <n v="2"/>
    <n v="40.15"/>
    <n v="139.33189999999999"/>
    <n v="54.36"/>
    <n v="3.8764546470000001"/>
    <n v="55.256"/>
  </r>
  <r>
    <s v="south"/>
    <x v="1"/>
    <d v="2017-09-14T00:00:00"/>
    <x v="63"/>
    <n v="242842752"/>
    <s v="Female"/>
    <x v="0"/>
    <s v="Cash"/>
    <x v="2"/>
    <n v="3"/>
    <n v="56.96"/>
    <n v="1"/>
    <n v="12.4"/>
    <n v="176.15299999999999"/>
    <n v="60.87"/>
    <n v="3.8764546470000001"/>
    <n v="88.138999999999996"/>
  </r>
  <r>
    <s v="East"/>
    <x v="0"/>
    <d v="2018-06-24T00:00:00"/>
    <x v="175"/>
    <n v="765949247"/>
    <s v="Female"/>
    <x v="0"/>
    <s v="Cash"/>
    <x v="3"/>
    <n v="7"/>
    <n v="27.74"/>
    <n v="10"/>
    <n v="38.869999999999997"/>
    <n v="111.3653"/>
    <n v="244.9"/>
    <n v="3.8764546470000001"/>
    <n v="18.896000000000001"/>
  </r>
  <r>
    <s v="West"/>
    <x v="2"/>
    <d v="2017-12-05T00:00:00"/>
    <x v="13"/>
    <n v="10814785"/>
    <s v="Male"/>
    <x v="1"/>
    <s v="Credit card"/>
    <x v="0"/>
    <n v="2.4"/>
    <n v="45.18"/>
    <n v="1"/>
    <n v="67.83"/>
    <n v="147.79759999999999"/>
    <n v="92.78"/>
    <n v="3.8764546470000001"/>
    <n v="86.97"/>
  </r>
  <r>
    <s v="south"/>
    <x v="1"/>
    <d v="2017-09-08T00:00:00"/>
    <x v="75"/>
    <n v="696398419"/>
    <s v="Male"/>
    <x v="0"/>
    <s v="Ewallet"/>
    <x v="2"/>
    <n v="1.4"/>
    <n v="65.465000000000003"/>
    <n v="5"/>
    <n v="58.68"/>
    <n v="159.4683"/>
    <n v="433.45"/>
    <n v="3.8764546470000001"/>
    <n v="13.14"/>
  </r>
  <r>
    <s v="West"/>
    <x v="2"/>
    <d v="2017-10-23T00:00:00"/>
    <x v="155"/>
    <n v="881663349"/>
    <s v="Male"/>
    <x v="1"/>
    <s v="Ewallet"/>
    <x v="3"/>
    <n v="2.1"/>
    <n v="14.97"/>
    <n v="6"/>
    <n v="62.11"/>
    <n v="155.1936"/>
    <n v="138.06"/>
    <n v="3.8764546470000001"/>
    <n v="13.85"/>
  </r>
  <r>
    <s v="south"/>
    <x v="1"/>
    <d v="2017-11-29T00:00:00"/>
    <x v="20"/>
    <n v="414800732"/>
    <s v="Female"/>
    <x v="0"/>
    <s v="Ewallet"/>
    <x v="1"/>
    <n v="7.5"/>
    <n v="46.1"/>
    <n v="8"/>
    <n v="90.46"/>
    <n v="102.7826"/>
    <n v="241.6"/>
    <n v="3.8764546470000001"/>
    <n v="87.76"/>
  </r>
  <r>
    <s v="south"/>
    <x v="1"/>
    <d v="2018-11-10T00:00:00"/>
    <x v="182"/>
    <n v="979927465"/>
    <s v="Male"/>
    <x v="0"/>
    <s v="Ewallet"/>
    <x v="5"/>
    <n v="2.2999999999999998"/>
    <n v="83.64"/>
    <n v="7"/>
    <n v="85.12"/>
    <n v="126.5273"/>
    <n v="471.73"/>
    <n v="3.8764546470000001"/>
    <n v="28.42"/>
  </r>
  <r>
    <s v="East"/>
    <x v="0"/>
    <d v="2018-10-11T00:00:00"/>
    <x v="121"/>
    <n v="154998589"/>
    <s v="Female"/>
    <x v="0"/>
    <s v="Cash"/>
    <x v="5"/>
    <n v="3.3"/>
    <n v="89.98"/>
    <n v="9"/>
    <n v="53.09"/>
    <n v="127.1"/>
    <n v="440.64"/>
    <n v="3.8764546470000001"/>
    <n v="71.825999999999993"/>
  </r>
  <r>
    <s v="West"/>
    <x v="2"/>
    <d v="2018-07-31T00:00:00"/>
    <x v="41"/>
    <n v="187179925"/>
    <s v="Female"/>
    <x v="0"/>
    <s v="Cash"/>
    <x v="1"/>
    <n v="6.4"/>
    <n v="70.180000000000007"/>
    <n v="9"/>
    <n v="24.63"/>
    <n v="129.5"/>
    <n v="680.31"/>
    <n v="3.8764546470000001"/>
    <n v="91.570999999999998"/>
  </r>
  <r>
    <s v="East"/>
    <x v="0"/>
    <d v="2018-12-16T00:00:00"/>
    <x v="136"/>
    <n v="184621257"/>
    <s v="Female"/>
    <x v="1"/>
    <s v="Cash"/>
    <x v="2"/>
    <n v="2.6"/>
    <n v="62.4"/>
    <n v="4"/>
    <n v="32.25"/>
    <n v="126.7"/>
    <n v="309.88"/>
    <n v="3.8764546470000001"/>
    <n v="45.223999999999997"/>
  </r>
  <r>
    <s v="East"/>
    <x v="0"/>
    <d v="2018-10-17T00:00:00"/>
    <x v="117"/>
    <n v="269559316"/>
    <s v="Female"/>
    <x v="1"/>
    <s v="Credit card"/>
    <x v="3"/>
    <n v="4"/>
    <n v="44.26"/>
    <n v="2"/>
    <n v="37.99"/>
    <n v="126.6"/>
    <n v="186.36"/>
    <n v="3.8764546470000001"/>
    <n v="12.59"/>
  </r>
  <r>
    <s v="East"/>
    <x v="0"/>
    <d v="2017-12-12T00:00:00"/>
    <x v="179"/>
    <n v="796216651"/>
    <s v="Female"/>
    <x v="1"/>
    <s v="Cash"/>
    <x v="1"/>
    <n v="1"/>
    <n v="96.73"/>
    <n v="4"/>
    <n v="89.2"/>
    <n v="148.54589999999999"/>
    <n v="200.92"/>
    <n v="3.8764546470000001"/>
    <n v="68.766999999999996"/>
  </r>
  <r>
    <s v="West"/>
    <x v="2"/>
    <d v="2017-07-12T00:00:00"/>
    <x v="13"/>
    <n v="709658448"/>
    <s v="Female"/>
    <x v="1"/>
    <s v="Cash"/>
    <x v="0"/>
    <n v="10"/>
    <n v="48.466999999999999"/>
    <n v="1"/>
    <n v="30.71"/>
    <n v="152.83349999999999"/>
    <n v="17.75"/>
    <n v="3.8764546470000001"/>
    <n v="70.08"/>
  </r>
  <r>
    <s v="south"/>
    <x v="1"/>
    <d v="2018-01-15T00:00:00"/>
    <x v="193"/>
    <n v="81036890"/>
    <s v="Female"/>
    <x v="1"/>
    <s v="Ewallet"/>
    <x v="5"/>
    <n v="9"/>
    <n v="34.729999999999997"/>
    <n v="10"/>
    <n v="33.840000000000003"/>
    <n v="126.52209999999999"/>
    <n v="621.79999999999995"/>
    <n v="3.8764546470000001"/>
    <n v="65.537000000000006"/>
  </r>
  <r>
    <s v="West"/>
    <x v="2"/>
    <d v="2018-12-28T00:00:00"/>
    <x v="19"/>
    <n v="491841655"/>
    <s v="Male"/>
    <x v="1"/>
    <s v="Ewallet"/>
    <x v="0"/>
    <n v="2"/>
    <n v="89.02"/>
    <n v="8"/>
    <n v="29.14"/>
    <n v="120.44540000000001"/>
    <n v="86"/>
    <n v="3.8764546470000001"/>
    <n v="82.472999999999999"/>
  </r>
  <r>
    <s v="East"/>
    <x v="0"/>
    <d v="2018-04-27T00:00:00"/>
    <x v="129"/>
    <n v="25047245"/>
    <s v="Female"/>
    <x v="1"/>
    <s v="Credit card"/>
    <x v="1"/>
    <n v="7"/>
    <n v="17.41"/>
    <n v="10"/>
    <n v="89.7"/>
    <n v="159.6"/>
    <n v="402.6"/>
    <n v="3.8764546470000001"/>
    <n v="51.05"/>
  </r>
  <r>
    <s v="south"/>
    <x v="1"/>
    <d v="2018-05-10T00:00:00"/>
    <x v="143"/>
    <n v="569945041"/>
    <s v="Female"/>
    <x v="0"/>
    <s v="Credit card"/>
    <x v="3"/>
    <n v="4"/>
    <n v="80.25"/>
    <n v="5"/>
    <n v="50.93"/>
    <n v="184.9"/>
    <n v="324.85000000000002"/>
    <n v="3.8764546470000001"/>
    <n v="76.3"/>
  </r>
  <r>
    <s v="East"/>
    <x v="0"/>
    <d v="2017-04-22T00:00:00"/>
    <x v="30"/>
    <n v="414842402"/>
    <s v="Male"/>
    <x v="1"/>
    <s v="Cash"/>
    <x v="1"/>
    <n v="3"/>
    <n v="77.989999999999995"/>
    <n v="1"/>
    <n v="35.5"/>
    <n v="169.4"/>
    <n v="95.15"/>
    <n v="3.8764546470000001"/>
    <n v="18.47"/>
  </r>
  <r>
    <s v="East"/>
    <x v="0"/>
    <d v="2017-09-25T00:00:00"/>
    <x v="204"/>
    <n v="403855834"/>
    <s v="Female"/>
    <x v="0"/>
    <s v="Cash"/>
    <x v="1"/>
    <n v="9"/>
    <n v="32.840000000000003"/>
    <n v="8"/>
    <n v="53.18"/>
    <n v="179.1"/>
    <n v="388.96"/>
    <n v="3.8764546470000001"/>
    <n v="76.75"/>
  </r>
  <r>
    <s v="West"/>
    <x v="2"/>
    <d v="2017-08-04T00:00:00"/>
    <x v="51"/>
    <n v="816873492"/>
    <s v="Female"/>
    <x v="1"/>
    <s v="Ewallet"/>
    <x v="4"/>
    <n v="2"/>
    <n v="49.1"/>
    <n v="8"/>
    <n v="60.39"/>
    <n v="108.9"/>
    <n v="425.68"/>
    <n v="3.8764546470000001"/>
    <n v="28.02"/>
  </r>
  <r>
    <s v="south"/>
    <x v="1"/>
    <d v="2018-11-09T00:00:00"/>
    <x v="23"/>
    <n v="941115672"/>
    <s v="Female"/>
    <x v="1"/>
    <s v="Cash"/>
    <x v="5"/>
    <n v="7"/>
    <n v="11.7"/>
    <n v="7"/>
    <n v="19.510000000000002"/>
    <n v="138.131"/>
    <n v="318.08"/>
    <n v="3.8764546470000001"/>
    <n v="55.14"/>
  </r>
  <r>
    <s v="East"/>
    <x v="0"/>
    <d v="2017-06-23T00:00:00"/>
    <x v="202"/>
    <n v="30852051"/>
    <s v="Male"/>
    <x v="1"/>
    <s v="Ewallet"/>
    <x v="4"/>
    <n v="8.1"/>
    <n v="68.367999999999995"/>
    <n v="8"/>
    <n v="17.87"/>
    <n v="130.77199999999999"/>
    <n v="271.04000000000002"/>
    <n v="3.8764546470000001"/>
    <n v="32.840000000000003"/>
  </r>
  <r>
    <s v="West"/>
    <x v="2"/>
    <d v="2018-03-11T00:00:00"/>
    <x v="112"/>
    <n v="21992839"/>
    <s v="Male"/>
    <x v="0"/>
    <s v="Credit card"/>
    <x v="0"/>
    <n v="4.5"/>
    <n v="95.45"/>
    <n v="4"/>
    <n v="78.02"/>
    <n v="182.2313"/>
    <n v="384.64"/>
    <n v="3.8764546470000001"/>
    <n v="69.435000000000002"/>
  </r>
  <r>
    <s v="West"/>
    <x v="2"/>
    <d v="2018-08-29T00:00:00"/>
    <x v="113"/>
    <n v="770153987"/>
    <s v="Male"/>
    <x v="0"/>
    <s v="Credit card"/>
    <x v="4"/>
    <n v="9"/>
    <n v="24.18"/>
    <n v="5"/>
    <n v="12.99"/>
    <n v="127.81270000000001"/>
    <n v="235.8"/>
    <n v="3.8764546470000001"/>
    <n v="55.274999999999999"/>
  </r>
  <r>
    <s v="West"/>
    <x v="2"/>
    <d v="2019-01-01T00:00:00"/>
    <x v="58"/>
    <n v="784932284"/>
    <s v="Male"/>
    <x v="1"/>
    <s v="Ewallet"/>
    <x v="1"/>
    <n v="5.7"/>
    <n v="68.45"/>
    <n v="4"/>
    <n v="22.25"/>
    <n v="162.06950000000001"/>
    <n v="211.56"/>
    <n v="3.8764546470000001"/>
    <n v="67.141000000000005"/>
  </r>
  <r>
    <s v="East"/>
    <x v="0"/>
    <d v="2018-03-29T00:00:00"/>
    <x v="133"/>
    <n v="562139339"/>
    <s v="Female"/>
    <x v="0"/>
    <s v="Credit card"/>
    <x v="2"/>
    <n v="2.5"/>
    <n v="10.66"/>
    <n v="2"/>
    <n v="72.52"/>
    <n v="103.6631"/>
    <n v="95.36"/>
    <n v="3.8764546470000001"/>
    <n v="56.151000000000003"/>
  </r>
  <r>
    <s v="south"/>
    <x v="1"/>
    <d v="2017-12-22T00:00:00"/>
    <x v="177"/>
    <n v="793763082"/>
    <s v="Male"/>
    <x v="0"/>
    <s v="Cash"/>
    <x v="3"/>
    <n v="2.1"/>
    <n v="33.6"/>
    <n v="1"/>
    <n v="49.76"/>
    <n v="100.3"/>
    <n v="10.17"/>
    <n v="3.8764546470000001"/>
    <n v="16.585999999999999"/>
  </r>
  <r>
    <s v="East"/>
    <x v="0"/>
    <d v="2018-10-29T00:00:00"/>
    <x v="62"/>
    <n v="299640507"/>
    <s v="Female"/>
    <x v="1"/>
    <s v="Cash"/>
    <x v="0"/>
    <n v="8.6"/>
    <n v="90.64"/>
    <n v="3"/>
    <n v="23.12"/>
    <n v="109.1"/>
    <n v="206.13"/>
    <n v="3.8764546470000001"/>
    <n v="26.27"/>
  </r>
  <r>
    <s v="West"/>
    <x v="2"/>
    <d v="2017-12-08T00:00:00"/>
    <x v="134"/>
    <n v="345318832"/>
    <s v="Female"/>
    <x v="0"/>
    <s v="Credit card"/>
    <x v="3"/>
    <n v="8.1999999999999993"/>
    <n v="94.350999999999999"/>
    <n v="7"/>
    <n v="94.46"/>
    <n v="126.4"/>
    <n v="420.56"/>
    <n v="3.8764546470000001"/>
    <n v="71.27"/>
  </r>
  <r>
    <s v="East"/>
    <x v="0"/>
    <d v="2018-12-16T00:00:00"/>
    <x v="181"/>
    <n v="124596256"/>
    <s v="Female"/>
    <x v="0"/>
    <s v="Credit card"/>
    <x v="3"/>
    <n v="9"/>
    <n v="98.98"/>
    <n v="4"/>
    <n v="15.86"/>
    <n v="162.69999999999999"/>
    <n v="88.04"/>
    <n v="3.8764546470000001"/>
    <n v="70.447999999999993"/>
  </r>
  <r>
    <s v="West"/>
    <x v="2"/>
    <d v="2018-04-06T00:00:00"/>
    <x v="124"/>
    <n v="816163433"/>
    <s v="Female"/>
    <x v="0"/>
    <s v="Credit card"/>
    <x v="0"/>
    <n v="3.7"/>
    <n v="28.52"/>
    <n v="9"/>
    <n v="59.15"/>
    <n v="160.6"/>
    <n v="648.99"/>
    <n v="3.8764546470000001"/>
    <n v="94.603999999999999"/>
  </r>
  <r>
    <s v="East"/>
    <x v="0"/>
    <d v="2017-03-03T00:00:00"/>
    <x v="140"/>
    <n v="982071093"/>
    <s v="Male"/>
    <x v="0"/>
    <s v="Credit card"/>
    <x v="5"/>
    <n v="3.5"/>
    <n v="74.89"/>
    <n v="3"/>
    <n v="61.86"/>
    <n v="103.77379999999999"/>
    <n v="123.84"/>
    <n v="3.8764546470000001"/>
    <n v="59.631999999999998"/>
  </r>
  <r>
    <s v="south"/>
    <x v="1"/>
    <d v="2017-04-23T00:00:00"/>
    <x v="162"/>
    <n v="327359799"/>
    <s v="Male"/>
    <x v="1"/>
    <s v="Cash"/>
    <x v="1"/>
    <n v="5.7"/>
    <n v="12.08"/>
    <n v="10"/>
    <n v="86.41"/>
    <n v="162.19839999999999"/>
    <n v="649.5"/>
    <n v="3.8764546470000001"/>
    <n v="43.11"/>
  </r>
  <r>
    <s v="East"/>
    <x v="0"/>
    <d v="2018-01-14T00:00:00"/>
    <x v="59"/>
    <n v="575820843"/>
    <s v="Female"/>
    <x v="0"/>
    <s v="Credit card"/>
    <x v="1"/>
    <n v="1.3"/>
    <n v="93.98"/>
    <n v="10"/>
    <n v="51.59"/>
    <n v="169.77359999999999"/>
    <n v="742.2"/>
    <n v="3.8764546470000001"/>
    <n v="20.58"/>
  </r>
  <r>
    <s v="East"/>
    <x v="0"/>
    <d v="2018-12-25T00:00:00"/>
    <x v="89"/>
    <n v="913233155"/>
    <s v="Male"/>
    <x v="1"/>
    <s v="Cash"/>
    <x v="1"/>
    <n v="4.7"/>
    <n v="94.39"/>
    <n v="8"/>
    <n v="18.559999999999999"/>
    <n v="159.80340000000001"/>
    <n v="84.48"/>
    <n v="3.8764546470000001"/>
    <n v="19.05"/>
  </r>
  <r>
    <s v="West"/>
    <x v="2"/>
    <d v="2018-08-03T00:00:00"/>
    <x v="134"/>
    <n v="803937956"/>
    <s v="Male"/>
    <x v="1"/>
    <s v="Cash"/>
    <x v="0"/>
    <n v="3.7"/>
    <n v="72.69"/>
    <n v="4"/>
    <n v="26.01"/>
    <n v="147.8612"/>
    <n v="250.28"/>
    <n v="3.8764546470000001"/>
    <n v="23.86"/>
  </r>
  <r>
    <s v="West"/>
    <x v="2"/>
    <d v="2018-06-26T00:00:00"/>
    <x v="149"/>
    <n v="357980974"/>
    <s v="Female"/>
    <x v="0"/>
    <s v="Cash"/>
    <x v="3"/>
    <n v="6.2"/>
    <n v="83.97"/>
    <n v="8"/>
    <n v="46.63"/>
    <n v="156.60599999999999"/>
    <n v="94.8"/>
    <n v="3.8764546470000001"/>
    <n v="48"/>
  </r>
  <r>
    <s v="East"/>
    <x v="0"/>
    <d v="2017-10-18T00:00:00"/>
    <x v="150"/>
    <n v="281438861"/>
    <s v="Male"/>
    <x v="0"/>
    <s v="Ewallet"/>
    <x v="0"/>
    <n v="8.1"/>
    <n v="63.52"/>
    <n v="1"/>
    <n v="93.21"/>
    <n v="115.1"/>
    <n v="91.3"/>
    <n v="3.8764546470000001"/>
    <n v="51.93"/>
  </r>
  <r>
    <s v="West"/>
    <x v="2"/>
    <d v="2018-06-17T00:00:00"/>
    <x v="73"/>
    <n v="563626187"/>
    <s v="Female"/>
    <x v="0"/>
    <s v="Ewallet"/>
    <x v="2"/>
    <n v="6"/>
    <n v="70.58"/>
    <n v="7"/>
    <n v="39.700000000000003"/>
    <n v="137.80000000000001"/>
    <n v="285.11"/>
    <n v="3.8764546470000001"/>
    <n v="58.89"/>
  </r>
  <r>
    <s v="East"/>
    <x v="0"/>
    <d v="2018-08-02T00:00:00"/>
    <x v="129"/>
    <n v="477826132"/>
    <s v="Male"/>
    <x v="1"/>
    <s v="Cash"/>
    <x v="5"/>
    <n v="5"/>
    <n v="63.61"/>
    <n v="1"/>
    <n v="15.24"/>
    <n v="127.2"/>
    <n v="52.38"/>
    <n v="3.8764546470000001"/>
    <n v="75.12"/>
  </r>
  <r>
    <s v="East"/>
    <x v="0"/>
    <d v="2018-12-13T00:00:00"/>
    <x v="107"/>
    <n v="200009205"/>
    <s v="Male"/>
    <x v="0"/>
    <s v="Ewallet"/>
    <x v="5"/>
    <n v="4.9000000000000004"/>
    <n v="58.51"/>
    <n v="5"/>
    <n v="92.91"/>
    <n v="184.7"/>
    <n v="192.7"/>
    <n v="3.8764546470000001"/>
    <n v="98.4"/>
  </r>
  <r>
    <s v="West"/>
    <x v="2"/>
    <d v="2018-03-16T00:00:00"/>
    <x v="197"/>
    <n v="194011645"/>
    <s v="Male"/>
    <x v="1"/>
    <s v="Credit card"/>
    <x v="3"/>
    <n v="3.7"/>
    <n v="87.05"/>
    <n v="6"/>
    <n v="89.21"/>
    <n v="146.80000000000001"/>
    <n v="267.77999999999997"/>
    <n v="3.8764546470000001"/>
    <n v="26.632999999999999"/>
  </r>
  <r>
    <s v="south"/>
    <x v="1"/>
    <d v="2017-04-14T00:00:00"/>
    <x v="12"/>
    <n v="675608918"/>
    <s v="Male"/>
    <x v="1"/>
    <s v="Cash"/>
    <x v="1"/>
    <n v="8.3000000000000007"/>
    <n v="98.95"/>
    <n v="10"/>
    <n v="47.02"/>
    <n v="148.6"/>
    <n v="558.70000000000005"/>
    <n v="3.8764546470000001"/>
    <n v="53.823999999999998"/>
  </r>
  <r>
    <s v="south"/>
    <x v="1"/>
    <d v="2017-05-29T00:00:00"/>
    <x v="132"/>
    <n v="888270233"/>
    <s v="Female"/>
    <x v="0"/>
    <s v="Ewallet"/>
    <x v="3"/>
    <n v="2.1"/>
    <n v="15.68"/>
    <n v="6"/>
    <n v="92.17"/>
    <n v="131.78290000000001"/>
    <n v="175.32"/>
    <n v="3.8764546470000001"/>
    <n v="16.065000000000001"/>
  </r>
  <r>
    <s v="East"/>
    <x v="0"/>
    <d v="2017-12-19T00:00:00"/>
    <x v="15"/>
    <n v="798558861"/>
    <s v="Male"/>
    <x v="1"/>
    <s v="Cash"/>
    <x v="5"/>
    <n v="3.6"/>
    <n v="53.9"/>
    <n v="3"/>
    <n v="88.5"/>
    <n v="147.45179999999999"/>
    <n v="155.82"/>
    <n v="3.8764546470000001"/>
    <n v="98.091999999999999"/>
  </r>
  <r>
    <s v="West"/>
    <x v="2"/>
    <d v="2017-12-23T00:00:00"/>
    <x v="1"/>
    <n v="386274860"/>
    <s v="Male"/>
    <x v="1"/>
    <s v="Cash"/>
    <x v="1"/>
    <n v="4"/>
    <n v="10.29"/>
    <n v="1"/>
    <n v="91.39"/>
    <n v="129.2183"/>
    <n v="60.3"/>
    <n v="3.8764546470000001"/>
    <n v="56.906999999999996"/>
  </r>
  <r>
    <s v="East"/>
    <x v="0"/>
    <d v="2017-12-23T00:00:00"/>
    <x v="123"/>
    <n v="175789097"/>
    <s v="Female"/>
    <x v="0"/>
    <s v="Credit card"/>
    <x v="3"/>
    <n v="5"/>
    <n v="42.07"/>
    <n v="2"/>
    <n v="84.09"/>
    <n v="165.56569999999999"/>
    <n v="78.94"/>
    <n v="3.8764546470000001"/>
    <n v="48.957000000000001"/>
  </r>
  <r>
    <s v="south"/>
    <x v="1"/>
    <d v="2017-11-07T00:00:00"/>
    <x v="72"/>
    <n v="660187529"/>
    <s v="Female"/>
    <x v="0"/>
    <s v="Credit card"/>
    <x v="4"/>
    <n v="1"/>
    <n v="75.774000000000001"/>
    <n v="2"/>
    <n v="84.49"/>
    <n v="161.727"/>
    <n v="29.74"/>
    <n v="3.8764546470000001"/>
    <n v="93.355000000000004"/>
  </r>
  <r>
    <s v="East"/>
    <x v="0"/>
    <d v="2018-11-03T00:00:00"/>
    <x v="20"/>
    <n v="602263383"/>
    <s v="Male"/>
    <x v="1"/>
    <s v="Cash"/>
    <x v="5"/>
    <n v="3"/>
    <n v="60.27"/>
    <n v="1"/>
    <n v="29.14"/>
    <n v="136.4597"/>
    <n v="21.32"/>
    <n v="3.8764546470000001"/>
    <n v="21.76"/>
  </r>
  <r>
    <s v="East"/>
    <x v="0"/>
    <d v="2018-11-18T00:00:00"/>
    <x v="111"/>
    <n v="632555647"/>
    <s v="Male"/>
    <x v="0"/>
    <s v="Credit card"/>
    <x v="1"/>
    <n v="5.6"/>
    <n v="62.25"/>
    <n v="3"/>
    <n v="39.72"/>
    <n v="159.0924"/>
    <n v="281.33999999999997"/>
    <n v="3.8764546470000001"/>
    <n v="84.61"/>
  </r>
  <r>
    <s v="East"/>
    <x v="0"/>
    <d v="2018-03-01T00:00:00"/>
    <x v="19"/>
    <n v="386477520"/>
    <s v="Male"/>
    <x v="0"/>
    <s v="Ewallet"/>
    <x v="1"/>
    <n v="5.5"/>
    <n v="29.73"/>
    <n v="1"/>
    <n v="40.65"/>
    <n v="114.8"/>
    <n v="73.260000000000005"/>
    <n v="3.8764546470000001"/>
    <n v="64.599999999999994"/>
  </r>
  <r>
    <s v="south"/>
    <x v="1"/>
    <d v="2018-04-22T00:00:00"/>
    <x v="51"/>
    <n v="62440400"/>
    <s v="Female"/>
    <x v="1"/>
    <s v="Credit card"/>
    <x v="3"/>
    <n v="5.2"/>
    <n v="68.36"/>
    <n v="1"/>
    <n v="12.61"/>
    <n v="139.1123"/>
    <n v="22.38"/>
    <n v="3.8764546470000001"/>
    <n v="51.05"/>
  </r>
  <r>
    <s v="south"/>
    <x v="1"/>
    <d v="2018-09-27T00:00:00"/>
    <x v="2"/>
    <n v="681198573"/>
    <s v="Female"/>
    <x v="0"/>
    <s v="Cash"/>
    <x v="4"/>
    <n v="6.2"/>
    <n v="39.86"/>
    <n v="9"/>
    <n v="11.49"/>
    <n v="176.5385"/>
    <n v="655.92"/>
    <n v="3.8764546470000001"/>
    <n v="23.233000000000001"/>
  </r>
  <r>
    <s v="East"/>
    <x v="0"/>
    <d v="2018-09-03T00:00:00"/>
    <x v="170"/>
    <n v="56789625"/>
    <s v="Female"/>
    <x v="1"/>
    <s v="Cash"/>
    <x v="5"/>
    <n v="1.9"/>
    <n v="39.838000000000001"/>
    <n v="6"/>
    <n v="64.22"/>
    <n v="173.61070000000001"/>
    <n v="594.6"/>
    <n v="3.8764546470000001"/>
    <n v="91.659000000000006"/>
  </r>
  <r>
    <s v="East"/>
    <x v="0"/>
    <d v="2018-08-13T00:00:00"/>
    <x v="184"/>
    <n v="302289077"/>
    <s v="Male"/>
    <x v="1"/>
    <s v="Cash"/>
    <x v="5"/>
    <n v="8.4"/>
    <n v="34.880000000000003"/>
    <n v="1"/>
    <n v="43.97"/>
    <n v="145.37880000000001"/>
    <n v="74.099999999999994"/>
    <n v="3.8764546470000001"/>
    <n v="36.86"/>
  </r>
  <r>
    <s v="East"/>
    <x v="0"/>
    <d v="2018-06-05T00:00:00"/>
    <x v="50"/>
    <n v="191224512"/>
    <s v="Female"/>
    <x v="1"/>
    <s v="Ewallet"/>
    <x v="5"/>
    <n v="8.8000000000000007"/>
    <n v="15.26"/>
    <n v="2"/>
    <n v="57"/>
    <n v="115.8"/>
    <n v="196.96"/>
    <n v="3.8764546470000001"/>
    <n v="26.826000000000001"/>
  </r>
  <r>
    <s v="south"/>
    <x v="1"/>
    <d v="2018-11-14T00:00:00"/>
    <x v="132"/>
    <n v="558837078"/>
    <s v="Male"/>
    <x v="1"/>
    <s v="Ewallet"/>
    <x v="0"/>
    <n v="4.8"/>
    <n v="10.76"/>
    <n v="7"/>
    <n v="70.52"/>
    <n v="125.9928"/>
    <n v="372.33"/>
    <n v="3.8764546470000001"/>
    <n v="28.606000000000002"/>
  </r>
  <r>
    <s v="West"/>
    <x v="2"/>
    <d v="2018-04-21T00:00:00"/>
    <x v="159"/>
    <n v="957221682"/>
    <s v="Female"/>
    <x v="1"/>
    <s v="Ewallet"/>
    <x v="1"/>
    <n v="6.8"/>
    <n v="87.8"/>
    <n v="10"/>
    <n v="19.989999999999998"/>
    <n v="155.13460000000001"/>
    <n v="527.9"/>
    <n v="3.8764546470000001"/>
    <n v="54.621000000000002"/>
  </r>
  <r>
    <s v="East"/>
    <x v="0"/>
    <d v="2018-01-06T00:00:00"/>
    <x v="78"/>
    <n v="144449737"/>
    <s v="Female"/>
    <x v="0"/>
    <s v="Ewallet"/>
    <x v="0"/>
    <n v="1"/>
    <n v="30.77"/>
    <n v="5"/>
    <n v="34.799999999999997"/>
    <n v="107.9"/>
    <n v="479.75"/>
    <n v="3.8764546470000001"/>
    <n v="83.608000000000004"/>
  </r>
  <r>
    <s v="West"/>
    <x v="2"/>
    <d v="2018-03-19T00:00:00"/>
    <x v="175"/>
    <n v="258274454"/>
    <s v="Female"/>
    <x v="1"/>
    <s v="Cash"/>
    <x v="5"/>
    <n v="2"/>
    <n v="88.02"/>
    <n v="9"/>
    <n v="20.97"/>
    <n v="112.45610000000001"/>
    <n v="328.59"/>
    <n v="3.8764546470000001"/>
    <n v="66.066999999999993"/>
  </r>
  <r>
    <s v="West"/>
    <x v="2"/>
    <d v="2017-09-14T00:00:00"/>
    <x v="86"/>
    <n v="909003286"/>
    <s v="Male"/>
    <x v="1"/>
    <s v="Cash"/>
    <x v="4"/>
    <n v="9.6"/>
    <n v="21.19"/>
    <n v="8"/>
    <n v="56.21"/>
    <n v="176.77789999999999"/>
    <n v="168.96"/>
    <n v="3.8764546470000001"/>
    <n v="79.412000000000006"/>
  </r>
  <r>
    <s v="East"/>
    <x v="0"/>
    <d v="2017-11-19T00:00:00"/>
    <x v="77"/>
    <n v="368167383"/>
    <s v="Female"/>
    <x v="0"/>
    <s v="Cash"/>
    <x v="2"/>
    <n v="5.2"/>
    <n v="84.75"/>
    <n v="4"/>
    <n v="63.46"/>
    <n v="121.2345"/>
    <n v="113.24"/>
    <n v="3.8764546470000001"/>
    <n v="30.55"/>
  </r>
  <r>
    <s v="West"/>
    <x v="2"/>
    <d v="2017-10-22T00:00:00"/>
    <x v="159"/>
    <n v="813949230"/>
    <s v="Male"/>
    <x v="1"/>
    <s v="Cash"/>
    <x v="0"/>
    <n v="8.1"/>
    <n v="87.656999999999996"/>
    <n v="6"/>
    <n v="68.31"/>
    <n v="175.78440000000001"/>
    <n v="345.54"/>
    <n v="3.8764546470000001"/>
    <n v="98.73"/>
  </r>
  <r>
    <s v="East"/>
    <x v="0"/>
    <d v="2018-02-03T00:00:00"/>
    <x v="134"/>
    <n v="957385609"/>
    <s v="Female"/>
    <x v="0"/>
    <s v="Cash"/>
    <x v="4"/>
    <n v="7.9"/>
    <n v="65.98"/>
    <n v="9"/>
    <n v="92.29"/>
    <n v="102.4"/>
    <n v="428.67"/>
    <n v="3.8764546470000001"/>
    <n v="49.476999999999997"/>
  </r>
  <r>
    <s v="south"/>
    <x v="1"/>
    <d v="2018-04-26T00:00:00"/>
    <x v="187"/>
    <n v="155841178"/>
    <s v="Female"/>
    <x v="0"/>
    <s v="Ewallet"/>
    <x v="2"/>
    <n v="8.9"/>
    <n v="71.86"/>
    <n v="1"/>
    <n v="48.38"/>
    <n v="166.3"/>
    <n v="86.27"/>
    <n v="3.8764546470000001"/>
    <n v="66.522999999999996"/>
  </r>
  <r>
    <s v="East"/>
    <x v="0"/>
    <d v="2017-04-27T00:00:00"/>
    <x v="59"/>
    <n v="62127389"/>
    <s v="Male"/>
    <x v="0"/>
    <s v="Ewallet"/>
    <x v="3"/>
    <n v="6.4"/>
    <n v="21.687000000000001"/>
    <n v="2"/>
    <n v="32.65"/>
    <n v="120.5"/>
    <n v="25.52"/>
    <n v="3.8764546470000001"/>
    <n v="39.375999999999998"/>
  </r>
  <r>
    <s v="West"/>
    <x v="2"/>
    <d v="2018-09-15T00:00:00"/>
    <x v="105"/>
    <n v="612854538"/>
    <s v="Female"/>
    <x v="1"/>
    <s v="Credit card"/>
    <x v="2"/>
    <n v="2.2000000000000002"/>
    <n v="98.62"/>
    <n v="9"/>
    <n v="95.98"/>
    <n v="112.3"/>
    <n v="101.52"/>
    <n v="3.8764546470000001"/>
    <n v="74.191999999999993"/>
  </r>
  <r>
    <s v="West"/>
    <x v="2"/>
    <d v="2018-10-03T00:00:00"/>
    <x v="97"/>
    <n v="345619681"/>
    <s v="Female"/>
    <x v="1"/>
    <s v="Cash"/>
    <x v="2"/>
    <n v="6"/>
    <n v="38.020000000000003"/>
    <n v="7"/>
    <n v="56.98"/>
    <n v="154"/>
    <n v="357.49"/>
    <n v="3.8764546470000001"/>
    <n v="37.162999999999997"/>
  </r>
  <r>
    <s v="East"/>
    <x v="0"/>
    <d v="2017-12-07T00:00:00"/>
    <x v="156"/>
    <n v="519215779"/>
    <s v="Female"/>
    <x v="0"/>
    <s v="Cash"/>
    <x v="1"/>
    <n v="4"/>
    <n v="11.504"/>
    <n v="3"/>
    <n v="35.049999999999997"/>
    <n v="188.9"/>
    <n v="238.77"/>
    <n v="3.8764546470000001"/>
    <n v="15.919"/>
  </r>
  <r>
    <s v="south"/>
    <x v="1"/>
    <d v="2018-11-06T00:00:00"/>
    <x v="180"/>
    <n v="334645706"/>
    <s v="Male"/>
    <x v="0"/>
    <s v="Ewallet"/>
    <x v="0"/>
    <n v="4.5"/>
    <n v="47.27"/>
    <n v="3"/>
    <n v="28.5"/>
    <n v="134.69999999999999"/>
    <n v="101.43"/>
    <n v="3.8764546470000001"/>
    <n v="48.213000000000001"/>
  </r>
  <r>
    <s v="West"/>
    <x v="2"/>
    <d v="2017-06-16T00:00:00"/>
    <x v="161"/>
    <n v="570664480"/>
    <s v="Male"/>
    <x v="0"/>
    <s v="Credit card"/>
    <x v="3"/>
    <n v="3.5"/>
    <n v="63.99"/>
    <n v="8"/>
    <n v="19.22"/>
    <n v="105.9"/>
    <n v="724.24"/>
    <n v="3.8764546470000001"/>
    <n v="26.904"/>
  </r>
  <r>
    <s v="south"/>
    <x v="1"/>
    <d v="2018-02-02T00:00:00"/>
    <x v="86"/>
    <n v="285447357"/>
    <s v="Female"/>
    <x v="0"/>
    <s v="Ewallet"/>
    <x v="0"/>
    <n v="9.4"/>
    <n v="54.56"/>
    <n v="2"/>
    <n v="87.34"/>
    <n v="165.7"/>
    <n v="125.64"/>
    <n v="3.8764546470000001"/>
    <n v="40.381999999999998"/>
  </r>
  <r>
    <s v="south"/>
    <x v="1"/>
    <d v="2018-02-22T00:00:00"/>
    <x v="193"/>
    <n v="710812672"/>
    <s v="Male"/>
    <x v="0"/>
    <s v="Credit card"/>
    <x v="4"/>
    <n v="2.7"/>
    <n v="86.44"/>
    <n v="3"/>
    <n v="44.77"/>
    <n v="181.5"/>
    <n v="72.930000000000007"/>
    <n v="3.8764546470000001"/>
    <n v="69.09"/>
  </r>
  <r>
    <s v="East"/>
    <x v="0"/>
    <d v="2017-05-13T00:00:00"/>
    <x v="115"/>
    <n v="99374194"/>
    <s v="Male"/>
    <x v="1"/>
    <s v="Ewallet"/>
    <x v="3"/>
    <n v="2.2000000000000002"/>
    <n v="88.67"/>
    <n v="4"/>
    <n v="13.11"/>
    <n v="108.8896"/>
    <n v="258.36"/>
    <n v="3.8764546470000001"/>
    <n v="74.540000000000006"/>
  </r>
  <r>
    <s v="East"/>
    <x v="0"/>
    <d v="2018-05-23T00:00:00"/>
    <x v="24"/>
    <n v="550940667"/>
    <s v="Male"/>
    <x v="0"/>
    <s v="Credit card"/>
    <x v="4"/>
    <n v="5.0999999999999996"/>
    <n v="63.53"/>
    <n v="7"/>
    <n v="29.33"/>
    <n v="141.1309"/>
    <n v="173.74"/>
    <n v="3.8764546470000001"/>
    <n v="21.49"/>
  </r>
  <r>
    <s v="south"/>
    <x v="1"/>
    <d v="2017-05-31T00:00:00"/>
    <x v="161"/>
    <n v="97883206"/>
    <s v="Male"/>
    <x v="1"/>
    <s v="Ewallet"/>
    <x v="5"/>
    <n v="4.2"/>
    <n v="65.34"/>
    <n v="1"/>
    <n v="95.1"/>
    <n v="127.2508"/>
    <n v="56.5"/>
    <n v="3.8764546470000001"/>
    <n v="97.32"/>
  </r>
  <r>
    <s v="West"/>
    <x v="2"/>
    <d v="2017-06-21T00:00:00"/>
    <x v="2"/>
    <n v="363760421"/>
    <s v="Female"/>
    <x v="0"/>
    <s v="Cash"/>
    <x v="1"/>
    <n v="3.4"/>
    <n v="42.55"/>
    <n v="10"/>
    <n v="84.16"/>
    <n v="164.05950000000001"/>
    <n v="214.3"/>
    <n v="3.8764546470000001"/>
    <n v="34.130000000000003"/>
  </r>
  <r>
    <s v="East"/>
    <x v="0"/>
    <d v="2018-08-01T00:00:00"/>
    <x v="101"/>
    <n v="605260659"/>
    <s v="Male"/>
    <x v="0"/>
    <s v="Cash"/>
    <x v="3"/>
    <n v="1.9"/>
    <n v="49.53"/>
    <n v="6"/>
    <n v="48.26"/>
    <n v="171.64590000000001"/>
    <n v="534.36"/>
    <n v="3.8764546470000001"/>
    <n v="74.400000000000006"/>
  </r>
  <r>
    <s v="East"/>
    <x v="0"/>
    <d v="2017-10-01T00:00:00"/>
    <x v="97"/>
    <n v="344009820"/>
    <s v="Male"/>
    <x v="0"/>
    <s v="Credit card"/>
    <x v="2"/>
    <n v="2.7"/>
    <n v="17.73"/>
    <n v="4"/>
    <n v="58.98"/>
    <n v="144.84399999999999"/>
    <n v="93.16"/>
    <n v="3.8764546470000001"/>
    <n v="96.99"/>
  </r>
  <r>
    <s v="south"/>
    <x v="1"/>
    <d v="2018-10-02T00:00:00"/>
    <x v="106"/>
    <n v="822391315"/>
    <s v="Male"/>
    <x v="1"/>
    <s v="Ewallet"/>
    <x v="2"/>
    <n v="1"/>
    <n v="42.13"/>
    <n v="8"/>
    <n v="33.5"/>
    <n v="178.06659999999999"/>
    <n v="522.08000000000004"/>
    <n v="3.8764546470000001"/>
    <n v="96.91"/>
  </r>
  <r>
    <s v="south"/>
    <x v="1"/>
    <d v="2018-07-24T00:00:00"/>
    <x v="65"/>
    <n v="232538358"/>
    <s v="Male"/>
    <x v="0"/>
    <s v="Cash"/>
    <x v="5"/>
    <n v="4.7"/>
    <n v="21.95"/>
    <n v="1"/>
    <n v="99.17"/>
    <n v="144.1755"/>
    <n v="52.35"/>
    <n v="3.8764546470000001"/>
    <n v="98.03"/>
  </r>
  <r>
    <s v="West"/>
    <x v="2"/>
    <d v="2017-12-17T00:00:00"/>
    <x v="80"/>
    <n v="457165908"/>
    <s v="Male"/>
    <x v="0"/>
    <s v="Cash"/>
    <x v="1"/>
    <n v="7.1"/>
    <n v="91.51"/>
    <n v="1"/>
    <n v="40.729999999999997"/>
    <n v="115.8497"/>
    <n v="39.75"/>
    <n v="3.8764546470000001"/>
    <n v="75.52"/>
  </r>
  <r>
    <s v="East"/>
    <x v="0"/>
    <d v="2017-07-01T00:00:00"/>
    <x v="53"/>
    <n v="318911500"/>
    <s v="Female"/>
    <x v="1"/>
    <s v="Credit card"/>
    <x v="1"/>
    <n v="2.4"/>
    <n v="56.088999999999999"/>
    <n v="8"/>
    <n v="89.44"/>
    <n v="182.66300000000001"/>
    <n v="720.16"/>
    <n v="3.8764546470000001"/>
    <n v="27.41"/>
  </r>
  <r>
    <s v="West"/>
    <x v="2"/>
    <d v="2017-04-07T00:00:00"/>
    <x v="109"/>
    <n v="917284480"/>
    <s v="Female"/>
    <x v="0"/>
    <s v="Ewallet"/>
    <x v="1"/>
    <n v="9.6"/>
    <n v="90.385000000000005"/>
    <n v="8"/>
    <n v="63.62"/>
    <n v="107.9"/>
    <n v="96.8"/>
    <n v="3.8764546470000001"/>
    <n v="72.97"/>
  </r>
  <r>
    <s v="West"/>
    <x v="2"/>
    <d v="2018-07-08T00:00:00"/>
    <x v="177"/>
    <n v="985263172"/>
    <s v="Female"/>
    <x v="0"/>
    <s v="Ewallet"/>
    <x v="4"/>
    <n v="2.2000000000000002"/>
    <n v="92.423000000000002"/>
    <n v="10"/>
    <n v="65.98"/>
    <n v="144.566"/>
    <n v="332.1"/>
    <n v="3.8764546470000001"/>
    <n v="70.132000000000005"/>
  </r>
  <r>
    <s v="south"/>
    <x v="1"/>
    <d v="2018-11-06T00:00:00"/>
    <x v="147"/>
    <n v="595442131"/>
    <s v="Female"/>
    <x v="0"/>
    <s v="Credit card"/>
    <x v="5"/>
    <n v="6.9"/>
    <n v="64.513000000000005"/>
    <n v="8"/>
    <n v="60.86"/>
    <n v="122.1011"/>
    <n v="81.44"/>
    <n v="3.8764546470000001"/>
    <n v="82.852000000000004"/>
  </r>
  <r>
    <s v="West"/>
    <x v="2"/>
    <d v="2018-01-15T00:00:00"/>
    <x v="154"/>
    <n v="72851284"/>
    <s v="Male"/>
    <x v="0"/>
    <s v="Credit card"/>
    <x v="3"/>
    <n v="4"/>
    <n v="96.641999999999996"/>
    <n v="10"/>
    <n v="24.47"/>
    <n v="110.0817"/>
    <n v="319.89999999999998"/>
    <n v="3.8764546470000001"/>
    <n v="19.486000000000001"/>
  </r>
  <r>
    <s v="East"/>
    <x v="0"/>
    <d v="2017-03-23T00:00:00"/>
    <x v="16"/>
    <n v="20637566"/>
    <s v="Female"/>
    <x v="0"/>
    <s v="Ewallet"/>
    <x v="2"/>
    <n v="10"/>
    <n v="13.33"/>
    <n v="6"/>
    <n v="40.299999999999997"/>
    <n v="170.01439999999999"/>
    <n v="206.52"/>
    <n v="3.8764546470000001"/>
    <n v="81.93"/>
  </r>
  <r>
    <s v="East"/>
    <x v="0"/>
    <d v="2018-01-19T00:00:00"/>
    <x v="30"/>
    <n v="680138598"/>
    <s v="Female"/>
    <x v="0"/>
    <s v="Cash"/>
    <x v="4"/>
    <n v="9.1999999999999993"/>
    <n v="79.25"/>
    <n v="2"/>
    <n v="77.709999999999994"/>
    <n v="181.17410000000001"/>
    <n v="166.68"/>
    <n v="3.8764546470000001"/>
    <n v="48.773000000000003"/>
  </r>
  <r>
    <s v="East"/>
    <x v="0"/>
    <d v="2018-04-11T00:00:00"/>
    <x v="72"/>
    <n v="361060505"/>
    <s v="Male"/>
    <x v="1"/>
    <s v="Cash"/>
    <x v="3"/>
    <n v="7.7"/>
    <n v="57.52"/>
    <n v="7"/>
    <n v="53.31"/>
    <n v="164.78970000000001"/>
    <n v="319.06"/>
    <n v="3.8764546470000001"/>
    <n v="17.512"/>
  </r>
  <r>
    <s v="East"/>
    <x v="0"/>
    <d v="2017-05-26T00:00:00"/>
    <x v="126"/>
    <n v="271381271"/>
    <s v="Male"/>
    <x v="0"/>
    <s v="Ewallet"/>
    <x v="4"/>
    <n v="9.4"/>
    <n v="67.989999999999995"/>
    <n v="1"/>
    <n v="38.01"/>
    <n v="140.4468"/>
    <n v="87.9"/>
    <n v="3.8764546470000001"/>
    <n v="13.081"/>
  </r>
  <r>
    <s v="East"/>
    <x v="0"/>
    <d v="2018-02-08T00:00:00"/>
    <x v="170"/>
    <n v="736997731"/>
    <s v="Female"/>
    <x v="0"/>
    <s v="Ewallet"/>
    <x v="1"/>
    <n v="6.9"/>
    <n v="26.36"/>
    <n v="10"/>
    <n v="88.16"/>
    <n v="173.1"/>
    <n v="734.7"/>
    <n v="3.8764546470000001"/>
    <n v="53.255000000000003"/>
  </r>
  <r>
    <s v="south"/>
    <x v="1"/>
    <d v="2018-03-04T00:00:00"/>
    <x v="40"/>
    <n v="534578827"/>
    <s v="Female"/>
    <x v="1"/>
    <s v="Ewallet"/>
    <x v="5"/>
    <n v="3.4"/>
    <n v="96.91"/>
    <n v="8"/>
    <n v="86.98"/>
    <n v="123.8661"/>
    <n v="97.52"/>
    <n v="3.8764546470000001"/>
    <n v="81"/>
  </r>
  <r>
    <s v="East"/>
    <x v="0"/>
    <d v="2018-04-18T00:00:00"/>
    <x v="91"/>
    <n v="877144372"/>
    <s v="Male"/>
    <x v="0"/>
    <s v="Ewallet"/>
    <x v="3"/>
    <n v="9"/>
    <n v="45.69"/>
    <n v="10"/>
    <n v="12.16"/>
    <n v="136.1215"/>
    <n v="769.2"/>
    <n v="3.8764546470000001"/>
    <n v="23.23"/>
  </r>
  <r>
    <s v="south"/>
    <x v="1"/>
    <d v="2018-09-03T00:00:00"/>
    <x v="35"/>
    <n v="367445177"/>
    <s v="Female"/>
    <x v="1"/>
    <s v="Cash"/>
    <x v="0"/>
    <n v="4"/>
    <n v="61.98"/>
    <n v="5"/>
    <n v="55.3"/>
    <n v="175.80420000000001"/>
    <n v="418.3"/>
    <n v="3.8764546470000001"/>
    <n v="30.06"/>
  </r>
  <r>
    <s v="West"/>
    <x v="2"/>
    <d v="2017-06-22T00:00:00"/>
    <x v="1"/>
    <n v="64434650"/>
    <s v="Female"/>
    <x v="1"/>
    <s v="Cash"/>
    <x v="1"/>
    <n v="2.2999999999999998"/>
    <n v="86.59"/>
    <n v="8"/>
    <n v="83"/>
    <n v="124.8181"/>
    <n v="463.28"/>
    <n v="3.8764546470000001"/>
    <n v="29.27"/>
  </r>
  <r>
    <s v="south"/>
    <x v="1"/>
    <d v="2018-03-27T00:00:00"/>
    <x v="38"/>
    <n v="107444990"/>
    <s v="Female"/>
    <x v="0"/>
    <s v="Credit card"/>
    <x v="5"/>
    <n v="2.1"/>
    <n v="45.96"/>
    <n v="5"/>
    <n v="11.6"/>
    <n v="176.2"/>
    <n v="462.45"/>
    <n v="3.8764546470000001"/>
    <n v="28.48"/>
  </r>
  <r>
    <s v="West"/>
    <x v="2"/>
    <d v="2017-12-16T00:00:00"/>
    <x v="52"/>
    <n v="910538824"/>
    <s v="Male"/>
    <x v="1"/>
    <s v="Cash"/>
    <x v="1"/>
    <n v="6"/>
    <n v="13.7"/>
    <n v="5"/>
    <n v="65.63"/>
    <n v="147.80000000000001"/>
    <n v="141.9"/>
    <n v="3.8764546470000001"/>
    <n v="96.16"/>
  </r>
  <r>
    <s v="West"/>
    <x v="2"/>
    <d v="2017-12-17T00:00:00"/>
    <x v="82"/>
    <n v="100983317"/>
    <s v="Male"/>
    <x v="0"/>
    <s v="Credit card"/>
    <x v="1"/>
    <n v="9.9"/>
    <n v="84.605999999999995"/>
    <n v="6"/>
    <n v="31.67"/>
    <n v="164.5"/>
    <n v="302.7"/>
    <n v="3.8764546470000001"/>
    <n v="36.44"/>
  </r>
  <r>
    <s v="West"/>
    <x v="2"/>
    <d v="2018-02-17T00:00:00"/>
    <x v="56"/>
    <n v="208091870"/>
    <s v="Male"/>
    <x v="1"/>
    <s v="Credit card"/>
    <x v="0"/>
    <n v="5.0999999999999996"/>
    <n v="66.099999999999994"/>
    <n v="8"/>
    <n v="91.9"/>
    <n v="175.7"/>
    <n v="793.28"/>
    <n v="3.8764546470000001"/>
    <n v="96.27"/>
  </r>
  <r>
    <s v="south"/>
    <x v="1"/>
    <d v="2018-09-26T00:00:00"/>
    <x v="173"/>
    <n v="547831016"/>
    <s v="Male"/>
    <x v="1"/>
    <s v="Ewallet"/>
    <x v="5"/>
    <n v="1.1000000000000001"/>
    <n v="56.28"/>
    <n v="7"/>
    <n v="98.45"/>
    <n v="132.19999999999999"/>
    <n v="425.18"/>
    <n v="3.8764546470000001"/>
    <n v="45.07"/>
  </r>
  <r>
    <s v="south"/>
    <x v="1"/>
    <d v="2017-06-22T00:00:00"/>
    <x v="148"/>
    <n v="199454404"/>
    <s v="Female"/>
    <x v="0"/>
    <s v="Cash"/>
    <x v="4"/>
    <n v="8"/>
    <n v="15.196"/>
    <n v="6"/>
    <n v="55.66"/>
    <n v="169.2"/>
    <n v="283.62"/>
    <n v="3.8764546470000001"/>
    <n v="62.22"/>
  </r>
  <r>
    <s v="south"/>
    <x v="1"/>
    <d v="2017-05-17T00:00:00"/>
    <x v="29"/>
    <n v="147329996"/>
    <s v="Male"/>
    <x v="0"/>
    <s v="Cash"/>
    <x v="0"/>
    <n v="9.6"/>
    <n v="28.6"/>
    <n v="7"/>
    <n v="22.27"/>
    <n v="170.8"/>
    <n v="599.20000000000005"/>
    <n v="3.8764546470000001"/>
    <n v="94.968999999999994"/>
  </r>
  <r>
    <s v="East"/>
    <x v="0"/>
    <d v="2018-03-26T00:00:00"/>
    <x v="62"/>
    <n v="520262816"/>
    <s v="Male"/>
    <x v="0"/>
    <s v="Ewallet"/>
    <x v="4"/>
    <n v="7.6"/>
    <n v="82.11"/>
    <n v="9"/>
    <n v="71.87"/>
    <n v="140.1"/>
    <n v="315.36"/>
    <n v="3.8764546470000001"/>
    <n v="82.97"/>
  </r>
  <r>
    <s v="south"/>
    <x v="1"/>
    <d v="2017-11-01T00:00:00"/>
    <x v="98"/>
    <n v="994549595"/>
    <s v="Female"/>
    <x v="0"/>
    <s v="Credit card"/>
    <x v="1"/>
    <n v="5.2"/>
    <n v="53.89"/>
    <n v="9"/>
    <n v="47.47"/>
    <n v="160.9"/>
    <n v="403.56"/>
    <n v="3.8764546470000001"/>
    <n v="16.800999999999998"/>
  </r>
  <r>
    <s v="West"/>
    <x v="2"/>
    <d v="2017-04-12T00:00:00"/>
    <x v="76"/>
    <n v="291660934"/>
    <s v="Male"/>
    <x v="1"/>
    <s v="Ewallet"/>
    <x v="2"/>
    <n v="1.9"/>
    <n v="12.2"/>
    <n v="4"/>
    <n v="44.03"/>
    <n v="123.6306"/>
    <n v="183.88"/>
    <n v="3.8764546470000001"/>
    <n v="77.891999999999996"/>
  </r>
  <r>
    <s v="East"/>
    <x v="0"/>
    <d v="2017-11-13T00:00:00"/>
    <x v="50"/>
    <n v="104237793"/>
    <s v="Female"/>
    <x v="0"/>
    <s v="Credit card"/>
    <x v="0"/>
    <n v="9.5"/>
    <n v="10.5"/>
    <n v="5"/>
    <n v="45.29"/>
    <n v="112.1631"/>
    <n v="138.65"/>
    <n v="3.8764546470000001"/>
    <n v="46.003999999999998"/>
  </r>
  <r>
    <s v="East"/>
    <x v="0"/>
    <d v="2017-06-04T00:00:00"/>
    <x v="180"/>
    <n v="467160102"/>
    <s v="Male"/>
    <x v="1"/>
    <s v="Cash"/>
    <x v="4"/>
    <n v="2"/>
    <n v="64.17"/>
    <n v="7"/>
    <n v="36.840000000000003"/>
    <n v="160.6979"/>
    <n v="80.709999999999994"/>
    <n v="3.8764546470000001"/>
    <n v="90.313000000000002"/>
  </r>
  <r>
    <s v="south"/>
    <x v="1"/>
    <d v="2017-11-20T00:00:00"/>
    <x v="1"/>
    <n v="490126364"/>
    <s v="Female"/>
    <x v="1"/>
    <s v="Ewallet"/>
    <x v="0"/>
    <n v="5.3"/>
    <n v="22.97"/>
    <n v="2"/>
    <n v="37.29"/>
    <n v="104.39239999999999"/>
    <n v="116.64"/>
    <n v="3.8764546470000001"/>
    <n v="35.985999999999997"/>
  </r>
  <r>
    <s v="south"/>
    <x v="1"/>
    <d v="2017-12-18T00:00:00"/>
    <x v="189"/>
    <n v="83936740"/>
    <s v="Female"/>
    <x v="0"/>
    <s v="Cash"/>
    <x v="2"/>
    <n v="8.1"/>
    <n v="93.33"/>
    <n v="4"/>
    <n v="79.430000000000007"/>
    <n v="154"/>
    <n v="313.52"/>
    <n v="3.8764546470000001"/>
    <n v="92.290999999999997"/>
  </r>
  <r>
    <s v="south"/>
    <x v="1"/>
    <d v="2018-07-25T00:00:00"/>
    <x v="186"/>
    <n v="770665901"/>
    <s v="Male"/>
    <x v="1"/>
    <s v="Credit card"/>
    <x v="0"/>
    <n v="2.6"/>
    <n v="66.099999999999994"/>
    <n v="10"/>
    <n v="62.61"/>
    <n v="145.30000000000001"/>
    <n v="846.1"/>
    <n v="3.8764546470000001"/>
    <n v="82.72"/>
  </r>
  <r>
    <s v="West"/>
    <x v="2"/>
    <d v="2018-06-17T00:00:00"/>
    <x v="16"/>
    <n v="142886529"/>
    <s v="Female"/>
    <x v="1"/>
    <s v="Credit card"/>
    <x v="0"/>
    <n v="6.6"/>
    <n v="66.664000000000001"/>
    <n v="5"/>
    <n v="12.27"/>
    <n v="101.7"/>
    <n v="414.4"/>
    <n v="3.8764546470000001"/>
    <n v="44.59"/>
  </r>
  <r>
    <s v="East"/>
    <x v="0"/>
    <d v="2017-08-04T00:00:00"/>
    <x v="142"/>
    <n v="206270899"/>
    <s v="Female"/>
    <x v="0"/>
    <s v="Ewallet"/>
    <x v="4"/>
    <n v="7"/>
    <n v="60.692"/>
    <n v="2"/>
    <n v="47.79"/>
    <n v="121.3"/>
    <n v="159.08000000000001"/>
    <n v="3.8764546470000001"/>
    <n v="31.39"/>
  </r>
  <r>
    <s v="West"/>
    <x v="2"/>
    <d v="2017-10-23T00:00:00"/>
    <x v="74"/>
    <n v="555928124"/>
    <s v="Female"/>
    <x v="1"/>
    <s v="Credit card"/>
    <x v="2"/>
    <n v="1"/>
    <n v="90.269000000000005"/>
    <n v="10"/>
    <n v="54.97"/>
    <n v="187.1"/>
    <n v="490.1"/>
    <n v="3.8764546470000001"/>
    <n v="10.009"/>
  </r>
  <r>
    <s v="West"/>
    <x v="2"/>
    <d v="2018-08-16T00:00:00"/>
    <x v="174"/>
    <n v="493221294"/>
    <s v="Female"/>
    <x v="0"/>
    <s v="Credit card"/>
    <x v="4"/>
    <n v="5.4"/>
    <n v="93.39"/>
    <n v="3"/>
    <n v="87.34"/>
    <n v="105.5"/>
    <n v="87.45"/>
    <n v="3.8764546470000001"/>
    <n v="29.052"/>
  </r>
  <r>
    <s v="south"/>
    <x v="1"/>
    <d v="2018-06-24T00:00:00"/>
    <x v="19"/>
    <n v="843871421"/>
    <s v="Female"/>
    <x v="1"/>
    <s v="Ewallet"/>
    <x v="1"/>
    <n v="8.1"/>
    <n v="85.415000000000006"/>
    <n v="4"/>
    <n v="18.579999999999998"/>
    <n v="165.6"/>
    <n v="224.52"/>
    <n v="3.8764546470000001"/>
    <n v="33.746000000000002"/>
  </r>
  <r>
    <s v="East"/>
    <x v="0"/>
    <d v="2018-07-08T00:00:00"/>
    <x v="196"/>
    <n v="441254079"/>
    <s v="Female"/>
    <x v="1"/>
    <s v="Cash"/>
    <x v="2"/>
    <n v="4.8"/>
    <n v="28.26"/>
    <n v="8"/>
    <n v="27.99"/>
    <n v="128.8416"/>
    <n v="744.96"/>
    <n v="3.8764546470000001"/>
    <n v="67.177999999999997"/>
  </r>
  <r>
    <s v="East"/>
    <x v="0"/>
    <d v="2017-03-11T00:00:00"/>
    <x v="126"/>
    <n v="802009355"/>
    <s v="Male"/>
    <x v="0"/>
    <s v="Ewallet"/>
    <x v="5"/>
    <n v="4"/>
    <n v="19.43"/>
    <n v="8"/>
    <n v="61.42"/>
    <n v="133.04220000000001"/>
    <n v="410.72"/>
    <n v="3.8764546470000001"/>
    <n v="87.483000000000004"/>
  </r>
  <r>
    <s v="East"/>
    <x v="0"/>
    <d v="2017-07-09T00:00:00"/>
    <x v="140"/>
    <n v="554859607"/>
    <s v="Female"/>
    <x v="0"/>
    <s v="Cash"/>
    <x v="4"/>
    <n v="4"/>
    <n v="99.92"/>
    <n v="3"/>
    <n v="75.22"/>
    <n v="172.89769999999999"/>
    <n v="298.8"/>
    <n v="3.8764546470000001"/>
    <n v="73.429000000000002"/>
  </r>
  <r>
    <s v="south"/>
    <x v="1"/>
    <d v="2018-06-16T00:00:00"/>
    <x v="8"/>
    <n v="176503720"/>
    <s v="Female"/>
    <x v="1"/>
    <s v="Cash"/>
    <x v="1"/>
    <n v="9.9"/>
    <n v="85.531000000000006"/>
    <n v="6"/>
    <n v="92.48"/>
    <n v="134.9812"/>
    <n v="212.94"/>
    <n v="3.8764546470000001"/>
    <n v="86.74"/>
  </r>
  <r>
    <s v="south"/>
    <x v="1"/>
    <d v="2017-03-07T00:00:00"/>
    <x v="67"/>
    <n v="305414715"/>
    <s v="Male"/>
    <x v="0"/>
    <s v="Credit card"/>
    <x v="3"/>
    <n v="5.8"/>
    <n v="65.751000000000005"/>
    <n v="1"/>
    <n v="70.31"/>
    <n v="122.1883"/>
    <n v="42.85"/>
    <n v="3.8764546470000001"/>
    <n v="29.818000000000001"/>
  </r>
  <r>
    <s v="East"/>
    <x v="0"/>
    <d v="2017-08-05T00:00:00"/>
    <x v="188"/>
    <n v="647917785"/>
    <s v="Female"/>
    <x v="1"/>
    <s v="Cash"/>
    <x v="5"/>
    <n v="7"/>
    <n v="18.478999999999999"/>
    <n v="4"/>
    <n v="64.400000000000006"/>
    <n v="137.1"/>
    <n v="378.68"/>
    <n v="3.8764546470000001"/>
    <n v="87.742999999999995"/>
  </r>
  <r>
    <s v="West"/>
    <x v="2"/>
    <d v="2018-01-09T00:00:00"/>
    <x v="164"/>
    <n v="410976932"/>
    <s v="Male"/>
    <x v="1"/>
    <s v="Ewallet"/>
    <x v="2"/>
    <n v="4"/>
    <n v="63.981000000000002"/>
    <n v="3"/>
    <n v="68.03"/>
    <n v="160.19999999999999"/>
    <n v="206.91"/>
    <n v="3.8764546470000001"/>
    <n v="86.346999999999994"/>
  </r>
  <r>
    <s v="West"/>
    <x v="2"/>
    <d v="2017-07-10T00:00:00"/>
    <x v="131"/>
    <n v="35860895"/>
    <s v="Female"/>
    <x v="0"/>
    <s v="Ewallet"/>
    <x v="1"/>
    <n v="8"/>
    <n v="73.203000000000003"/>
    <n v="3"/>
    <n v="32.700000000000003"/>
    <n v="131.5"/>
    <n v="78.78"/>
    <n v="3.8764546470000001"/>
    <n v="96.808999999999997"/>
  </r>
  <r>
    <s v="south"/>
    <x v="1"/>
    <d v="2018-03-31T00:00:00"/>
    <x v="177"/>
    <n v="111756664"/>
    <s v="Female"/>
    <x v="0"/>
    <s v="Credit card"/>
    <x v="2"/>
    <n v="7"/>
    <n v="91.183000000000007"/>
    <n v="9"/>
    <n v="15.73"/>
    <n v="165.5"/>
    <n v="322.11"/>
    <n v="3.8764546470000001"/>
    <n v="53.005000000000003"/>
  </r>
  <r>
    <s v="West"/>
    <x v="2"/>
    <d v="2017-04-23T00:00:00"/>
    <x v="178"/>
    <n v="862083072"/>
    <s v="Female"/>
    <x v="1"/>
    <s v="Cash"/>
    <x v="2"/>
    <n v="4"/>
    <n v="32.299999999999997"/>
    <n v="6"/>
    <n v="54.58"/>
    <n v="111.5"/>
    <n v="98.22"/>
    <n v="3.8764546470000001"/>
    <n v="80.281999999999996"/>
  </r>
  <r>
    <s v="south"/>
    <x v="1"/>
    <d v="2018-04-16T00:00:00"/>
    <x v="186"/>
    <n v="143331774"/>
    <s v="Female"/>
    <x v="0"/>
    <s v="Credit card"/>
    <x v="2"/>
    <n v="7.1"/>
    <n v="11.36"/>
    <n v="2"/>
    <n v="48.08"/>
    <n v="171.8"/>
    <n v="25.46"/>
    <n v="3.8764546470000001"/>
    <n v="16.7"/>
  </r>
  <r>
    <s v="south"/>
    <x v="1"/>
    <d v="2018-11-27T00:00:00"/>
    <x v="62"/>
    <n v="548573145"/>
    <s v="Female"/>
    <x v="1"/>
    <s v="Credit card"/>
    <x v="3"/>
    <n v="2.7"/>
    <n v="89.65"/>
    <n v="7"/>
    <n v="63.66"/>
    <n v="101.2"/>
    <n v="581.98"/>
    <n v="3.8764546470000001"/>
    <n v="64.064999999999998"/>
  </r>
  <r>
    <s v="south"/>
    <x v="1"/>
    <d v="2017-03-17T00:00:00"/>
    <x v="150"/>
    <n v="530118650"/>
    <s v="Female"/>
    <x v="0"/>
    <s v="Ewallet"/>
    <x v="3"/>
    <n v="1.9"/>
    <n v="28.774000000000001"/>
    <n v="6"/>
    <n v="55.57"/>
    <n v="103.1"/>
    <n v="211.32"/>
    <n v="3.8764546470000001"/>
    <n v="47.109000000000002"/>
  </r>
  <r>
    <s v="West"/>
    <x v="2"/>
    <d v="2018-02-04T00:00:00"/>
    <x v="142"/>
    <n v="722611629"/>
    <s v="Female"/>
    <x v="1"/>
    <s v="Ewallet"/>
    <x v="1"/>
    <n v="6.6"/>
    <n v="15.683"/>
    <n v="4"/>
    <n v="13.87"/>
    <n v="176.77719999999999"/>
    <n v="55.12"/>
    <n v="3.8764546470000001"/>
    <n v="43.936"/>
  </r>
  <r>
    <s v="West"/>
    <x v="2"/>
    <d v="2017-11-29T00:00:00"/>
    <x v="145"/>
    <n v="374676795"/>
    <s v="Male"/>
    <x v="0"/>
    <s v="Credit card"/>
    <x v="3"/>
    <n v="1.6"/>
    <n v="38.479999999999997"/>
    <n v="1"/>
    <n v="19.91"/>
    <n v="139.08680000000001"/>
    <n v="88.31"/>
    <n v="3.8764546470000001"/>
    <n v="44.841000000000001"/>
  </r>
  <r>
    <s v="East"/>
    <x v="0"/>
    <d v="2018-06-23T00:00:00"/>
    <x v="54"/>
    <n v="45199616"/>
    <s v="Female"/>
    <x v="0"/>
    <s v="Credit card"/>
    <x v="0"/>
    <n v="2"/>
    <n v="51.1"/>
    <n v="9"/>
    <n v="78.84"/>
    <n v="117.996"/>
    <n v="356.58"/>
    <n v="3.8764546470000001"/>
    <n v="74.709999999999994"/>
  </r>
  <r>
    <s v="West"/>
    <x v="2"/>
    <d v="2017-09-23T00:00:00"/>
    <x v="59"/>
    <n v="826761024"/>
    <s v="Female"/>
    <x v="1"/>
    <s v="Credit card"/>
    <x v="1"/>
    <n v="3.5"/>
    <n v="56.127000000000002"/>
    <n v="9"/>
    <n v="70.73"/>
    <n v="104.91630000000001"/>
    <n v="794.25"/>
    <n v="3.8764546470000001"/>
    <n v="52.52"/>
  </r>
  <r>
    <s v="West"/>
    <x v="2"/>
    <d v="2018-11-06T00:00:00"/>
    <x v="175"/>
    <n v="920649848"/>
    <s v="Male"/>
    <x v="1"/>
    <s v="Ewallet"/>
    <x v="3"/>
    <n v="9"/>
    <n v="30.06"/>
    <n v="2"/>
    <n v="10.69"/>
    <n v="101.6678"/>
    <n v="50.62"/>
    <n v="3.8764546470000001"/>
    <n v="43.537999999999997"/>
  </r>
  <r>
    <s v="West"/>
    <x v="2"/>
    <d v="2018-05-16T00:00:00"/>
    <x v="116"/>
    <n v="65989440"/>
    <s v="Male"/>
    <x v="1"/>
    <s v="Ewallet"/>
    <x v="2"/>
    <n v="7.2"/>
    <n v="74.7"/>
    <n v="6"/>
    <n v="77.94"/>
    <n v="164.4316"/>
    <n v="599.52"/>
    <n v="3.8764546470000001"/>
    <n v="40.198"/>
  </r>
  <r>
    <s v="south"/>
    <x v="1"/>
    <d v="2017-12-30T00:00:00"/>
    <x v="125"/>
    <n v="393004704"/>
    <s v="Female"/>
    <x v="0"/>
    <s v="Credit card"/>
    <x v="5"/>
    <n v="5"/>
    <n v="74.06"/>
    <n v="2"/>
    <n v="48.52"/>
    <n v="153.5444"/>
    <n v="166.7"/>
    <n v="3.8764546470000001"/>
    <n v="45.884999999999998"/>
  </r>
  <r>
    <s v="East"/>
    <x v="0"/>
    <d v="2018-02-11T00:00:00"/>
    <x v="6"/>
    <n v="87605819"/>
    <s v="Female"/>
    <x v="1"/>
    <s v="Ewallet"/>
    <x v="4"/>
    <n v="1"/>
    <n v="80.58"/>
    <n v="10"/>
    <n v="73.959999999999994"/>
    <n v="133.03059999999999"/>
    <n v="744.4"/>
    <n v="3.8764546470000001"/>
    <n v="78.27"/>
  </r>
  <r>
    <s v="south"/>
    <x v="1"/>
    <d v="2018-06-03T00:00:00"/>
    <x v="117"/>
    <n v="776266774"/>
    <s v="Male"/>
    <x v="1"/>
    <s v="Ewallet"/>
    <x v="0"/>
    <n v="6.3"/>
    <n v="77.91"/>
    <n v="7"/>
    <n v="41.66"/>
    <n v="131.3878"/>
    <n v="448.56"/>
    <n v="3.8764546470000001"/>
    <n v="73.236999999999995"/>
  </r>
  <r>
    <s v="West"/>
    <x v="2"/>
    <d v="2017-06-27T00:00:00"/>
    <x v="72"/>
    <n v="63059317"/>
    <s v="Female"/>
    <x v="1"/>
    <s v="Ewallet"/>
    <x v="2"/>
    <n v="4.5"/>
    <n v="19.68"/>
    <n v="6"/>
    <n v="79.78"/>
    <n v="113"/>
    <n v="378.9"/>
    <n v="3.8764546470000001"/>
    <n v="63.585000000000001"/>
  </r>
  <r>
    <s v="south"/>
    <x v="1"/>
    <d v="2018-12-25T00:00:00"/>
    <x v="4"/>
    <n v="640336163"/>
    <s v="Male"/>
    <x v="0"/>
    <s v="Ewallet"/>
    <x v="2"/>
    <n v="3.6"/>
    <n v="42.6"/>
    <n v="3"/>
    <n v="29.46"/>
    <n v="154.9"/>
    <n v="257.16000000000003"/>
    <n v="3.8764546470000001"/>
    <n v="27.855"/>
  </r>
  <r>
    <s v="south"/>
    <x v="1"/>
    <d v="2018-02-23T00:00:00"/>
    <x v="107"/>
    <n v="459888961"/>
    <s v="Female"/>
    <x v="1"/>
    <s v="Ewallet"/>
    <x v="0"/>
    <n v="6.5"/>
    <n v="78.11"/>
    <n v="7"/>
    <n v="39.409999999999997"/>
    <n v="129.5"/>
    <n v="552.23"/>
    <n v="3.8764546470000001"/>
    <n v="35.33"/>
  </r>
  <r>
    <s v="East"/>
    <x v="0"/>
    <d v="2017-07-10T00:00:00"/>
    <x v="103"/>
    <n v="680419280"/>
    <s v="Female"/>
    <x v="1"/>
    <s v="Cash"/>
    <x v="3"/>
    <n v="2"/>
    <n v="46.26"/>
    <n v="5"/>
    <n v="26.35"/>
    <n v="110.8"/>
    <n v="447.4"/>
    <n v="3.8764546470000001"/>
    <n v="46.79"/>
  </r>
  <r>
    <s v="East"/>
    <x v="0"/>
    <d v="2018-01-25T00:00:00"/>
    <x v="87"/>
    <n v="731712701"/>
    <s v="Female"/>
    <x v="0"/>
    <s v="Cash"/>
    <x v="0"/>
    <n v="9"/>
    <n v="31.76"/>
    <n v="3"/>
    <n v="65.77"/>
    <n v="173.6"/>
    <n v="276.27"/>
    <n v="3.8764546470000001"/>
    <n v="85.08"/>
  </r>
  <r>
    <s v="south"/>
    <x v="1"/>
    <d v="2017-11-04T00:00:00"/>
    <x v="111"/>
    <n v="750827779"/>
    <s v="Female"/>
    <x v="1"/>
    <s v="Ewallet"/>
    <x v="4"/>
    <n v="3"/>
    <n v="53.53"/>
    <n v="6"/>
    <n v="18.14"/>
    <n v="164.3"/>
    <n v="343.74"/>
    <n v="3.8764546470000001"/>
    <n v="10.49"/>
  </r>
  <r>
    <s v="East"/>
    <x v="0"/>
    <d v="2018-05-22T00:00:00"/>
    <x v="156"/>
    <n v="355072818"/>
    <s v="Male"/>
    <x v="1"/>
    <s v="Ewallet"/>
    <x v="4"/>
    <n v="7"/>
    <n v="46.98"/>
    <n v="4"/>
    <n v="68.97"/>
    <n v="131.4"/>
    <n v="266.08"/>
    <n v="3.8764546470000001"/>
    <n v="14.936999999999999"/>
  </r>
  <r>
    <s v="south"/>
    <x v="1"/>
    <d v="2017-05-08T00:00:00"/>
    <x v="87"/>
    <n v="580900220"/>
    <s v="Male"/>
    <x v="0"/>
    <s v="Cash"/>
    <x v="5"/>
    <n v="1.5"/>
    <n v="87"/>
    <n v="9"/>
    <n v="78.92"/>
    <n v="179.4"/>
    <n v="898.38"/>
    <n v="3.8764546470000001"/>
    <n v="49.222999999999999"/>
  </r>
  <r>
    <s v="East"/>
    <x v="0"/>
    <d v="2018-06-28T00:00:00"/>
    <x v="125"/>
    <n v="570013405"/>
    <s v="Female"/>
    <x v="1"/>
    <s v="Ewallet"/>
    <x v="2"/>
    <n v="5.9"/>
    <n v="57.5"/>
    <n v="10"/>
    <n v="48.96"/>
    <n v="133.5669"/>
    <n v="456.8"/>
    <n v="3.8764546470000001"/>
    <n v="98.283000000000001"/>
  </r>
  <r>
    <s v="East"/>
    <x v="0"/>
    <d v="2018-10-06T00:00:00"/>
    <x v="104"/>
    <n v="60696412"/>
    <s v="Male"/>
    <x v="1"/>
    <s v="Credit card"/>
    <x v="0"/>
    <n v="1.9"/>
    <n v="42.6"/>
    <n v="5"/>
    <n v="79.069999999999993"/>
    <n v="157.4486"/>
    <n v="253.95"/>
    <n v="3.8764546470000001"/>
    <n v="38.959000000000003"/>
  </r>
  <r>
    <s v="East"/>
    <x v="0"/>
    <d v="2018-07-06T00:00:00"/>
    <x v="109"/>
    <n v="169087338"/>
    <s v="Male"/>
    <x v="0"/>
    <s v="Cash"/>
    <x v="0"/>
    <n v="6.4"/>
    <n v="90.2"/>
    <n v="7"/>
    <n v="90.78"/>
    <n v="136"/>
    <n v="70.56"/>
    <n v="3.8764546470000001"/>
    <n v="45.948999999999998"/>
  </r>
  <r>
    <s v="East"/>
    <x v="0"/>
    <d v="2017-10-22T00:00:00"/>
    <x v="155"/>
    <n v="366603737"/>
    <s v="Female"/>
    <x v="1"/>
    <s v="Credit card"/>
    <x v="1"/>
    <n v="5"/>
    <n v="71.099999999999994"/>
    <n v="7"/>
    <n v="64.19"/>
    <n v="151.69999999999999"/>
    <n v="657.16"/>
    <n v="3.8764546470000001"/>
    <n v="39.31"/>
  </r>
  <r>
    <s v="south"/>
    <x v="1"/>
    <d v="2018-04-21T00:00:00"/>
    <x v="159"/>
    <n v="99422534"/>
    <s v="Male"/>
    <x v="0"/>
    <s v="Credit card"/>
    <x v="1"/>
    <n v="6"/>
    <n v="93.3"/>
    <n v="2"/>
    <n v="36.32"/>
    <n v="132.69999999999999"/>
    <n v="168.5"/>
    <n v="3.8764546470000001"/>
    <n v="73.64"/>
  </r>
  <r>
    <s v="West"/>
    <x v="2"/>
    <d v="2017-06-24T00:00:00"/>
    <x v="129"/>
    <n v="806742879"/>
    <s v="Male"/>
    <x v="0"/>
    <s v="Ewallet"/>
    <x v="5"/>
    <n v="1.4"/>
    <n v="45.1"/>
    <n v="1"/>
    <n v="60.27"/>
    <n v="104.2"/>
    <n v="53.78"/>
    <n v="3.8764546470000001"/>
    <n v="12.84"/>
  </r>
  <r>
    <s v="south"/>
    <x v="1"/>
    <d v="2018-03-09T00:00:00"/>
    <x v="196"/>
    <n v="174295397"/>
    <s v="Male"/>
    <x v="0"/>
    <s v="Ewallet"/>
    <x v="2"/>
    <n v="1.8"/>
    <n v="45.08"/>
    <n v="5"/>
    <n v="80.27"/>
    <n v="115.2"/>
    <n v="179.05"/>
    <n v="3.8764546470000001"/>
    <n v="19.53"/>
  </r>
  <r>
    <s v="West"/>
    <x v="2"/>
    <d v="2017-12-07T00:00:00"/>
    <x v="157"/>
    <n v="229367866"/>
    <s v="Female"/>
    <x v="1"/>
    <s v="Ewallet"/>
    <x v="4"/>
    <n v="6"/>
    <n v="27.6"/>
    <n v="8"/>
    <n v="62.04"/>
    <n v="150.9"/>
    <n v="211.44"/>
    <n v="3.8764546470000001"/>
    <n v="29.31"/>
  </r>
  <r>
    <s v="West"/>
    <x v="2"/>
    <d v="2018-10-12T00:00:00"/>
    <x v="30"/>
    <n v="133521832"/>
    <s v="Male"/>
    <x v="0"/>
    <s v="Ewallet"/>
    <x v="0"/>
    <n v="2"/>
    <n v="61.75"/>
    <n v="3"/>
    <n v="64.81"/>
    <n v="189"/>
    <n v="119.73"/>
    <n v="3.8764546470000001"/>
    <n v="62.16"/>
  </r>
  <r>
    <s v="West"/>
    <x v="2"/>
    <d v="2017-09-22T00:00:00"/>
    <x v="18"/>
    <n v="178623834"/>
    <s v="Female"/>
    <x v="0"/>
    <s v="Ewallet"/>
    <x v="2"/>
    <n v="1.1000000000000001"/>
    <n v="95.9"/>
    <n v="3"/>
    <n v="52.35"/>
    <n v="148.15170000000001"/>
    <n v="65.7"/>
    <n v="3.8764546470000001"/>
    <n v="15.34"/>
  </r>
  <r>
    <s v="West"/>
    <x v="2"/>
    <d v="2018-03-18T00:00:00"/>
    <x v="77"/>
    <n v="833112563"/>
    <s v="Female"/>
    <x v="0"/>
    <s v="Ewallet"/>
    <x v="4"/>
    <n v="3"/>
    <n v="37.44"/>
    <n v="4"/>
    <n v="64.67"/>
    <n v="160.6275"/>
    <n v="251.4"/>
    <n v="3.8764546470000001"/>
    <n v="72.23"/>
  </r>
  <r>
    <s v="south"/>
    <x v="1"/>
    <d v="2017-09-07T00:00:00"/>
    <x v="7"/>
    <n v="652442446"/>
    <s v="Female"/>
    <x v="0"/>
    <s v="Cash"/>
    <x v="4"/>
    <n v="2.5"/>
    <n v="55.1"/>
    <n v="4"/>
    <n v="89.11"/>
    <n v="100.42959999999999"/>
    <n v="84.16"/>
    <n v="3.8764546470000001"/>
    <n v="79.03"/>
  </r>
  <r>
    <s v="West"/>
    <x v="2"/>
    <d v="2018-12-26T00:00:00"/>
    <x v="178"/>
    <n v="24406517"/>
    <s v="Male"/>
    <x v="0"/>
    <s v="Cash"/>
    <x v="2"/>
    <n v="9"/>
    <n v="96.5"/>
    <n v="6"/>
    <n v="33.380000000000003"/>
    <n v="105.47150000000001"/>
    <n v="395.46"/>
    <n v="3.8764546470000001"/>
    <n v="31.774000000000001"/>
  </r>
  <r>
    <s v="East"/>
    <x v="0"/>
    <d v="2018-05-23T00:00:00"/>
    <x v="85"/>
    <n v="97323848"/>
    <s v="Female"/>
    <x v="1"/>
    <s v="Cash"/>
    <x v="5"/>
    <n v="3"/>
    <n v="55.9"/>
    <n v="7"/>
    <n v="49.33"/>
    <n v="129.2876"/>
    <n v="297.99"/>
    <n v="3.8764546470000001"/>
    <n v="51.966000000000001"/>
  </r>
  <r>
    <s v="south"/>
    <x v="1"/>
    <d v="2017-03-10T00:00:00"/>
    <x v="184"/>
    <n v="796643022"/>
    <s v="Male"/>
    <x v="0"/>
    <s v="Cash"/>
    <x v="4"/>
    <n v="6"/>
    <n v="59.7"/>
    <n v="9"/>
    <n v="25.62"/>
    <n v="163.97839999999999"/>
    <n v="454.41"/>
    <n v="3.8764546470000001"/>
    <n v="92.641999999999996"/>
  </r>
  <r>
    <s v="West"/>
    <x v="2"/>
    <d v="2018-01-26T00:00:00"/>
    <x v="33"/>
    <n v="870302133"/>
    <s v="Male"/>
    <x v="1"/>
    <s v="Cash"/>
    <x v="1"/>
    <n v="7"/>
    <n v="74"/>
    <n v="6"/>
    <n v="47.39"/>
    <n v="122.41160000000001"/>
    <n v="276.12"/>
    <n v="3.8764546470000001"/>
    <n v="70.596000000000004"/>
  </r>
  <r>
    <s v="south"/>
    <x v="1"/>
    <d v="2017-10-22T00:00:00"/>
    <x v="192"/>
    <n v="485649811"/>
    <s v="Female"/>
    <x v="1"/>
    <s v="Cash"/>
    <x v="2"/>
    <n v="3.7"/>
    <n v="32.21"/>
    <n v="10"/>
    <n v="36.840000000000003"/>
    <n v="149.6"/>
    <n v="158"/>
    <n v="3.8764546470000001"/>
    <n v="20.832000000000001"/>
  </r>
  <r>
    <s v="East"/>
    <x v="0"/>
    <d v="2018-03-13T00:00:00"/>
    <x v="107"/>
    <n v="940565506"/>
    <s v="Female"/>
    <x v="0"/>
    <s v="Cash"/>
    <x v="4"/>
    <n v="7.6"/>
    <n v="35.82"/>
    <n v="9"/>
    <n v="18.11"/>
    <n v="184.4"/>
    <n v="887.94"/>
    <n v="3.8764546470000001"/>
    <n v="98.16"/>
  </r>
  <r>
    <s v="south"/>
    <x v="1"/>
    <d v="2017-06-05T00:00:00"/>
    <x v="123"/>
    <n v="969621099"/>
    <s v="Male"/>
    <x v="0"/>
    <s v="Cash"/>
    <x v="5"/>
    <n v="3.5"/>
    <n v="18.91"/>
    <n v="1"/>
    <n v="52.1"/>
    <n v="124.6"/>
    <n v="91.98"/>
    <n v="3.8764546470000001"/>
    <n v="85.46"/>
  </r>
  <r>
    <s v="East"/>
    <x v="0"/>
    <d v="2017-05-20T00:00:00"/>
    <x v="147"/>
    <n v="584896380"/>
    <s v="Male"/>
    <x v="0"/>
    <s v="Cash"/>
    <x v="1"/>
    <n v="5"/>
    <n v="97.6"/>
    <n v="2"/>
    <n v="43.1"/>
    <n v="173.2"/>
    <n v="41.78"/>
    <n v="3.8764546470000001"/>
    <n v="38.11"/>
  </r>
  <r>
    <s v="East"/>
    <x v="0"/>
    <d v="2018-10-15T00:00:00"/>
    <x v="164"/>
    <n v="236575431"/>
    <s v="Female"/>
    <x v="1"/>
    <s v="Credit card"/>
    <x v="5"/>
    <n v="3"/>
    <n v="38.35"/>
    <n v="1"/>
    <n v="60.91"/>
    <n v="104.3"/>
    <n v="15.5"/>
    <n v="3.8764546470000001"/>
    <n v="23.12"/>
  </r>
  <r>
    <s v="south"/>
    <x v="1"/>
    <d v="2018-04-13T00:00:00"/>
    <x v="159"/>
    <n v="441721182"/>
    <s v="Male"/>
    <x v="0"/>
    <s v="Cash"/>
    <x v="1"/>
    <n v="1"/>
    <n v="87.45"/>
    <n v="3"/>
    <n v="76.989999999999995"/>
    <n v="167"/>
    <n v="290.45999999999998"/>
    <n v="3.8764546470000001"/>
    <n v="26.52"/>
  </r>
  <r>
    <s v="West"/>
    <x v="2"/>
    <d v="2017-10-07T00:00:00"/>
    <x v="79"/>
    <n v="714480863"/>
    <s v="Male"/>
    <x v="1"/>
    <s v="Credit card"/>
    <x v="4"/>
    <n v="2"/>
    <n v="23.78"/>
    <n v="2"/>
    <n v="99.59"/>
    <n v="141.43360000000001"/>
    <n v="66.66"/>
    <n v="3.8764546470000001"/>
    <n v="44.838000000000001"/>
  </r>
  <r>
    <s v="West"/>
    <x v="2"/>
    <d v="2018-08-28T00:00:00"/>
    <x v="67"/>
    <n v="149552477"/>
    <s v="Female"/>
    <x v="1"/>
    <s v="Credit card"/>
    <x v="1"/>
    <n v="10"/>
    <n v="83.2"/>
    <n v="2"/>
    <n v="26.63"/>
    <n v="120.4588"/>
    <n v="76.540000000000006"/>
    <n v="3.8764546470000001"/>
    <n v="36.119999999999997"/>
  </r>
  <r>
    <s v="East"/>
    <x v="0"/>
    <d v="2017-05-23T00:00:00"/>
    <x v="178"/>
    <n v="917650155"/>
    <s v="Female"/>
    <x v="1"/>
    <s v="Ewallet"/>
    <x v="2"/>
    <n v="5"/>
    <n v="37.786999999999999"/>
    <n v="9"/>
    <n v="77.900000000000006"/>
    <n v="135.9649"/>
    <n v="299.7"/>
    <n v="3.8764546470000001"/>
    <n v="41.18"/>
  </r>
  <r>
    <s v="East"/>
    <x v="0"/>
    <d v="2017-04-10T00:00:00"/>
    <x v="146"/>
    <n v="118467395"/>
    <s v="Male"/>
    <x v="0"/>
    <s v="Credit card"/>
    <x v="2"/>
    <n v="2"/>
    <n v="47.09"/>
    <n v="3"/>
    <n v="31.36"/>
    <n v="111.6311"/>
    <n v="243.03"/>
    <n v="3.8764546470000001"/>
    <n v="34.4"/>
  </r>
  <r>
    <s v="East"/>
    <x v="0"/>
    <d v="2018-02-18T00:00:00"/>
    <x v="138"/>
    <n v="515112637"/>
    <s v="Female"/>
    <x v="1"/>
    <s v="Cash"/>
    <x v="0"/>
    <n v="2"/>
    <n v="70.05"/>
    <n v="3"/>
    <n v="79.95"/>
    <n v="150.86869999999999"/>
    <n v="47.4"/>
    <n v="3.8764546470000001"/>
    <n v="32.57"/>
  </r>
  <r>
    <s v="West"/>
    <x v="2"/>
    <d v="2018-06-15T00:00:00"/>
    <x v="26"/>
    <n v="517275497"/>
    <s v="Female"/>
    <x v="0"/>
    <s v="Credit card"/>
    <x v="1"/>
    <n v="3"/>
    <n v="16.2"/>
    <n v="5"/>
    <n v="78.760000000000005"/>
    <n v="146.6549"/>
    <n v="172.45"/>
    <n v="3.8764546470000001"/>
    <n v="50.98"/>
  </r>
  <r>
    <s v="West"/>
    <x v="2"/>
    <d v="2018-07-11T00:00:00"/>
    <x v="15"/>
    <n v="542111646"/>
    <s v="Female"/>
    <x v="0"/>
    <s v="Credit card"/>
    <x v="4"/>
    <n v="1"/>
    <n v="22.46"/>
    <n v="10"/>
    <n v="57.89"/>
    <n v="118.78660000000001"/>
    <n v="846.3"/>
    <n v="3.8764546470000001"/>
    <n v="85.07"/>
  </r>
  <r>
    <s v="West"/>
    <x v="2"/>
    <d v="2017-07-11T00:00:00"/>
    <x v="170"/>
    <n v="865413634"/>
    <s v="Male"/>
    <x v="0"/>
    <s v="Ewallet"/>
    <x v="2"/>
    <n v="7"/>
    <n v="34.6"/>
    <n v="7"/>
    <n v="54.58"/>
    <n v="143.4"/>
    <n v="258.37"/>
    <n v="3.8764546470000001"/>
    <n v="58.625999999999998"/>
  </r>
  <r>
    <s v="West"/>
    <x v="2"/>
    <d v="2018-01-06T00:00:00"/>
    <x v="35"/>
    <n v="964940475"/>
    <s v="Male"/>
    <x v="1"/>
    <s v="Cash"/>
    <x v="1"/>
    <n v="9"/>
    <n v="38.76"/>
    <n v="7"/>
    <n v="81.64"/>
    <n v="175.5"/>
    <n v="609.55999999999995"/>
    <n v="3.8764546470000001"/>
    <n v="16.140999999999998"/>
  </r>
  <r>
    <s v="East"/>
    <x v="0"/>
    <d v="2018-04-18T00:00:00"/>
    <x v="15"/>
    <n v="946394864"/>
    <s v="Male"/>
    <x v="1"/>
    <s v="Cash"/>
    <x v="2"/>
    <n v="6.1"/>
    <n v="29.5"/>
    <n v="3"/>
    <n v="45.42"/>
    <n v="158.30000000000001"/>
    <n v="240.24"/>
    <n v="3.8764546470000001"/>
    <n v="84.262"/>
  </r>
  <r>
    <s v="south"/>
    <x v="1"/>
    <d v="2017-10-23T00:00:00"/>
    <x v="4"/>
    <n v="738507217"/>
    <s v="Male"/>
    <x v="1"/>
    <s v="Cash"/>
    <x v="5"/>
    <n v="5.3"/>
    <n v="42.92"/>
    <n v="2"/>
    <n v="79.37"/>
    <n v="170.8"/>
    <n v="172.26"/>
    <n v="3.8764546470000001"/>
    <n v="44.046999999999997"/>
  </r>
  <r>
    <s v="West"/>
    <x v="2"/>
    <d v="2017-08-12T00:00:00"/>
    <x v="109"/>
    <n v="220480397"/>
    <s v="Male"/>
    <x v="0"/>
    <s v="Credit card"/>
    <x v="5"/>
    <n v="9.5"/>
    <n v="72.47"/>
    <n v="2"/>
    <n v="56.71"/>
    <n v="130.4"/>
    <n v="99.84"/>
    <n v="3.8764546470000001"/>
    <n v="83.97"/>
  </r>
  <r>
    <s v="East"/>
    <x v="0"/>
    <d v="2017-09-04T00:00:00"/>
    <x v="188"/>
    <n v="180397418"/>
    <s v="Female"/>
    <x v="1"/>
    <s v="Cash"/>
    <x v="4"/>
    <n v="3.2"/>
    <n v="77.2"/>
    <n v="4"/>
    <n v="64.349999999999994"/>
    <n v="131.9333"/>
    <n v="298.64"/>
    <n v="3.8764546470000001"/>
    <n v="14.62"/>
  </r>
  <r>
    <s v="West"/>
    <x v="2"/>
    <d v="2017-08-27T00:00:00"/>
    <x v="90"/>
    <n v="962695575"/>
    <s v="Male"/>
    <x v="0"/>
    <s v="Ewallet"/>
    <x v="4"/>
    <n v="4.7"/>
    <n v="27.347000000000001"/>
    <n v="6"/>
    <n v="21.56"/>
    <n v="151.9477"/>
    <n v="159.6"/>
    <n v="3.8764546470000001"/>
    <n v="87.423000000000002"/>
  </r>
  <r>
    <s v="West"/>
    <x v="2"/>
    <d v="2018-04-28T00:00:00"/>
    <x v="31"/>
    <n v="602099473"/>
    <s v="Female"/>
    <x v="1"/>
    <s v="Credit card"/>
    <x v="1"/>
    <n v="1.1000000000000001"/>
    <n v="11.426"/>
    <n v="1"/>
    <n v="96.96"/>
    <n v="174.35419999999999"/>
    <n v="25.45"/>
    <n v="3.8764546470000001"/>
    <n v="63.982999999999997"/>
  </r>
  <r>
    <s v="West"/>
    <x v="2"/>
    <d v="2018-02-06T00:00:00"/>
    <x v="61"/>
    <n v="330535214"/>
    <s v="Female"/>
    <x v="1"/>
    <s v="Credit card"/>
    <x v="4"/>
    <n v="2.1"/>
    <n v="17.2"/>
    <n v="1"/>
    <n v="55.25"/>
    <n v="147.70320000000001"/>
    <n v="67.77"/>
    <n v="3.8764546470000001"/>
    <n v="43.447000000000003"/>
  </r>
  <r>
    <s v="south"/>
    <x v="1"/>
    <d v="2017-07-04T00:00:00"/>
    <x v="79"/>
    <n v="675258276"/>
    <s v="Male"/>
    <x v="0"/>
    <s v="Cash"/>
    <x v="4"/>
    <n v="2.8"/>
    <n v="92.92"/>
    <n v="4"/>
    <n v="37.75"/>
    <n v="101.28060000000001"/>
    <n v="238.36"/>
    <n v="3.8764546470000001"/>
    <n v="18.763000000000002"/>
  </r>
  <r>
    <s v="East"/>
    <x v="0"/>
    <d v="2018-02-06T00:00:00"/>
    <x v="58"/>
    <n v="794458227"/>
    <s v="Male"/>
    <x v="1"/>
    <s v="Cash"/>
    <x v="0"/>
    <n v="7.2"/>
    <n v="69.13"/>
    <n v="4"/>
    <n v="87.01"/>
    <n v="141.9"/>
    <n v="232.6"/>
    <n v="3.8764546470000001"/>
    <n v="19.300999999999998"/>
  </r>
  <r>
    <s v="East"/>
    <x v="0"/>
    <d v="2018-05-08T00:00:00"/>
    <x v="61"/>
    <n v="665523805"/>
    <s v="Female"/>
    <x v="0"/>
    <s v="Ewallet"/>
    <x v="3"/>
    <n v="8.5"/>
    <n v="16.66"/>
    <n v="9"/>
    <n v="84.98"/>
    <n v="184.4"/>
    <n v="877.32"/>
    <n v="3.8764546470000001"/>
    <n v="39.558999999999997"/>
  </r>
  <r>
    <s v="south"/>
    <x v="1"/>
    <d v="2017-11-15T00:00:00"/>
    <x v="159"/>
    <n v="691265185"/>
    <s v="Male"/>
    <x v="1"/>
    <s v="Cash"/>
    <x v="0"/>
    <n v="10"/>
    <n v="58.56"/>
    <n v="7"/>
    <n v="29.25"/>
    <n v="101.1"/>
    <n v="699.72"/>
    <n v="3.8764546470000001"/>
    <n v="67.16"/>
  </r>
  <r>
    <s v="south"/>
    <x v="1"/>
    <d v="2017-12-14T00:00:00"/>
    <x v="199"/>
    <n v="965951276"/>
    <s v="Male"/>
    <x v="1"/>
    <s v="Cash"/>
    <x v="1"/>
    <n v="2.2999999999999998"/>
    <n v="45.292999999999999"/>
    <n v="7"/>
    <n v="18.96"/>
    <n v="159.80000000000001"/>
    <n v="674.59"/>
    <n v="3.8764546470000001"/>
    <n v="26.09"/>
  </r>
  <r>
    <s v="West"/>
    <x v="2"/>
    <d v="2018-10-26T00:00:00"/>
    <x v="68"/>
    <n v="968803863"/>
    <s v="Female"/>
    <x v="1"/>
    <s v="Ewallet"/>
    <x v="5"/>
    <n v="2.2999999999999998"/>
    <n v="99.7"/>
    <n v="5"/>
    <n v="12.51"/>
    <n v="122"/>
    <n v="318.55"/>
    <n v="3.8764546470000001"/>
    <n v="73.323999999999998"/>
  </r>
  <r>
    <s v="West"/>
    <x v="2"/>
    <d v="2017-05-05T00:00:00"/>
    <x v="163"/>
    <n v="768615111"/>
    <s v="Female"/>
    <x v="1"/>
    <s v="Ewallet"/>
    <x v="0"/>
    <n v="5.9"/>
    <n v="99.36"/>
    <n v="2"/>
    <n v="22.31"/>
    <n v="168.1"/>
    <n v="29.52"/>
    <n v="3.8764546470000001"/>
    <n v="98.966999999999999"/>
  </r>
  <r>
    <s v="West"/>
    <x v="2"/>
    <d v="2017-09-11T00:00:00"/>
    <x v="84"/>
    <n v="361717703"/>
    <s v="Male"/>
    <x v="0"/>
    <s v="Credit card"/>
    <x v="0"/>
    <n v="2.4"/>
    <n v="99.998000000000005"/>
    <n v="8"/>
    <n v="19.12"/>
    <n v="183.79939999999999"/>
    <n v="496"/>
    <n v="3.8764546470000001"/>
    <n v="93.168999999999997"/>
  </r>
  <r>
    <s v="south"/>
    <x v="1"/>
    <d v="2018-01-29T00:00:00"/>
    <x v="203"/>
    <n v="557841140"/>
    <s v="Male"/>
    <x v="0"/>
    <s v="Ewallet"/>
    <x v="1"/>
    <n v="9.6"/>
    <n v="39.5"/>
    <n v="10"/>
    <n v="16.16"/>
    <n v="119.0484"/>
    <n v="823.4"/>
    <n v="3.8764546470000001"/>
    <n v="98.795000000000002"/>
  </r>
  <r>
    <s v="West"/>
    <x v="2"/>
    <d v="2018-02-17T00:00:00"/>
    <x v="120"/>
    <n v="553828402"/>
    <s v="Male"/>
    <x v="0"/>
    <s v="Credit card"/>
    <x v="0"/>
    <n v="1"/>
    <n v="90.03"/>
    <n v="8"/>
    <n v="53.76"/>
    <n v="174.9"/>
    <n v="602.96"/>
    <n v="3.8764546470000001"/>
    <n v="15.037000000000001"/>
  </r>
  <r>
    <s v="East"/>
    <x v="0"/>
    <d v="2018-04-26T00:00:00"/>
    <x v="0"/>
    <n v="872508415"/>
    <s v="Female"/>
    <x v="1"/>
    <s v="Credit card"/>
    <x v="4"/>
    <n v="1.2"/>
    <n v="62.7"/>
    <n v="5"/>
    <n v="92.64"/>
    <n v="114.7"/>
    <n v="282.8"/>
    <n v="3.8764546470000001"/>
    <n v="78.81"/>
  </r>
  <r>
    <s v="West"/>
    <x v="2"/>
    <d v="2018-04-07T00:00:00"/>
    <x v="19"/>
    <n v="372119453"/>
    <s v="Female"/>
    <x v="1"/>
    <s v="Ewallet"/>
    <x v="3"/>
    <n v="9.1999999999999993"/>
    <n v="27.73"/>
    <n v="10"/>
    <n v="63.47"/>
    <n v="150.6"/>
    <n v="766"/>
    <n v="3.8764546470000001"/>
    <n v="14.361000000000001"/>
  </r>
  <r>
    <s v="East"/>
    <x v="0"/>
    <d v="2017-05-28T00:00:00"/>
    <x v="41"/>
    <n v="563189451"/>
    <s v="Male"/>
    <x v="1"/>
    <s v="Ewallet"/>
    <x v="1"/>
    <n v="8.5"/>
    <n v="85.6"/>
    <n v="2"/>
    <n v="52.65"/>
    <n v="132.5"/>
    <n v="116.06"/>
    <n v="3.8764546470000001"/>
    <n v="38.206000000000003"/>
  </r>
  <r>
    <s v="West"/>
    <x v="2"/>
    <d v="2017-07-24T00:00:00"/>
    <x v="26"/>
    <n v="742278565"/>
    <s v="Male"/>
    <x v="1"/>
    <s v="Ewallet"/>
    <x v="5"/>
    <n v="9.3000000000000007"/>
    <n v="21.399000000000001"/>
    <n v="10"/>
    <n v="35.99"/>
    <n v="146.1"/>
    <n v="174.9"/>
    <n v="3.8764546470000001"/>
    <n v="26.17"/>
  </r>
  <r>
    <s v="south"/>
    <x v="1"/>
    <d v="2018-11-17T00:00:00"/>
    <x v="157"/>
    <n v="436494128"/>
    <s v="Female"/>
    <x v="0"/>
    <s v="Ewallet"/>
    <x v="1"/>
    <n v="3"/>
    <n v="23.01"/>
    <n v="1"/>
    <n v="11.83"/>
    <n v="102.9978"/>
    <n v="60.95"/>
    <n v="3.8764546470000001"/>
    <n v="96.346000000000004"/>
  </r>
  <r>
    <s v="south"/>
    <x v="1"/>
    <d v="2018-01-17T00:00:00"/>
    <x v="116"/>
    <n v="977841706"/>
    <s v="Male"/>
    <x v="1"/>
    <s v="Ewallet"/>
    <x v="0"/>
    <n v="6"/>
    <n v="16.739999999999998"/>
    <n v="1"/>
    <n v="68.38"/>
    <n v="171.9452"/>
    <n v="40.35"/>
    <n v="3.8764546470000001"/>
    <n v="45.523000000000003"/>
  </r>
  <r>
    <s v="West"/>
    <x v="2"/>
    <d v="2017-04-30T00:00:00"/>
    <x v="202"/>
    <n v="541757497"/>
    <s v="Female"/>
    <x v="1"/>
    <s v="Ewallet"/>
    <x v="2"/>
    <n v="8"/>
    <n v="58.826999999999998"/>
    <n v="10"/>
    <n v="49.82"/>
    <n v="135.96469999999999"/>
    <n v="973.8"/>
    <n v="3.8764546470000001"/>
    <n v="66.992999999999995"/>
  </r>
  <r>
    <s v="East"/>
    <x v="0"/>
    <d v="2017-03-13T00:00:00"/>
    <x v="52"/>
    <n v="794681249"/>
    <s v="Male"/>
    <x v="0"/>
    <s v="Cash"/>
    <x v="4"/>
    <n v="3.1"/>
    <n v="23.202999999999999"/>
    <n v="1"/>
    <n v="46.04"/>
    <n v="147.6"/>
    <n v="31.84"/>
    <n v="3.8764546470000001"/>
    <n v="25.780999999999999"/>
  </r>
  <r>
    <s v="East"/>
    <x v="0"/>
    <d v="2017-09-17T00:00:00"/>
    <x v="116"/>
    <n v="254311372"/>
    <s v="Male"/>
    <x v="1"/>
    <s v="Cash"/>
    <x v="2"/>
    <n v="2.1"/>
    <n v="26.32"/>
    <n v="1"/>
    <n v="49.34"/>
    <n v="186.9"/>
    <n v="65.819999999999993"/>
    <n v="3.8764546470000001"/>
    <n v="75.344999999999999"/>
  </r>
  <r>
    <s v="East"/>
    <x v="0"/>
    <d v="2018-03-07T00:00:00"/>
    <x v="12"/>
    <n v="26443781"/>
    <s v="Female"/>
    <x v="0"/>
    <s v="Cash"/>
    <x v="5"/>
    <n v="6"/>
    <n v="15.58"/>
    <n v="7"/>
    <n v="74.67"/>
    <n v="138.80000000000001"/>
    <n v="618.38"/>
    <n v="3.8764546470000001"/>
    <n v="94.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s v="05:58:PM"/>
    <n v="887449469"/>
    <s v="Female"/>
    <s v="Member"/>
    <s v="Ewallet"/>
    <x v="0"/>
    <n v="3.5"/>
    <n v="55.61"/>
    <n v="7"/>
    <n v="94.02"/>
    <n v="166.3963"/>
    <n v="522.83000000000004"/>
    <n v="3.8764546470000001"/>
    <n v="85.176000000000002"/>
  </r>
  <r>
    <x v="1"/>
    <x v="1"/>
    <x v="1"/>
    <s v="11:41:PM"/>
    <n v="731761583"/>
    <s v="Female"/>
    <s v="Normal"/>
    <s v="Cash"/>
    <x v="1"/>
    <n v="2.1"/>
    <n v="93.45"/>
    <n v="5"/>
    <n v="77.12"/>
    <n v="171.83840000000001"/>
    <n v="76.400000000000006"/>
    <n v="3.8764546470000001"/>
    <n v="7.62"/>
  </r>
  <r>
    <x v="0"/>
    <x v="0"/>
    <x v="2"/>
    <s v="05:43:AM"/>
    <n v="354369348"/>
    <s v="Male"/>
    <s v="Normal"/>
    <s v="Credit card"/>
    <x v="2"/>
    <n v="1.7"/>
    <n v="46.97"/>
    <n v="7"/>
    <n v="32.21"/>
    <n v="148.1456"/>
    <n v="324.31"/>
    <n v="3.8764546470000001"/>
    <n v="16.216000000000001"/>
  </r>
  <r>
    <x v="0"/>
    <x v="0"/>
    <x v="3"/>
    <s v="04:48:PM"/>
    <n v="643571566"/>
    <s v="Male"/>
    <s v="Member"/>
    <s v="Ewallet"/>
    <x v="0"/>
    <n v="3.2"/>
    <n v="45.18"/>
    <n v="8"/>
    <n v="56.88"/>
    <n v="159.86779999999999"/>
    <n v="465.76"/>
    <n v="3.8764546470000001"/>
    <n v="23.288"/>
  </r>
  <r>
    <x v="0"/>
    <x v="0"/>
    <x v="4"/>
    <s v="11:47:AM"/>
    <n v="888766498"/>
    <s v="Male"/>
    <s v="Normal"/>
    <s v="Ewallet"/>
    <x v="3"/>
    <n v="7.3"/>
    <n v="80.17"/>
    <n v="7"/>
    <n v="26.94"/>
    <n v="185.9512"/>
    <n v="604.16999999999996"/>
    <n v="3.8764546470000001"/>
    <n v="54.66"/>
  </r>
  <r>
    <x v="1"/>
    <x v="1"/>
    <x v="5"/>
    <s v="06:11:AM"/>
    <n v="828422560"/>
    <s v="Male"/>
    <s v="Normal"/>
    <s v="Ewallet"/>
    <x v="1"/>
    <n v="2.1"/>
    <n v="64.72"/>
    <n v="7"/>
    <n v="56.1"/>
    <n v="187.7021"/>
    <n v="597.73"/>
    <n v="3.8764546470000001"/>
    <n v="62.27"/>
  </r>
  <r>
    <x v="0"/>
    <x v="0"/>
    <x v="6"/>
    <s v="05:08:AM"/>
    <n v="954899064"/>
    <s v="Female"/>
    <s v="Member"/>
    <s v="Ewallet"/>
    <x v="1"/>
    <n v="6.4"/>
    <n v="17.670000000000002"/>
    <n v="6"/>
    <n v="15.8"/>
    <n v="122.1711"/>
    <n v="413.04"/>
    <n v="3.8764546470000001"/>
    <n v="69.995000000000005"/>
  </r>
  <r>
    <x v="1"/>
    <x v="1"/>
    <x v="7"/>
    <s v="04:27:PM"/>
    <n v="931767155"/>
    <s v="Female"/>
    <s v="Normal"/>
    <s v="Ewallet"/>
    <x v="2"/>
    <n v="3.1"/>
    <n v="10.98"/>
    <n v="10"/>
    <n v="21.8"/>
    <n v="124.5346"/>
    <n v="735.6"/>
    <n v="3.8764546470000001"/>
    <n v="20.393999999999998"/>
  </r>
  <r>
    <x v="0"/>
    <x v="0"/>
    <x v="8"/>
    <s v="04:13:PM"/>
    <n v="873658368"/>
    <s v="Female"/>
    <s v="Member"/>
    <s v="Credit card"/>
    <x v="0"/>
    <n v="1.6"/>
    <n v="50.48"/>
    <n v="2"/>
    <n v="30.17"/>
    <n v="137.89590000000001"/>
    <n v="72.52"/>
    <n v="3.8764546470000001"/>
    <n v="52.308999999999997"/>
  </r>
  <r>
    <x v="2"/>
    <x v="2"/>
    <x v="9"/>
    <s v="12:43:PM"/>
    <n v="813255210"/>
    <s v="Female"/>
    <s v="Member"/>
    <s v="Credit card"/>
    <x v="4"/>
    <n v="8.5"/>
    <n v="41.01"/>
    <n v="3"/>
    <n v="91.88"/>
    <n v="169.2268"/>
    <n v="164.52"/>
    <n v="3.8764546470000001"/>
    <n v="69.45"/>
  </r>
  <r>
    <x v="2"/>
    <x v="2"/>
    <x v="10"/>
    <s v="08:53:PM"/>
    <n v="663868398"/>
    <s v="Female"/>
    <s v="Member"/>
    <s v="Ewallet"/>
    <x v="5"/>
    <n v="7.1"/>
    <n v="27.76"/>
    <n v="4"/>
    <n v="93.86"/>
    <n v="140.94980000000001"/>
    <n v="57.92"/>
    <n v="3.8764546470000001"/>
    <n v="45.807000000000002"/>
  </r>
  <r>
    <x v="0"/>
    <x v="2"/>
    <x v="11"/>
    <s v="10:17:PM"/>
    <n v="315496956"/>
    <s v="Female"/>
    <s v="Member"/>
    <s v="Ewallet"/>
    <x v="1"/>
    <n v="2.2000000000000002"/>
    <n v="85.2"/>
    <n v="4"/>
    <n v="98.78"/>
    <n v="129.1413"/>
    <n v="102.04"/>
    <n v="3.8764546470000001"/>
    <n v="82.531999999999996"/>
  </r>
  <r>
    <x v="0"/>
    <x v="0"/>
    <x v="12"/>
    <s v="02:20:AM"/>
    <n v="132067555"/>
    <s v="Female"/>
    <s v="Normal"/>
    <s v="Ewallet"/>
    <x v="1"/>
    <n v="7.8"/>
    <n v="58.06"/>
    <n v="5"/>
    <n v="15.13"/>
    <n v="155.6739"/>
    <n v="234.75"/>
    <n v="3.8764546470000001"/>
    <n v="61.408999999999999"/>
  </r>
  <r>
    <x v="0"/>
    <x v="0"/>
    <x v="13"/>
    <s v="05:15:AM"/>
    <n v="883452836"/>
    <s v="Female"/>
    <s v="Normal"/>
    <s v="Ewallet"/>
    <x v="4"/>
    <n v="4.7"/>
    <n v="78.239999999999995"/>
    <n v="10"/>
    <n v="33.549999999999997"/>
    <n v="168.82900000000001"/>
    <n v="431.9"/>
    <n v="3.8764546470000001"/>
    <n v="49.89"/>
  </r>
  <r>
    <x v="0"/>
    <x v="0"/>
    <x v="14"/>
    <s v="03:37:AM"/>
    <n v="409798926"/>
    <s v="Female"/>
    <s v="Normal"/>
    <s v="Ewallet"/>
    <x v="0"/>
    <n v="3.8"/>
    <n v="30.54"/>
    <n v="10"/>
    <n v="90.5"/>
    <n v="136.7594"/>
    <n v="713.8"/>
    <n v="3.8764546470000001"/>
    <n v="18.100000000000001"/>
  </r>
  <r>
    <x v="2"/>
    <x v="2"/>
    <x v="15"/>
    <s v="07:43:PM"/>
    <n v="299864349"/>
    <s v="Female"/>
    <s v="Member"/>
    <s v="Ewallet"/>
    <x v="3"/>
    <n v="9.5"/>
    <n v="36.020000000000003"/>
    <n v="6"/>
    <n v="85.37"/>
    <n v="182.09819999999999"/>
    <n v="562.32000000000005"/>
    <n v="3.8764546470000001"/>
    <n v="67.150000000000006"/>
  </r>
  <r>
    <x v="0"/>
    <x v="0"/>
    <x v="16"/>
    <s v="05:51:PM"/>
    <n v="543924415"/>
    <s v="Female"/>
    <s v="Member"/>
    <s v="Credit card"/>
    <x v="0"/>
    <n v="4.3"/>
    <n v="80.39"/>
    <n v="7"/>
    <n v="96.99"/>
    <n v="105.9696"/>
    <n v="482.51"/>
    <n v="3.8764546470000001"/>
    <n v="26.43"/>
  </r>
  <r>
    <x v="0"/>
    <x v="0"/>
    <x v="9"/>
    <s v="09:20:AM"/>
    <n v="678485063"/>
    <s v="Female"/>
    <s v="Member"/>
    <s v="Credit card"/>
    <x v="3"/>
    <n v="8.5"/>
    <n v="89.88"/>
    <n v="6"/>
    <n v="10.4"/>
    <n v="152.48140000000001"/>
    <n v="435.66"/>
    <n v="3.8764546470000001"/>
    <n v="35.74"/>
  </r>
  <r>
    <x v="0"/>
    <x v="0"/>
    <x v="17"/>
    <s v="06:18:AM"/>
    <n v="664181344"/>
    <s v="Female"/>
    <s v="Member"/>
    <s v="Credit card"/>
    <x v="4"/>
    <n v="3.3"/>
    <n v="63.2"/>
    <n v="3"/>
    <n v="44.13"/>
    <n v="111.2116"/>
    <n v="164.01"/>
    <n v="3.8764546470000001"/>
    <n v="16.100000000000001"/>
  </r>
  <r>
    <x v="2"/>
    <x v="2"/>
    <x v="18"/>
    <s v="08:32:PM"/>
    <n v="154634852"/>
    <s v="Female"/>
    <s v="Member"/>
    <s v="Ewallet"/>
    <x v="2"/>
    <n v="2"/>
    <n v="13.17"/>
    <n v="2"/>
    <n v="98.4"/>
    <n v="148.92580000000001"/>
    <n v="80.599999999999994"/>
    <n v="3.8764546470000001"/>
    <n v="61.506"/>
  </r>
  <r>
    <x v="1"/>
    <x v="1"/>
    <x v="19"/>
    <s v="02:49:PM"/>
    <n v="530487185"/>
    <s v="Female"/>
    <s v="Member"/>
    <s v="Ewallet"/>
    <x v="1"/>
    <n v="4"/>
    <n v="24.82"/>
    <n v="5"/>
    <n v="87.7"/>
    <n v="162.8416"/>
    <n v="430.2"/>
    <n v="3.8764546470000001"/>
    <n v="91.545000000000002"/>
  </r>
  <r>
    <x v="2"/>
    <x v="2"/>
    <x v="20"/>
    <s v="06:54:PM"/>
    <n v="319733476"/>
    <s v="Female"/>
    <s v="Member"/>
    <s v="Ewallet"/>
    <x v="0"/>
    <n v="1.9"/>
    <n v="39.380000000000003"/>
    <n v="3"/>
    <n v="68.22"/>
    <n v="144.99940000000001"/>
    <n v="263.94"/>
    <n v="3.8764546470000001"/>
    <n v="89.932000000000002"/>
  </r>
  <r>
    <x v="2"/>
    <x v="2"/>
    <x v="21"/>
    <s v="07:49:AM"/>
    <n v="285973607"/>
    <s v="Male"/>
    <s v="Member"/>
    <s v="Credit card"/>
    <x v="2"/>
    <n v="2.4"/>
    <n v="83.74"/>
    <n v="2"/>
    <n v="72.3"/>
    <n v="126.435"/>
    <n v="66.400000000000006"/>
    <n v="3.8764546470000001"/>
    <n v="60.322000000000003"/>
  </r>
  <r>
    <x v="0"/>
    <x v="0"/>
    <x v="22"/>
    <s v="07:21:AM"/>
    <n v="536930096"/>
    <s v="Male"/>
    <s v="Member"/>
    <s v="Ewallet"/>
    <x v="1"/>
    <n v="9.6"/>
    <n v="89.41"/>
    <n v="5"/>
    <n v="36.06"/>
    <n v="152.48140000000001"/>
    <n v="172.8"/>
    <n v="3.8764546470000001"/>
    <n v="13.359"/>
  </r>
  <r>
    <x v="0"/>
    <x v="0"/>
    <x v="23"/>
    <s v="06:40:PM"/>
    <n v="214461864"/>
    <s v="Male"/>
    <s v="Member"/>
    <s v="Ewallet"/>
    <x v="3"/>
    <n v="1.4"/>
    <n v="28.33"/>
    <n v="3"/>
    <n v="93.4"/>
    <n v="115.28530000000001"/>
    <n v="265.89"/>
    <n v="3.8764546470000001"/>
    <n v="67.103999999999999"/>
  </r>
  <r>
    <x v="0"/>
    <x v="0"/>
    <x v="24"/>
    <s v="10:58:AM"/>
    <n v="711056599"/>
    <s v="Female"/>
    <s v="Member"/>
    <s v="Credit card"/>
    <x v="2"/>
    <n v="9.3000000000000007"/>
    <n v="56.28"/>
    <n v="8"/>
    <n v="10.130000000000001"/>
    <n v="142.1541"/>
    <n v="420.72"/>
    <n v="3.8764546470000001"/>
    <n v="42.417000000000002"/>
  </r>
  <r>
    <x v="2"/>
    <x v="2"/>
    <x v="25"/>
    <s v="03:52:PM"/>
    <n v="475158626"/>
    <s v="Male"/>
    <s v="Normal"/>
    <s v="Cash"/>
    <x v="5"/>
    <n v="5.4"/>
    <n v="95.42"/>
    <n v="1"/>
    <n v="62.84"/>
    <n v="174.66290000000001"/>
    <n v="33.520000000000003"/>
    <n v="3.8764546470000001"/>
    <n v="42.44"/>
  </r>
  <r>
    <x v="0"/>
    <x v="0"/>
    <x v="26"/>
    <s v="07:28:AM"/>
    <n v="254447864"/>
    <s v="Female"/>
    <s v="Normal"/>
    <s v="Credit card"/>
    <x v="5"/>
    <n v="2"/>
    <n v="64.95"/>
    <n v="2"/>
    <n v="29.21"/>
    <n v="114.69710000000001"/>
    <n v="175.34"/>
    <n v="3.8764546470000001"/>
    <n v="14.422000000000001"/>
  </r>
  <r>
    <x v="2"/>
    <x v="2"/>
    <x v="27"/>
    <s v="05:22:AM"/>
    <n v="635338225"/>
    <s v="Female"/>
    <s v="Normal"/>
    <s v="Cash"/>
    <x v="4"/>
    <n v="4"/>
    <n v="72.430000000000007"/>
    <n v="5"/>
    <n v="92.95"/>
    <n v="137.6557"/>
    <n v="441.8"/>
    <n v="3.8764546470000001"/>
    <n v="59.29"/>
  </r>
  <r>
    <x v="0"/>
    <x v="0"/>
    <x v="28"/>
    <s v="05:30:PM"/>
    <n v="540993170"/>
    <s v="Male"/>
    <s v="Normal"/>
    <s v="Cash"/>
    <x v="0"/>
    <n v="2"/>
    <n v="14.69"/>
    <n v="9"/>
    <n v="25.1"/>
    <n v="116.9248"/>
    <n v="224.01"/>
    <n v="3.8764546470000001"/>
    <n v="39.106000000000002"/>
  </r>
  <r>
    <x v="2"/>
    <x v="2"/>
    <x v="29"/>
    <s v="06:39:AM"/>
    <n v="948198836"/>
    <s v="Male"/>
    <s v="Normal"/>
    <s v="Credit card"/>
    <x v="5"/>
    <n v="3"/>
    <n v="24.56"/>
    <n v="5"/>
    <n v="87.14"/>
    <n v="187.52760000000001"/>
    <n v="470.65"/>
    <n v="3.8764546470000001"/>
    <n v="18.02"/>
  </r>
  <r>
    <x v="2"/>
    <x v="2"/>
    <x v="30"/>
    <s v="04:33:AM"/>
    <n v="871643649"/>
    <s v="Male"/>
    <s v="Normal"/>
    <s v="Cash"/>
    <x v="3"/>
    <n v="7"/>
    <n v="32.28"/>
    <n v="9"/>
    <n v="44.07"/>
    <n v="161.79419999999999"/>
    <n v="702.63"/>
    <n v="3.8764546470000001"/>
    <n v="64.138000000000005"/>
  </r>
  <r>
    <x v="2"/>
    <x v="2"/>
    <x v="31"/>
    <s v="12:57:PM"/>
    <n v="192913443"/>
    <s v="Male"/>
    <s v="Normal"/>
    <s v="Cash"/>
    <x v="3"/>
    <n v="8"/>
    <n v="23.58"/>
    <n v="8"/>
    <n v="71.3"/>
    <n v="100.9837"/>
    <n v="670.24"/>
    <n v="3.8764546470000001"/>
    <n v="44.511000000000003"/>
  </r>
  <r>
    <x v="0"/>
    <x v="0"/>
    <x v="32"/>
    <s v="10:45:PM"/>
    <n v="886321324"/>
    <s v="Male"/>
    <s v="Normal"/>
    <s v="Credit card"/>
    <x v="0"/>
    <n v="7"/>
    <n v="45.62"/>
    <n v="2"/>
    <n v="45.45"/>
    <n v="149.61660000000001"/>
    <n v="193.16"/>
    <n v="3.8764546470000001"/>
    <n v="66.75"/>
  </r>
  <r>
    <x v="1"/>
    <x v="1"/>
    <x v="33"/>
    <s v="11:34:PM"/>
    <n v="421581417"/>
    <s v="Male"/>
    <s v="Normal"/>
    <s v="Ewallet"/>
    <x v="4"/>
    <n v="1"/>
    <n v="83.56"/>
    <n v="4"/>
    <n v="13.6"/>
    <n v="135.20140000000001"/>
    <n v="397.68"/>
    <n v="3.8764546470000001"/>
    <n v="26.34"/>
  </r>
  <r>
    <x v="1"/>
    <x v="1"/>
    <x v="34"/>
    <s v="02:20:AM"/>
    <n v="175173273"/>
    <s v="Male"/>
    <s v="Member"/>
    <s v="Ewallet"/>
    <x v="3"/>
    <n v="10"/>
    <n v="71.5"/>
    <n v="1"/>
    <n v="16.5"/>
    <n v="122.84869999999999"/>
    <n v="68.12"/>
    <n v="3.8764546470000001"/>
    <n v="32.9"/>
  </r>
  <r>
    <x v="0"/>
    <x v="0"/>
    <x v="35"/>
    <s v="09:49:PM"/>
    <n v="808824469"/>
    <s v="Male"/>
    <s v="Member"/>
    <s v="Ewallet"/>
    <x v="3"/>
    <n v="9.5"/>
    <n v="36.43"/>
    <n v="5"/>
    <n v="82.4"/>
    <n v="114.8165"/>
    <n v="313.10000000000002"/>
    <n v="3.8764546470000001"/>
    <n v="74.819999999999993"/>
  </r>
  <r>
    <x v="0"/>
    <x v="0"/>
    <x v="36"/>
    <s v="10:03:PM"/>
    <n v="692429321"/>
    <s v="Female"/>
    <s v="Normal"/>
    <s v="Ewallet"/>
    <x v="1"/>
    <n v="6.5"/>
    <n v="89.19"/>
    <n v="9"/>
    <n v="39.9"/>
    <n v="159.06979999999999"/>
    <n v="547.91999999999996"/>
    <n v="3.8764546470000001"/>
    <n v="55.92"/>
  </r>
  <r>
    <x v="1"/>
    <x v="1"/>
    <x v="37"/>
    <s v="03:03:PM"/>
    <n v="483214046"/>
    <s v="Female"/>
    <s v="Normal"/>
    <s v="Ewallet"/>
    <x v="0"/>
    <n v="9.4"/>
    <n v="97.42"/>
    <n v="7"/>
    <n v="15.9"/>
    <n v="139.63239999999999"/>
    <n v="439.36"/>
    <n v="3.8764546470000001"/>
    <n v="63.881"/>
  </r>
  <r>
    <x v="2"/>
    <x v="2"/>
    <x v="38"/>
    <s v="11:20:PM"/>
    <n v="378843861"/>
    <s v="Male"/>
    <s v="Member"/>
    <s v="Cash"/>
    <x v="2"/>
    <n v="6.4"/>
    <n v="49"/>
    <n v="8"/>
    <n v="52.2"/>
    <n v="112.48520000000001"/>
    <n v="240.96"/>
    <n v="3.8764546470000001"/>
    <n v="60.203000000000003"/>
  </r>
  <r>
    <x v="2"/>
    <x v="2"/>
    <x v="39"/>
    <s v="12:56:AM"/>
    <n v="370135923"/>
    <s v="Female"/>
    <s v="Member"/>
    <s v="Ewallet"/>
    <x v="2"/>
    <n v="2"/>
    <n v="62.22"/>
    <n v="1"/>
    <n v="27.24"/>
    <n v="158.6123"/>
    <n v="86.72"/>
    <n v="3.8764546470000001"/>
    <n v="32.095999999999997"/>
  </r>
  <r>
    <x v="1"/>
    <x v="1"/>
    <x v="40"/>
    <s v="03:31:PM"/>
    <n v="389917848"/>
    <s v="Male"/>
    <s v="Member"/>
    <s v="Cash"/>
    <x v="2"/>
    <n v="8.9"/>
    <n v="11.73"/>
    <n v="2"/>
    <n v="89.82"/>
    <n v="185.5282"/>
    <n v="112.22"/>
    <n v="3.8764546470000001"/>
    <n v="99.51"/>
  </r>
  <r>
    <x v="2"/>
    <x v="2"/>
    <x v="41"/>
    <s v="01:39:PM"/>
    <n v="443067403"/>
    <s v="Female"/>
    <s v="Member"/>
    <s v="Cash"/>
    <x v="3"/>
    <n v="2"/>
    <n v="16.79"/>
    <n v="6"/>
    <n v="38.03"/>
    <n v="106.426"/>
    <n v="414.72"/>
    <n v="3.8764546470000001"/>
    <n v="13.72"/>
  </r>
  <r>
    <x v="1"/>
    <x v="1"/>
    <x v="42"/>
    <s v="03:17:PM"/>
    <n v="872132648"/>
    <s v="Female"/>
    <s v="Member"/>
    <s v="Cash"/>
    <x v="4"/>
    <n v="2"/>
    <n v="68.59"/>
    <n v="8"/>
    <n v="62.45"/>
    <n v="177.90870000000001"/>
    <n v="789.6"/>
    <n v="3.8764546470000001"/>
    <n v="59.92"/>
  </r>
  <r>
    <x v="1"/>
    <x v="1"/>
    <x v="43"/>
    <s v="02:13:AM"/>
    <n v="657586748"/>
    <s v="Male"/>
    <s v="Member"/>
    <s v="Cash"/>
    <x v="0"/>
    <n v="8"/>
    <n v="13.52"/>
    <n v="2"/>
    <n v="49.26"/>
    <n v="146.0977"/>
    <n v="30.74"/>
    <n v="3.8764546470000001"/>
    <n v="54.56"/>
  </r>
  <r>
    <x v="2"/>
    <x v="2"/>
    <x v="44"/>
    <s v="07:01:PM"/>
    <n v="145842631"/>
    <s v="Female"/>
    <s v="Member"/>
    <s v="Cash"/>
    <x v="1"/>
    <n v="2"/>
    <n v="74.489999999999995"/>
    <n v="4"/>
    <n v="23.06"/>
    <n v="186.1969"/>
    <n v="375.84"/>
    <n v="3.8764546470000001"/>
    <n v="60.19"/>
  </r>
  <r>
    <x v="2"/>
    <x v="2"/>
    <x v="45"/>
    <s v="02:14:PM"/>
    <n v="810026337"/>
    <s v="Male"/>
    <s v="Member"/>
    <s v="Credit card"/>
    <x v="0"/>
    <n v="5"/>
    <n v="71.25"/>
    <n v="9"/>
    <n v="59.9"/>
    <n v="155.98349999999999"/>
    <n v="510.21"/>
    <n v="3.8764546470000001"/>
    <n v="53.286999999999999"/>
  </r>
  <r>
    <x v="2"/>
    <x v="2"/>
    <x v="46"/>
    <s v="07:49:AM"/>
    <n v="760462151"/>
    <s v="Female"/>
    <s v="Member"/>
    <s v="Ewallet"/>
    <x v="4"/>
    <n v="2"/>
    <n v="54.01"/>
    <n v="9"/>
    <n v="56.9"/>
    <n v="162.92740000000001"/>
    <n v="180.09"/>
    <n v="3.8764546470000001"/>
    <n v="47.84"/>
  </r>
  <r>
    <x v="2"/>
    <x v="2"/>
    <x v="47"/>
    <s v="05:02:PM"/>
    <n v="999186701"/>
    <s v="Male"/>
    <s v="Member"/>
    <s v="Credit card"/>
    <x v="1"/>
    <n v="9.1999999999999993"/>
    <n v="72.12"/>
    <n v="6"/>
    <n v="68.900000000000006"/>
    <n v="166.97460000000001"/>
    <n v="113.58"/>
    <n v="3.8764546470000001"/>
    <n v="77.677000000000007"/>
  </r>
  <r>
    <x v="1"/>
    <x v="1"/>
    <x v="48"/>
    <s v="07:00:AM"/>
    <n v="467888009"/>
    <s v="Female"/>
    <s v="Member"/>
    <s v="Ewallet"/>
    <x v="5"/>
    <n v="7.9"/>
    <n v="59.58"/>
    <n v="10"/>
    <n v="56.73"/>
    <n v="159.9666"/>
    <n v="826.3"/>
    <n v="3.8764546470000001"/>
    <n v="52.116999999999997"/>
  </r>
  <r>
    <x v="1"/>
    <x v="1"/>
    <x v="49"/>
    <s v="07:15:PM"/>
    <n v="730164571"/>
    <s v="Female"/>
    <s v="Member"/>
    <s v="Cash"/>
    <x v="4"/>
    <n v="6.7"/>
    <n v="66.900000000000006"/>
    <n v="7"/>
    <n v="10.68"/>
    <n v="170.0883"/>
    <n v="639.79999999999995"/>
    <n v="3.8764546470000001"/>
    <n v="44.323"/>
  </r>
  <r>
    <x v="0"/>
    <x v="0"/>
    <x v="50"/>
    <s v="08:03:AM"/>
    <n v="740480745"/>
    <s v="Female"/>
    <s v="Member"/>
    <s v="Cash"/>
    <x v="4"/>
    <n v="3.2"/>
    <n v="44.52"/>
    <n v="5"/>
    <n v="48.24"/>
    <n v="184.56319999999999"/>
    <n v="222.95"/>
    <n v="3.8764546470000001"/>
    <n v="46.7"/>
  </r>
  <r>
    <x v="2"/>
    <x v="2"/>
    <x v="30"/>
    <s v="10:58:AM"/>
    <n v="910623043"/>
    <s v="Female"/>
    <s v="Member"/>
    <s v="Ewallet"/>
    <x v="5"/>
    <n v="7.9"/>
    <n v="67.95"/>
    <n v="4"/>
    <n v="99.48"/>
    <n v="113.79170000000001"/>
    <n v="71.48"/>
    <n v="3.8764546470000001"/>
    <n v="84.962000000000003"/>
  </r>
  <r>
    <x v="1"/>
    <x v="1"/>
    <x v="51"/>
    <s v="07:56:AM"/>
    <n v="629141379"/>
    <s v="Female"/>
    <s v="Member"/>
    <s v="Credit card"/>
    <x v="5"/>
    <n v="2.1"/>
    <n v="96.58"/>
    <n v="1"/>
    <n v="75.099999999999994"/>
    <n v="149.8306"/>
    <n v="15.43"/>
    <n v="3.8764546470000001"/>
    <n v="75.503"/>
  </r>
  <r>
    <x v="2"/>
    <x v="2"/>
    <x v="52"/>
    <s v="02:49:PM"/>
    <n v="40308396"/>
    <s v="Female"/>
    <s v="Member"/>
    <s v="Ewallet"/>
    <x v="2"/>
    <n v="6.9"/>
    <n v="13"/>
    <n v="2"/>
    <n v="50.9"/>
    <n v="148.31200000000001"/>
    <n v="32.32"/>
    <n v="3.8764546470000001"/>
    <n v="59.191000000000003"/>
  </r>
  <r>
    <x v="1"/>
    <x v="1"/>
    <x v="53"/>
    <s v="07:14:AM"/>
    <n v="530380623"/>
    <s v="Female"/>
    <s v="Normal"/>
    <s v="Cash"/>
    <x v="1"/>
    <n v="2"/>
    <n v="73.59"/>
    <n v="8"/>
    <n v="89.6"/>
    <n v="136.15119999999999"/>
    <n v="687.84"/>
    <n v="3.8764546470000001"/>
    <n v="58.137"/>
  </r>
  <r>
    <x v="0"/>
    <x v="0"/>
    <x v="54"/>
    <s v="05:15:AM"/>
    <n v="701732778"/>
    <s v="Male"/>
    <s v="Member"/>
    <s v="Cash"/>
    <x v="2"/>
    <n v="3.4"/>
    <n v="91.14"/>
    <n v="2"/>
    <n v="86.6"/>
    <n v="143.5949"/>
    <n v="88.68"/>
    <n v="3.8764546470000001"/>
    <n v="27.501000000000001"/>
  </r>
  <r>
    <x v="0"/>
    <x v="0"/>
    <x v="55"/>
    <s v="01:39:PM"/>
    <n v="801666549"/>
    <s v="Male"/>
    <s v="Normal"/>
    <s v="Ewallet"/>
    <x v="0"/>
    <n v="6.5"/>
    <n v="33.69"/>
    <n v="8"/>
    <n v="68.44"/>
    <n v="133.22219999999999"/>
    <n v="716.8"/>
    <n v="3.8764546470000001"/>
    <n v="41.41"/>
  </r>
  <r>
    <x v="0"/>
    <x v="0"/>
    <x v="56"/>
    <s v="11:05:AM"/>
    <n v="284616635"/>
    <s v="Female"/>
    <s v="Member"/>
    <s v="Cash"/>
    <x v="2"/>
    <n v="2.5"/>
    <n v="51.21"/>
    <n v="10"/>
    <n v="10.24"/>
    <n v="180.78399999999999"/>
    <n v="723.5"/>
    <n v="3.8764546470000001"/>
    <n v="22.356999999999999"/>
  </r>
  <r>
    <x v="1"/>
    <x v="1"/>
    <x v="57"/>
    <s v="06:46:AM"/>
    <n v="11908730"/>
    <s v="Male"/>
    <s v="Normal"/>
    <s v="Cash"/>
    <x v="1"/>
    <n v="2"/>
    <n v="48.26"/>
    <n v="6"/>
    <n v="92.9"/>
    <n v="129.09180000000001"/>
    <n v="183.66"/>
    <n v="3.8764546470000001"/>
    <n v="31.984000000000002"/>
  </r>
  <r>
    <x v="1"/>
    <x v="1"/>
    <x v="58"/>
    <s v="08:24:AM"/>
    <n v="848041669"/>
    <s v="Female"/>
    <s v="Member"/>
    <s v="Credit card"/>
    <x v="3"/>
    <n v="8"/>
    <n v="93.47"/>
    <n v="3"/>
    <n v="74.400000000000006"/>
    <n v="150.79669999999999"/>
    <n v="74.22"/>
    <n v="3.8764546470000001"/>
    <n v="84.462999999999994"/>
  </r>
  <r>
    <x v="1"/>
    <x v="1"/>
    <x v="59"/>
    <s v="12:01:PM"/>
    <n v="976344677"/>
    <s v="Male"/>
    <s v="Normal"/>
    <s v="Ewallet"/>
    <x v="2"/>
    <n v="5"/>
    <n v="26.19"/>
    <n v="6"/>
    <n v="82.5"/>
    <n v="157.1764"/>
    <n v="334.38"/>
    <n v="3.8764546470000001"/>
    <n v="84.701999999999998"/>
  </r>
  <r>
    <x v="2"/>
    <x v="2"/>
    <x v="60"/>
    <s v="11:55:PM"/>
    <n v="808006899"/>
    <s v="Female"/>
    <s v="Member"/>
    <s v="Ewallet"/>
    <x v="3"/>
    <n v="7.8"/>
    <n v="47.66"/>
    <n v="9"/>
    <n v="35.200000000000003"/>
    <n v="140.1095"/>
    <n v="495.63"/>
    <n v="3.8764546470000001"/>
    <n v="65.150000000000006"/>
  </r>
  <r>
    <x v="0"/>
    <x v="0"/>
    <x v="61"/>
    <s v="10:24:PM"/>
    <n v="233434561"/>
    <s v="Male"/>
    <s v="Member"/>
    <s v="Credit card"/>
    <x v="3"/>
    <n v="7"/>
    <n v="63.17"/>
    <n v="10"/>
    <n v="88.66"/>
    <n v="115.2321"/>
    <n v="158.1"/>
    <n v="3.8764546470000001"/>
    <n v="40.299999999999997"/>
  </r>
  <r>
    <x v="2"/>
    <x v="2"/>
    <x v="62"/>
    <s v="11:33:AM"/>
    <n v="747348298"/>
    <s v="Female"/>
    <s v="Member"/>
    <s v="Cash"/>
    <x v="0"/>
    <n v="8.9"/>
    <n v="75.540000000000006"/>
    <n v="4"/>
    <n v="23.67"/>
    <n v="108.9449"/>
    <n v="302.95999999999998"/>
    <n v="3.8764546470000001"/>
    <n v="25.63"/>
  </r>
  <r>
    <x v="0"/>
    <x v="0"/>
    <x v="63"/>
    <s v="08:31:AM"/>
    <n v="907723352"/>
    <s v="Female"/>
    <s v="Member"/>
    <s v="Cash"/>
    <x v="0"/>
    <n v="2.2000000000000002"/>
    <n v="70.430000000000007"/>
    <n v="10"/>
    <n v="94.35"/>
    <n v="137.7191"/>
    <n v="158.69999999999999"/>
    <n v="3.8764546470000001"/>
    <n v="67.2"/>
  </r>
  <r>
    <x v="1"/>
    <x v="1"/>
    <x v="64"/>
    <s v="09:34:AM"/>
    <n v="586626799"/>
    <s v="Female"/>
    <s v="Normal"/>
    <s v="Ewallet"/>
    <x v="0"/>
    <n v="5.7"/>
    <n v="22.61"/>
    <n v="2"/>
    <n v="66.16"/>
    <n v="184.7593"/>
    <n v="66.94"/>
    <n v="3.8764546470000001"/>
    <n v="80.638999999999996"/>
  </r>
  <r>
    <x v="2"/>
    <x v="2"/>
    <x v="65"/>
    <s v="11:48:PM"/>
    <n v="720870430"/>
    <s v="Female"/>
    <s v="Member"/>
    <s v="Ewallet"/>
    <x v="5"/>
    <n v="3.2"/>
    <n v="62.6"/>
    <n v="6"/>
    <n v="31.18"/>
    <n v="167.4752"/>
    <n v="585.66"/>
    <n v="3.8764546470000001"/>
    <n v="31.76"/>
  </r>
  <r>
    <x v="0"/>
    <x v="0"/>
    <x v="66"/>
    <s v="08:25:PM"/>
    <n v="278092442"/>
    <s v="Male"/>
    <s v="Normal"/>
    <s v="Cash"/>
    <x v="3"/>
    <n v="1.3"/>
    <n v="41.65"/>
    <n v="10"/>
    <n v="86.94"/>
    <n v="117.6182"/>
    <n v="787.7"/>
    <n v="3.8764546470000001"/>
    <n v="45.688000000000002"/>
  </r>
  <r>
    <x v="0"/>
    <x v="0"/>
    <x v="67"/>
    <s v="12:22:PM"/>
    <n v="628733242"/>
    <s v="Female"/>
    <s v="Member"/>
    <s v="Cash"/>
    <x v="0"/>
    <n v="6.1"/>
    <n v="74.87"/>
    <n v="1"/>
    <n v="37.049999999999997"/>
    <n v="159.7612"/>
    <n v="18.329999999999998"/>
    <n v="3.8764546470000001"/>
    <n v="50"/>
  </r>
  <r>
    <x v="1"/>
    <x v="1"/>
    <x v="1"/>
    <s v="01:31:AM"/>
    <n v="459225745"/>
    <s v="Male"/>
    <s v="Normal"/>
    <s v="Credit card"/>
    <x v="4"/>
    <n v="6"/>
    <n v="94.17"/>
    <n v="10"/>
    <n v="47"/>
    <n v="125.1067"/>
    <n v="894.8"/>
    <n v="3.8764546470000001"/>
    <n v="67.2"/>
  </r>
  <r>
    <x v="1"/>
    <x v="1"/>
    <x v="68"/>
    <s v="10:37:AM"/>
    <n v="356417481"/>
    <s v="Male"/>
    <s v="Normal"/>
    <s v="Cash"/>
    <x v="5"/>
    <n v="9.8000000000000007"/>
    <n v="17.18"/>
    <n v="10"/>
    <n v="98.14"/>
    <n v="157.8115"/>
    <n v="621.20000000000005"/>
    <n v="3.8764546470000001"/>
    <n v="61.89"/>
  </r>
  <r>
    <x v="2"/>
    <x v="2"/>
    <x v="69"/>
    <s v="05:23:PM"/>
    <n v="636309754"/>
    <s v="Female"/>
    <s v="Member"/>
    <s v="Ewallet"/>
    <x v="4"/>
    <n v="2"/>
    <n v="76.52"/>
    <n v="3"/>
    <n v="71.67"/>
    <n v="121.0557"/>
    <n v="145.56"/>
    <n v="3.8764546470000001"/>
    <n v="89.88"/>
  </r>
  <r>
    <x v="1"/>
    <x v="1"/>
    <x v="70"/>
    <s v="07:49:AM"/>
    <n v="873163897"/>
    <s v="Female"/>
    <s v="Normal"/>
    <s v="Cash"/>
    <x v="1"/>
    <n v="4.5999999999999996"/>
    <n v="58.5"/>
    <n v="6"/>
    <n v="93.11"/>
    <n v="165.1121"/>
    <n v="455.46"/>
    <n v="3.8764546470000001"/>
    <n v="68.959999999999994"/>
  </r>
  <r>
    <x v="0"/>
    <x v="0"/>
    <x v="71"/>
    <s v="11:06:PM"/>
    <n v="791858556"/>
    <s v="Male"/>
    <s v="Normal"/>
    <s v="Ewallet"/>
    <x v="2"/>
    <n v="7.9"/>
    <n v="22.26"/>
    <n v="9"/>
    <n v="36.1"/>
    <n v="180.197"/>
    <n v="672.03"/>
    <n v="3.8764546470000001"/>
    <n v="34.06"/>
  </r>
  <r>
    <x v="1"/>
    <x v="1"/>
    <x v="72"/>
    <s v="05:58:PM"/>
    <n v="88836190"/>
    <s v="Female"/>
    <s v="Normal"/>
    <s v="Credit card"/>
    <x v="1"/>
    <n v="2.2000000000000002"/>
    <n v="19.350000000000001"/>
    <n v="10"/>
    <n v="19.53"/>
    <n v="183.96379999999999"/>
    <n v="416.5"/>
    <n v="3.8764546470000001"/>
    <n v="75.44"/>
  </r>
  <r>
    <x v="1"/>
    <x v="1"/>
    <x v="73"/>
    <s v="07:00:AM"/>
    <n v="745962110"/>
    <s v="Male"/>
    <s v="Member"/>
    <s v="Credit card"/>
    <x v="5"/>
    <n v="1.2"/>
    <n v="59.89"/>
    <n v="9"/>
    <n v="50.64"/>
    <n v="173.48869999999999"/>
    <n v="441.36"/>
    <n v="3.8764546470000001"/>
    <n v="78.92"/>
  </r>
  <r>
    <x v="0"/>
    <x v="0"/>
    <x v="74"/>
    <s v="08:17:AM"/>
    <n v="730556599"/>
    <s v="Female"/>
    <s v="Member"/>
    <s v="Credit card"/>
    <x v="5"/>
    <n v="5"/>
    <n v="71.69"/>
    <n v="9"/>
    <n v="94.4"/>
    <n v="121.3931"/>
    <n v="180.09"/>
    <n v="3.8764546470000001"/>
    <n v="42.000999999999998"/>
  </r>
  <r>
    <x v="1"/>
    <x v="1"/>
    <x v="75"/>
    <s v="06:47:PM"/>
    <n v="565448064"/>
    <s v="Female"/>
    <s v="Member"/>
    <s v="Ewallet"/>
    <x v="4"/>
    <n v="5.7"/>
    <n v="15.67"/>
    <n v="10"/>
    <n v="69.739999999999995"/>
    <n v="162.8897"/>
    <n v="783.1"/>
    <n v="3.8764546470000001"/>
    <n v="62.58"/>
  </r>
  <r>
    <x v="1"/>
    <x v="1"/>
    <x v="76"/>
    <s v="10:37:AM"/>
    <n v="366855889"/>
    <s v="Female"/>
    <s v="Member"/>
    <s v="Cash"/>
    <x v="0"/>
    <n v="7.5"/>
    <n v="78.89"/>
    <n v="5"/>
    <n v="15.6"/>
    <n v="147.52860000000001"/>
    <n v="101.9"/>
    <n v="3.8764546470000001"/>
    <n v="97.805000000000007"/>
  </r>
  <r>
    <x v="1"/>
    <x v="1"/>
    <x v="77"/>
    <s v="05:51:PM"/>
    <n v="751800468"/>
    <s v="Female"/>
    <s v="Member"/>
    <s v="Credit card"/>
    <x v="0"/>
    <n v="4.4000000000000004"/>
    <n v="53.28"/>
    <n v="6"/>
    <n v="82.86"/>
    <n v="119.4041"/>
    <n v="595.14"/>
    <n v="3.8764546470000001"/>
    <n v="17.315000000000001"/>
  </r>
  <r>
    <x v="2"/>
    <x v="2"/>
    <x v="20"/>
    <s v="10:59:PM"/>
    <n v="727154020"/>
    <s v="Female"/>
    <s v="Member"/>
    <s v="Ewallet"/>
    <x v="4"/>
    <n v="4"/>
    <n v="50.96"/>
    <n v="3"/>
    <n v="65.739999999999995"/>
    <n v="124.9208"/>
    <n v="290.04000000000002"/>
    <n v="3.8764546470000001"/>
    <n v="38.24"/>
  </r>
  <r>
    <x v="1"/>
    <x v="1"/>
    <x v="78"/>
    <s v="02:21:PM"/>
    <n v="572604299"/>
    <s v="Male"/>
    <s v="Normal"/>
    <s v="Ewallet"/>
    <x v="4"/>
    <n v="4"/>
    <n v="85.61"/>
    <n v="8"/>
    <n v="56.9"/>
    <n v="161.26439999999999"/>
    <n v="154"/>
    <n v="3.8764546470000001"/>
    <n v="65.459999999999994"/>
  </r>
  <r>
    <x v="1"/>
    <x v="1"/>
    <x v="79"/>
    <s v="03:59:PM"/>
    <n v="224127624"/>
    <s v="Female"/>
    <s v="Member"/>
    <s v="Credit card"/>
    <x v="4"/>
    <n v="5"/>
    <n v="63.72"/>
    <n v="4"/>
    <n v="81.849999999999994"/>
    <n v="141.80690000000001"/>
    <n v="321.44"/>
    <n v="3.8764546470000001"/>
    <n v="33.590000000000003"/>
  </r>
  <r>
    <x v="1"/>
    <x v="1"/>
    <x v="80"/>
    <s v="10:37:AM"/>
    <n v="560901937"/>
    <s v="Male"/>
    <s v="Member"/>
    <s v="Cash"/>
    <x v="3"/>
    <n v="8"/>
    <n v="23.35"/>
    <n v="5"/>
    <n v="74.5"/>
    <n v="107.38809999999999"/>
    <n v="244.55"/>
    <n v="3.8764546470000001"/>
    <n v="28.63"/>
  </r>
  <r>
    <x v="1"/>
    <x v="1"/>
    <x v="81"/>
    <s v="12:01:PM"/>
    <n v="634338843"/>
    <s v="Female"/>
    <s v="Normal"/>
    <s v="Ewallet"/>
    <x v="3"/>
    <n v="2"/>
    <n v="30.87"/>
    <n v="7"/>
    <n v="54.8"/>
    <n v="166.02850000000001"/>
    <n v="581.41999999999996"/>
    <n v="3.8764546470000001"/>
    <n v="19.658999999999999"/>
  </r>
  <r>
    <x v="1"/>
    <x v="1"/>
    <x v="82"/>
    <s v="01:18:PM"/>
    <n v="383811652"/>
    <s v="Male"/>
    <s v="Normal"/>
    <s v="Cash"/>
    <x v="5"/>
    <n v="2.1"/>
    <n v="11.24"/>
    <n v="5"/>
    <n v="43.57"/>
    <n v="106.3719"/>
    <n v="382.6"/>
    <n v="3.8764546470000001"/>
    <n v="64.885999999999996"/>
  </r>
  <r>
    <x v="0"/>
    <x v="0"/>
    <x v="83"/>
    <s v="02:27:AM"/>
    <n v="736765898"/>
    <s v="Male"/>
    <s v="Member"/>
    <s v="Credit card"/>
    <x v="4"/>
    <n v="9.6"/>
    <n v="23.4"/>
    <n v="7"/>
    <n v="89.24"/>
    <n v="144.83320000000001"/>
    <n v="345.66"/>
    <n v="3.8764546470000001"/>
    <n v="17.184000000000001"/>
  </r>
  <r>
    <x v="0"/>
    <x v="0"/>
    <x v="84"/>
    <s v="12:35:AM"/>
    <n v="379382369"/>
    <s v="Male"/>
    <s v="Normal"/>
    <s v="Cash"/>
    <x v="3"/>
    <n v="6.5"/>
    <n v="44.7"/>
    <n v="1"/>
    <n v="29.42"/>
    <n v="128.33250000000001"/>
    <n v="42.47"/>
    <n v="3.8764546470000001"/>
    <n v="63.69"/>
  </r>
  <r>
    <x v="2"/>
    <x v="2"/>
    <x v="85"/>
    <s v="02:14:PM"/>
    <n v="723810039"/>
    <s v="Female"/>
    <s v="Normal"/>
    <s v="Cash"/>
    <x v="0"/>
    <n v="1.8"/>
    <n v="35.79"/>
    <n v="6"/>
    <n v="11"/>
    <n v="152.2893"/>
    <n v="461.94"/>
    <n v="3.8764546470000001"/>
    <n v="37.091000000000001"/>
  </r>
  <r>
    <x v="1"/>
    <x v="1"/>
    <x v="86"/>
    <s v="03:16:AM"/>
    <n v="702674985"/>
    <s v="Female"/>
    <s v="Member"/>
    <s v="Cash"/>
    <x v="2"/>
    <n v="6.6"/>
    <n v="15.88"/>
    <n v="4"/>
    <n v="67.5"/>
    <n v="109.883"/>
    <n v="189.52"/>
    <n v="3.8764546470000001"/>
    <n v="26.184999999999999"/>
  </r>
  <r>
    <x v="1"/>
    <x v="1"/>
    <x v="87"/>
    <s v="01:45:AM"/>
    <n v="849063655"/>
    <s v="Female"/>
    <s v="Normal"/>
    <s v="Ewallet"/>
    <x v="3"/>
    <n v="2.4"/>
    <n v="76.900000000000006"/>
    <n v="10"/>
    <n v="84.84"/>
    <n v="149.19120000000001"/>
    <n v="448.6"/>
    <n v="3.8764546470000001"/>
    <n v="78.05"/>
  </r>
  <r>
    <x v="0"/>
    <x v="0"/>
    <x v="78"/>
    <s v="04:26:AM"/>
    <n v="238720631"/>
    <s v="Female"/>
    <s v="Member"/>
    <s v="Ewallet"/>
    <x v="3"/>
    <n v="2"/>
    <n v="94.12"/>
    <n v="7"/>
    <n v="89.65"/>
    <n v="135.18790000000001"/>
    <n v="153.86000000000001"/>
    <n v="3.8764546470000001"/>
    <n v="82.14"/>
  </r>
  <r>
    <x v="2"/>
    <x v="2"/>
    <x v="88"/>
    <s v="04:55:PM"/>
    <n v="999260658"/>
    <s v="Male"/>
    <s v="Member"/>
    <s v="Credit card"/>
    <x v="0"/>
    <n v="2"/>
    <n v="44.43"/>
    <n v="9"/>
    <n v="67.239999999999995"/>
    <n v="157.30840000000001"/>
    <n v="579.24"/>
    <n v="3.8764546470000001"/>
    <n v="88.94"/>
  </r>
  <r>
    <x v="1"/>
    <x v="1"/>
    <x v="89"/>
    <s v="07:50:PM"/>
    <n v="504267774"/>
    <s v="Male"/>
    <s v="Normal"/>
    <s v="Credit card"/>
    <x v="0"/>
    <n v="2"/>
    <n v="21.55"/>
    <n v="1"/>
    <n v="82.58"/>
    <n v="174.2825"/>
    <n v="89.75"/>
    <n v="3.8764546470000001"/>
    <n v="38.770000000000003"/>
  </r>
  <r>
    <x v="0"/>
    <x v="0"/>
    <x v="90"/>
    <s v="02:07:PM"/>
    <n v="948896654"/>
    <s v="Male"/>
    <s v="Normal"/>
    <s v="Ewallet"/>
    <x v="1"/>
    <n v="8"/>
    <n v="66.209999999999994"/>
    <n v="1"/>
    <n v="35.75"/>
    <n v="117.1014"/>
    <n v="97.16"/>
    <n v="3.8764546470000001"/>
    <n v="42.13"/>
  </r>
  <r>
    <x v="2"/>
    <x v="2"/>
    <x v="74"/>
    <s v="12:01:PM"/>
    <n v="837426622"/>
    <s v="Male"/>
    <s v="Normal"/>
    <s v="Ewallet"/>
    <x v="0"/>
    <n v="5.6"/>
    <n v="24.23"/>
    <n v="10"/>
    <n v="39.47"/>
    <n v="136.31469999999999"/>
    <n v="878.7"/>
    <n v="3.8764546470000001"/>
    <n v="73.16"/>
  </r>
  <r>
    <x v="3"/>
    <x v="1"/>
    <x v="91"/>
    <s v="07:21:AM"/>
    <n v="565202992"/>
    <s v="Female"/>
    <s v="Normal"/>
    <s v="Cash"/>
    <x v="1"/>
    <n v="6.5"/>
    <n v="33.69"/>
    <n v="6"/>
    <n v="17.260000000000002"/>
    <n v="145.25299999999999"/>
    <n v="74.7"/>
    <n v="3.8764546470000001"/>
    <n v="52.04"/>
  </r>
  <r>
    <x v="0"/>
    <x v="0"/>
    <x v="92"/>
    <s v="01:38:AM"/>
    <n v="471504766"/>
    <s v="Male"/>
    <s v="Normal"/>
    <s v="Ewallet"/>
    <x v="4"/>
    <n v="8"/>
    <n v="20.36"/>
    <n v="3"/>
    <n v="35.29"/>
    <n v="185.75360000000001"/>
    <n v="158.25"/>
    <n v="3.8764546470000001"/>
    <n v="40.14"/>
  </r>
  <r>
    <x v="2"/>
    <x v="2"/>
    <x v="93"/>
    <s v="11:06:PM"/>
    <n v="431890434"/>
    <s v="Male"/>
    <s v="Normal"/>
    <s v="Cash"/>
    <x v="2"/>
    <n v="4.7"/>
    <n v="39.549999999999997"/>
    <n v="6"/>
    <n v="32.67"/>
    <n v="117.60769999999999"/>
    <n v="496.2"/>
    <n v="3.8764546470000001"/>
    <n v="44.79"/>
  </r>
  <r>
    <x v="1"/>
    <x v="1"/>
    <x v="94"/>
    <s v="03:45:PM"/>
    <n v="865237586"/>
    <s v="Male"/>
    <s v="Member"/>
    <s v="Cash"/>
    <x v="5"/>
    <n v="3.2"/>
    <n v="61.74"/>
    <n v="1"/>
    <n v="13.25"/>
    <n v="184.7808"/>
    <n v="48.71"/>
    <n v="3.8764546470000001"/>
    <n v="35.14"/>
  </r>
  <r>
    <x v="1"/>
    <x v="1"/>
    <x v="95"/>
    <s v="08:10:AM"/>
    <n v="227333938"/>
    <s v="Male"/>
    <s v="Normal"/>
    <s v="Cash"/>
    <x v="5"/>
    <n v="5.6"/>
    <n v="69.27"/>
    <n v="9"/>
    <n v="69.709999999999994"/>
    <n v="175.88069999999999"/>
    <n v="706.95"/>
    <n v="3.8764546470000001"/>
    <n v="37.72"/>
  </r>
  <r>
    <x v="1"/>
    <x v="1"/>
    <x v="90"/>
    <s v="06:47:PM"/>
    <n v="884488729"/>
    <s v="Female"/>
    <s v="Normal"/>
    <s v="Cash"/>
    <x v="1"/>
    <n v="7.8"/>
    <n v="33.15"/>
    <n v="9"/>
    <n v="72.97"/>
    <n v="125.87139999999999"/>
    <n v="207.63"/>
    <n v="3.8764546470000001"/>
    <n v="42.12"/>
  </r>
  <r>
    <x v="0"/>
    <x v="0"/>
    <x v="96"/>
    <s v="12:28:AM"/>
    <n v="485322748"/>
    <s v="Male"/>
    <s v="Normal"/>
    <s v="Cash"/>
    <x v="4"/>
    <n v="7.8"/>
    <n v="20.66"/>
    <n v="6"/>
    <n v="16.95"/>
    <n v="102.8843"/>
    <n v="349.56"/>
    <n v="3.8764546470000001"/>
    <n v="25.311"/>
  </r>
  <r>
    <x v="2"/>
    <x v="2"/>
    <x v="97"/>
    <s v="08:46:PM"/>
    <n v="655788407"/>
    <s v="Male"/>
    <s v="Normal"/>
    <s v="Cash"/>
    <x v="0"/>
    <n v="5"/>
    <n v="23.52"/>
    <n v="7"/>
    <n v="40.1"/>
    <n v="179.20500000000001"/>
    <n v="212.45"/>
    <n v="3.8764546470000001"/>
    <n v="47.027000000000001"/>
  </r>
  <r>
    <x v="0"/>
    <x v="0"/>
    <x v="98"/>
    <s v="12:00:AM"/>
    <n v="149225380"/>
    <s v="Male"/>
    <s v="Member"/>
    <s v="Ewallet"/>
    <x v="1"/>
    <n v="5.3"/>
    <n v="47.41"/>
    <n v="10"/>
    <n v="70"/>
    <n v="152.98920000000001"/>
    <n v="886.7"/>
    <n v="3.8764546470000001"/>
    <n v="69.59"/>
  </r>
  <r>
    <x v="1"/>
    <x v="1"/>
    <x v="99"/>
    <s v="02:27:AM"/>
    <n v="649494492"/>
    <s v="Male"/>
    <s v="Normal"/>
    <s v="Credit card"/>
    <x v="5"/>
    <n v="4.2"/>
    <n v="45.74"/>
    <n v="6"/>
    <n v="30.2"/>
    <n v="166.81309999999999"/>
    <n v="164.28"/>
    <n v="3.8764546470000001"/>
    <n v="63.59"/>
  </r>
  <r>
    <x v="0"/>
    <x v="0"/>
    <x v="100"/>
    <s v="05:15:AM"/>
    <n v="326700470"/>
    <s v="Male"/>
    <s v="Normal"/>
    <s v="Cash"/>
    <x v="3"/>
    <n v="9.9"/>
    <n v="65.23"/>
    <n v="6"/>
    <n v="41.03"/>
    <n v="123.15819999999999"/>
    <n v="372.78"/>
    <n v="3.8764546470000001"/>
    <n v="17.86"/>
  </r>
  <r>
    <x v="1"/>
    <x v="1"/>
    <x v="101"/>
    <s v="02:28:PM"/>
    <n v="465680348"/>
    <s v="Female"/>
    <s v="Normal"/>
    <s v="Cash"/>
    <x v="4"/>
    <n v="7.4"/>
    <n v="96.22"/>
    <n v="9"/>
    <n v="21.84"/>
    <n v="171.25069999999999"/>
    <n v="305.82"/>
    <n v="3.8764546470000001"/>
    <n v="56.29"/>
  </r>
  <r>
    <x v="1"/>
    <x v="1"/>
    <x v="102"/>
    <s v="08:45:AM"/>
    <n v="923141336"/>
    <s v="Male"/>
    <s v="Member"/>
    <s v="Cash"/>
    <x v="1"/>
    <n v="8.4"/>
    <n v="51.37"/>
    <n v="10"/>
    <n v="36.6"/>
    <n v="156.91919999999999"/>
    <n v="819.7"/>
    <n v="3.8764546470000001"/>
    <n v="11.85"/>
  </r>
  <r>
    <x v="2"/>
    <x v="2"/>
    <x v="103"/>
    <s v="01:24:AM"/>
    <n v="452624647"/>
    <s v="Female"/>
    <s v="Member"/>
    <s v="Ewallet"/>
    <x v="3"/>
    <n v="2.7"/>
    <n v="39.06"/>
    <n v="2"/>
    <n v="33.9"/>
    <n v="103.7657"/>
    <n v="32.979999999999997"/>
    <n v="3.8764546470000001"/>
    <n v="21.03"/>
  </r>
  <r>
    <x v="1"/>
    <x v="1"/>
    <x v="104"/>
    <s v="10:58:AM"/>
    <n v="962420199"/>
    <s v="Female"/>
    <s v="Member"/>
    <s v="Credit card"/>
    <x v="0"/>
    <n v="7"/>
    <n v="37.9"/>
    <n v="3"/>
    <n v="40.18"/>
    <n v="117.67749999999999"/>
    <n v="294.63"/>
    <n v="3.8764546470000001"/>
    <n v="73.84"/>
  </r>
  <r>
    <x v="2"/>
    <x v="2"/>
    <x v="105"/>
    <s v="06:33:PM"/>
    <n v="411376964"/>
    <s v="Female"/>
    <s v="Normal"/>
    <s v="Cash"/>
    <x v="5"/>
    <n v="4"/>
    <n v="31.9"/>
    <n v="7"/>
    <n v="36.85"/>
    <n v="114.59699999999999"/>
    <n v="509.88"/>
    <n v="3.8764546470000001"/>
    <n v="32.159999999999997"/>
  </r>
  <r>
    <x v="0"/>
    <x v="0"/>
    <x v="77"/>
    <s v="02:56:PM"/>
    <n v="766324652"/>
    <s v="Male"/>
    <s v="Member"/>
    <s v="Ewallet"/>
    <x v="2"/>
    <n v="7.2"/>
    <n v="99.98"/>
    <n v="9"/>
    <n v="48.59"/>
    <n v="181.5384"/>
    <n v="522.63"/>
    <n v="3.8764546470000001"/>
    <n v="35.64"/>
  </r>
  <r>
    <x v="1"/>
    <x v="1"/>
    <x v="106"/>
    <s v="06:47:PM"/>
    <n v="650207025"/>
    <s v="Female"/>
    <s v="Member"/>
    <s v="Credit card"/>
    <x v="2"/>
    <n v="4.5"/>
    <n v="58.46"/>
    <n v="9"/>
    <n v="31.31"/>
    <n v="131.285"/>
    <n v="727.11"/>
    <n v="3.8764546470000001"/>
    <n v="13.92"/>
  </r>
  <r>
    <x v="1"/>
    <x v="1"/>
    <x v="107"/>
    <s v="05:01:AM"/>
    <n v="95055538"/>
    <s v="Female"/>
    <s v="Normal"/>
    <s v="Credit card"/>
    <x v="5"/>
    <n v="8.1999999999999993"/>
    <n v="35.26"/>
    <n v="3"/>
    <n v="25.8"/>
    <n v="107.3077"/>
    <n v="81.06"/>
    <n v="3.8764546470000001"/>
    <n v="73.44"/>
  </r>
  <r>
    <x v="2"/>
    <x v="2"/>
    <x v="108"/>
    <s v="01:53:PM"/>
    <n v="987578144"/>
    <s v="Male"/>
    <s v="Member"/>
    <s v="Ewallet"/>
    <x v="5"/>
    <n v="7.9"/>
    <n v="81.14"/>
    <n v="5"/>
    <n v="61.8"/>
    <n v="157.55860000000001"/>
    <n v="109.7"/>
    <n v="3.8764546470000001"/>
    <n v="30.97"/>
  </r>
  <r>
    <x v="2"/>
    <x v="2"/>
    <x v="109"/>
    <s v="03:10:PM"/>
    <n v="801023998"/>
    <s v="Male"/>
    <s v="Member"/>
    <s v="Ewallet"/>
    <x v="5"/>
    <n v="6"/>
    <n v="69.95"/>
    <n v="1"/>
    <n v="43.6"/>
    <n v="106.1968"/>
    <n v="51.36"/>
    <n v="3.8764546470000001"/>
    <n v="34.091000000000001"/>
  </r>
  <r>
    <x v="0"/>
    <x v="0"/>
    <x v="76"/>
    <s v="03:52:PM"/>
    <n v="462609200"/>
    <s v="Female"/>
    <s v="Normal"/>
    <s v="Ewallet"/>
    <x v="4"/>
    <n v="7"/>
    <n v="40.6"/>
    <n v="10"/>
    <n v="39.64"/>
    <n v="158.42830000000001"/>
    <n v="109.6"/>
    <n v="3.8764546470000001"/>
    <n v="42.115000000000002"/>
  </r>
  <r>
    <x v="2"/>
    <x v="2"/>
    <x v="1"/>
    <s v="01:45:AM"/>
    <n v="279953445"/>
    <s v="Male"/>
    <s v="Normal"/>
    <s v="Ewallet"/>
    <x v="2"/>
    <n v="3"/>
    <n v="75.22"/>
    <n v="2"/>
    <n v="69.12"/>
    <n v="180.32560000000001"/>
    <n v="106.88"/>
    <n v="3.8764546470000001"/>
    <n v="93.81"/>
  </r>
  <r>
    <x v="0"/>
    <x v="0"/>
    <x v="110"/>
    <s v="02:56:PM"/>
    <n v="216484625"/>
    <s v="Female"/>
    <s v="Normal"/>
    <s v="Credit card"/>
    <x v="1"/>
    <n v="2.8"/>
    <n v="66.37"/>
    <n v="8"/>
    <n v="13.26"/>
    <n v="159.3674"/>
    <n v="796.48"/>
    <n v="3.8764546470000001"/>
    <n v="43.98"/>
  </r>
  <r>
    <x v="1"/>
    <x v="1"/>
    <x v="111"/>
    <s v="12:07:AM"/>
    <n v="738503801"/>
    <s v="Male"/>
    <s v="Member"/>
    <s v="Credit card"/>
    <x v="3"/>
    <n v="4.0999999999999996"/>
    <n v="73.989999999999995"/>
    <n v="7"/>
    <n v="67.06"/>
    <n v="172.77809999999999"/>
    <n v="399.84"/>
    <n v="3.8764546470000001"/>
    <n v="68.58"/>
  </r>
  <r>
    <x v="2"/>
    <x v="2"/>
    <x v="112"/>
    <s v="07:57:PM"/>
    <n v="631883843"/>
    <s v="Male"/>
    <s v="Member"/>
    <s v="Credit card"/>
    <x v="3"/>
    <n v="9.8000000000000007"/>
    <n v="67.81"/>
    <n v="9"/>
    <n v="90.8"/>
    <n v="119.38630000000001"/>
    <n v="899.64"/>
    <n v="3.8764546470000001"/>
    <n v="18.343"/>
  </r>
  <r>
    <x v="1"/>
    <x v="1"/>
    <x v="113"/>
    <s v="12:57:PM"/>
    <n v="184516457"/>
    <s v="Male"/>
    <s v="Member"/>
    <s v="Credit card"/>
    <x v="2"/>
    <n v="3.7"/>
    <n v="70.56"/>
    <n v="8"/>
    <n v="62.7"/>
    <n v="120.2908"/>
    <n v="511.28"/>
    <n v="3.8764546470000001"/>
    <n v="96.965999999999994"/>
  </r>
  <r>
    <x v="2"/>
    <x v="2"/>
    <x v="114"/>
    <s v="10:17:PM"/>
    <n v="275777257"/>
    <s v="Female"/>
    <s v="Member"/>
    <s v="Ewallet"/>
    <x v="5"/>
    <n v="8.3000000000000007"/>
    <n v="72.94"/>
    <n v="8"/>
    <n v="97.7"/>
    <n v="182.1345"/>
    <n v="451.76"/>
    <n v="3.8764546470000001"/>
    <n v="23.69"/>
  </r>
  <r>
    <x v="0"/>
    <x v="0"/>
    <x v="115"/>
    <s v="06:12:PM"/>
    <n v="193443757"/>
    <s v="Female"/>
    <s v="Normal"/>
    <s v="Credit card"/>
    <x v="2"/>
    <n v="8"/>
    <n v="62.88"/>
    <n v="7"/>
    <n v="85.2"/>
    <n v="129.93430000000001"/>
    <n v="655.83"/>
    <n v="3.8764546470000001"/>
    <n v="59.97"/>
  </r>
  <r>
    <x v="0"/>
    <x v="0"/>
    <x v="116"/>
    <s v="12:01:PM"/>
    <n v="390934922"/>
    <s v="Female"/>
    <s v="Normal"/>
    <s v="Cash"/>
    <x v="3"/>
    <n v="1.6"/>
    <n v="43.14"/>
    <n v="5"/>
    <n v="33.21"/>
    <n v="166.12530000000001"/>
    <n v="161.25"/>
    <n v="3.8764546470000001"/>
    <n v="27.04"/>
  </r>
  <r>
    <x v="1"/>
    <x v="1"/>
    <x v="117"/>
    <s v="01:38:AM"/>
    <n v="655710847"/>
    <s v="Female"/>
    <s v="Normal"/>
    <s v="Credit card"/>
    <x v="5"/>
    <n v="4"/>
    <n v="14.15"/>
    <n v="9"/>
    <n v="64.39"/>
    <n v="187.1575"/>
    <n v="285.57"/>
    <n v="3.8764546470000001"/>
    <n v="88.45"/>
  </r>
  <r>
    <x v="1"/>
    <x v="1"/>
    <x v="118"/>
    <s v="03:59:PM"/>
    <n v="481281032"/>
    <s v="Female"/>
    <s v="Member"/>
    <s v="Ewallet"/>
    <x v="4"/>
    <n v="9"/>
    <n v="68.599999999999994"/>
    <n v="8"/>
    <n v="96.85"/>
    <n v="116.6294"/>
    <n v="548.32000000000005"/>
    <n v="3.8764546470000001"/>
    <n v="65.41"/>
  </r>
  <r>
    <x v="2"/>
    <x v="2"/>
    <x v="119"/>
    <s v="12:21:AM"/>
    <n v="297874607"/>
    <s v="Female"/>
    <s v="Normal"/>
    <s v="Ewallet"/>
    <x v="3"/>
    <n v="2"/>
    <n v="30.11"/>
    <n v="9"/>
    <n v="21.99"/>
    <n v="142.5949"/>
    <n v="812.52"/>
    <n v="3.8764546470000001"/>
    <n v="61.423999999999999"/>
  </r>
  <r>
    <x v="2"/>
    <x v="2"/>
    <x v="120"/>
    <s v="06:18:AM"/>
    <n v="377481813"/>
    <s v="Female"/>
    <s v="Normal"/>
    <s v="Cash"/>
    <x v="5"/>
    <n v="3.5"/>
    <n v="64.33"/>
    <n v="7"/>
    <n v="57.2"/>
    <n v="102.6422"/>
    <n v="277.33999999999997"/>
    <n v="3.8764546470000001"/>
    <n v="29.8"/>
  </r>
  <r>
    <x v="0"/>
    <x v="0"/>
    <x v="121"/>
    <s v="06:12:PM"/>
    <n v="424647121"/>
    <s v="Female"/>
    <s v="Member"/>
    <s v="Cash"/>
    <x v="3"/>
    <n v="7.9"/>
    <n v="10.89"/>
    <n v="6"/>
    <n v="80.72"/>
    <n v="144.74019999999999"/>
    <n v="552.78"/>
    <n v="3.8764546470000001"/>
    <n v="43.097999999999999"/>
  </r>
  <r>
    <x v="2"/>
    <x v="2"/>
    <x v="122"/>
    <s v="06:04:AM"/>
    <n v="697237727"/>
    <s v="Female"/>
    <s v="Normal"/>
    <s v="Cash"/>
    <x v="3"/>
    <n v="2.4"/>
    <n v="91.44"/>
    <n v="4"/>
    <n v="97.71"/>
    <n v="149.90940000000001"/>
    <n v="139.36000000000001"/>
    <n v="3.8764546470000001"/>
    <n v="59.929000000000002"/>
  </r>
  <r>
    <x v="2"/>
    <x v="2"/>
    <x v="123"/>
    <s v="05:02:PM"/>
    <n v="836336204"/>
    <s v="Male"/>
    <s v="Member"/>
    <s v="Credit card"/>
    <x v="1"/>
    <n v="6"/>
    <n v="11.71"/>
    <n v="6"/>
    <n v="88"/>
    <n v="125.7427"/>
    <n v="524.70000000000005"/>
    <n v="3.8764546470000001"/>
    <n v="14.127000000000001"/>
  </r>
  <r>
    <x v="1"/>
    <x v="1"/>
    <x v="124"/>
    <s v="11:27:PM"/>
    <n v="572283393"/>
    <s v="Female"/>
    <s v="Normal"/>
    <s v="Ewallet"/>
    <x v="0"/>
    <n v="2"/>
    <n v="71.31"/>
    <n v="6"/>
    <n v="11.12"/>
    <n v="131.88499999999999"/>
    <n v="487.8"/>
    <n v="3.8764546470000001"/>
    <n v="92.32"/>
  </r>
  <r>
    <x v="1"/>
    <x v="1"/>
    <x v="125"/>
    <s v="12:00:AM"/>
    <n v="746478873"/>
    <s v="Male"/>
    <s v="Normal"/>
    <s v="Cash"/>
    <x v="5"/>
    <n v="6.7"/>
    <n v="63.81"/>
    <n v="3"/>
    <n v="88.4"/>
    <n v="109.9654"/>
    <n v="270.66000000000003"/>
    <n v="3.8764546470000001"/>
    <n v="48.4"/>
  </r>
  <r>
    <x v="0"/>
    <x v="0"/>
    <x v="126"/>
    <s v="11:40:AM"/>
    <n v="49884126"/>
    <s v="Female"/>
    <s v="Normal"/>
    <s v="Credit card"/>
    <x v="1"/>
    <n v="8.1999999999999993"/>
    <n v="64.23"/>
    <n v="5"/>
    <n v="45.43"/>
    <n v="189.83799999999999"/>
    <n v="131.55000000000001"/>
    <n v="3.8764546470000001"/>
    <n v="90.802000000000007"/>
  </r>
  <r>
    <x v="0"/>
    <x v="0"/>
    <x v="39"/>
    <s v="04:20:PM"/>
    <n v="702267922"/>
    <s v="Female"/>
    <s v="Member"/>
    <s v="Cash"/>
    <x v="2"/>
    <n v="3"/>
    <n v="12.43"/>
    <n v="6"/>
    <n v="25.1"/>
    <n v="189.685"/>
    <n v="206.52"/>
    <n v="3.8764546470000001"/>
    <n v="96.635999999999996"/>
  </r>
  <r>
    <x v="2"/>
    <x v="2"/>
    <x v="127"/>
    <s v="09:00:PM"/>
    <n v="966240401"/>
    <s v="Male"/>
    <s v="Normal"/>
    <s v="Cash"/>
    <x v="3"/>
    <n v="1"/>
    <n v="42.98"/>
    <n v="10"/>
    <n v="17.920000000000002"/>
    <n v="136.73920000000001"/>
    <n v="519.1"/>
    <n v="3.8764546470000001"/>
    <n v="12.294"/>
  </r>
  <r>
    <x v="0"/>
    <x v="0"/>
    <x v="128"/>
    <s v="11:12:AM"/>
    <n v="101121188"/>
    <s v="Male"/>
    <s v="Normal"/>
    <s v="Ewallet"/>
    <x v="3"/>
    <n v="9.6999999999999993"/>
    <n v="37.86"/>
    <n v="8"/>
    <n v="90.8"/>
    <n v="187.99930000000001"/>
    <n v="580"/>
    <n v="3.8764546470000001"/>
    <n v="99.766999999999996"/>
  </r>
  <r>
    <x v="1"/>
    <x v="1"/>
    <x v="129"/>
    <s v="03:10:PM"/>
    <n v="570148893"/>
    <s v="Female"/>
    <s v="Member"/>
    <s v="Credit card"/>
    <x v="3"/>
    <n v="5"/>
    <n v="84.17"/>
    <n v="10"/>
    <n v="28.06"/>
    <n v="174.94970000000001"/>
    <n v="898"/>
    <n v="3.8764546470000001"/>
    <n v="28.33"/>
  </r>
  <r>
    <x v="1"/>
    <x v="1"/>
    <x v="6"/>
    <s v="05:36:AM"/>
    <n v="17240275"/>
    <s v="Male"/>
    <s v="Member"/>
    <s v="Cash"/>
    <x v="0"/>
    <n v="7.2"/>
    <n v="72.510000000000005"/>
    <n v="10"/>
    <n v="13.85"/>
    <n v="144.30109999999999"/>
    <n v="905"/>
    <n v="3.8764546470000001"/>
    <n v="59.45"/>
  </r>
  <r>
    <x v="1"/>
    <x v="1"/>
    <x v="130"/>
    <s v="08:11:PM"/>
    <n v="850060782"/>
    <s v="Female"/>
    <s v="Member"/>
    <s v="Cash"/>
    <x v="0"/>
    <n v="1"/>
    <n v="22.82"/>
    <n v="10"/>
    <n v="88.54"/>
    <n v="154.0224"/>
    <n v="686"/>
    <n v="3.8764546470000001"/>
    <n v="58.41"/>
  </r>
  <r>
    <x v="1"/>
    <x v="1"/>
    <x v="131"/>
    <s v="04:34:PM"/>
    <n v="958080487"/>
    <s v="Female"/>
    <s v="Member"/>
    <s v="Credit card"/>
    <x v="4"/>
    <n v="8.1999999999999993"/>
    <n v="76.14"/>
    <n v="1"/>
    <n v="26.23"/>
    <n v="158.32069999999999"/>
    <n v="30.41"/>
    <n v="3.8764546470000001"/>
    <n v="72.947999999999993"/>
  </r>
  <r>
    <x v="0"/>
    <x v="0"/>
    <x v="132"/>
    <s v="07:56:AM"/>
    <n v="295368807"/>
    <s v="Female"/>
    <s v="Normal"/>
    <s v="Ewallet"/>
    <x v="2"/>
    <n v="4"/>
    <n v="48.83"/>
    <n v="6"/>
    <n v="83.52"/>
    <n v="134.73009999999999"/>
    <n v="467.7"/>
    <n v="3.8764546470000001"/>
    <n v="22.081"/>
  </r>
  <r>
    <x v="1"/>
    <x v="1"/>
    <x v="133"/>
    <s v="02:55:AM"/>
    <n v="627969947"/>
    <s v="Female"/>
    <s v="Normal"/>
    <s v="Credit card"/>
    <x v="0"/>
    <n v="7.8"/>
    <n v="35.049999999999997"/>
    <n v="6"/>
    <n v="56.67"/>
    <n v="136.12880000000001"/>
    <n v="277.56"/>
    <n v="3.8764546470000001"/>
    <n v="93.947000000000003"/>
  </r>
  <r>
    <x v="0"/>
    <x v="0"/>
    <x v="134"/>
    <s v="12:42:AM"/>
    <n v="983921766"/>
    <s v="Female"/>
    <s v="Member"/>
    <s v="Ewallet"/>
    <x v="5"/>
    <n v="5"/>
    <n v="35.200000000000003"/>
    <n v="10"/>
    <n v="86.2"/>
    <n v="113.23480000000001"/>
    <n v="301.39999999999998"/>
    <n v="3.8764546470000001"/>
    <n v="75.3"/>
  </r>
  <r>
    <x v="1"/>
    <x v="1"/>
    <x v="135"/>
    <s v="06:39:AM"/>
    <n v="707435856"/>
    <s v="Male"/>
    <s v="Normal"/>
    <s v="Credit card"/>
    <x v="0"/>
    <n v="9.8000000000000007"/>
    <n v="23.57"/>
    <n v="4"/>
    <n v="31.79"/>
    <n v="155.71190000000001"/>
    <n v="264.56"/>
    <n v="3.8764546470000001"/>
    <n v="45.62"/>
  </r>
  <r>
    <x v="2"/>
    <x v="2"/>
    <x v="124"/>
    <s v="11:06:PM"/>
    <n v="335437223"/>
    <s v="Male"/>
    <s v="Member"/>
    <s v="Credit card"/>
    <x v="2"/>
    <n v="9.6"/>
    <n v="30.8"/>
    <n v="8"/>
    <n v="89.67"/>
    <n v="104.34180000000001"/>
    <n v="574.88"/>
    <n v="3.8764546470000001"/>
    <n v="88.48"/>
  </r>
  <r>
    <x v="0"/>
    <x v="0"/>
    <x v="136"/>
    <s v="10:24:PM"/>
    <n v="315854868"/>
    <s v="Male"/>
    <s v="Normal"/>
    <s v="Credit card"/>
    <x v="0"/>
    <n v="5"/>
    <n v="85.02"/>
    <n v="8"/>
    <n v="48.43"/>
    <n v="136.95480000000001"/>
    <n v="259.68"/>
    <n v="3.8764546470000001"/>
    <n v="21.42"/>
  </r>
  <r>
    <x v="2"/>
    <x v="2"/>
    <x v="137"/>
    <s v="08:04:PM"/>
    <n v="742443896"/>
    <s v="Female"/>
    <s v="Member"/>
    <s v="Credit card"/>
    <x v="5"/>
    <n v="4"/>
    <n v="37.75"/>
    <n v="4"/>
    <n v="19.920000000000002"/>
    <n v="189.51840000000001"/>
    <n v="366.16"/>
    <n v="3.8764546470000001"/>
    <n v="92.34"/>
  </r>
  <r>
    <x v="1"/>
    <x v="1"/>
    <x v="138"/>
    <s v="05:08:AM"/>
    <n v="179706036"/>
    <s v="Male"/>
    <s v="Member"/>
    <s v="Credit card"/>
    <x v="3"/>
    <n v="2"/>
    <n v="56.5"/>
    <n v="7"/>
    <n v="21.5"/>
    <n v="100.1893"/>
    <n v="241.92"/>
    <n v="3.8764546470000001"/>
    <n v="43.164000000000001"/>
  </r>
  <r>
    <x v="0"/>
    <x v="0"/>
    <x v="139"/>
    <s v="08:03:AM"/>
    <n v="819565615"/>
    <s v="Male"/>
    <s v="Normal"/>
    <s v="Credit card"/>
    <x v="5"/>
    <n v="7"/>
    <n v="58.17"/>
    <n v="9"/>
    <n v="45.6"/>
    <n v="120.5145"/>
    <n v="749.16"/>
    <n v="3.8764546470000001"/>
    <n v="44.462000000000003"/>
  </r>
  <r>
    <x v="1"/>
    <x v="1"/>
    <x v="140"/>
    <s v="05:01:AM"/>
    <n v="873496163"/>
    <s v="Female"/>
    <s v="Normal"/>
    <s v="Ewallet"/>
    <x v="4"/>
    <n v="9"/>
    <n v="42.51"/>
    <n v="6"/>
    <n v="39"/>
    <n v="146.53800000000001"/>
    <n v="98.88"/>
    <n v="3.8764546470000001"/>
    <n v="66.224000000000004"/>
  </r>
  <r>
    <x v="1"/>
    <x v="1"/>
    <x v="14"/>
    <s v="02:35:PM"/>
    <n v="426053863"/>
    <s v="Female"/>
    <s v="Normal"/>
    <s v="Cash"/>
    <x v="3"/>
    <n v="6"/>
    <n v="45.8"/>
    <n v="8"/>
    <n v="52"/>
    <n v="137.58690000000001"/>
    <n v="647.76"/>
    <n v="3.8764546470000001"/>
    <n v="81.039000000000001"/>
  </r>
  <r>
    <x v="0"/>
    <x v="0"/>
    <x v="141"/>
    <s v="05:09:PM"/>
    <n v="261490086"/>
    <s v="Male"/>
    <s v="Member"/>
    <s v="Credit card"/>
    <x v="4"/>
    <n v="3.8"/>
    <n v="82.31"/>
    <n v="5"/>
    <n v="46.7"/>
    <n v="139.6866"/>
    <n v="461.45"/>
    <n v="3.8764546470000001"/>
    <n v="45.33"/>
  </r>
  <r>
    <x v="2"/>
    <x v="2"/>
    <x v="142"/>
    <s v="04:41:PM"/>
    <n v="405007176"/>
    <s v="Male"/>
    <s v="Member"/>
    <s v="Cash"/>
    <x v="1"/>
    <n v="1.6"/>
    <n v="57.83"/>
    <n v="1"/>
    <n v="77.7"/>
    <n v="168.1799"/>
    <n v="72.17"/>
    <n v="3.8764546470000001"/>
    <n v="41.51"/>
  </r>
  <r>
    <x v="2"/>
    <x v="2"/>
    <x v="40"/>
    <s v="03:24:PM"/>
    <n v="234442565"/>
    <s v="Male"/>
    <s v="Normal"/>
    <s v="Ewallet"/>
    <x v="2"/>
    <n v="7.3"/>
    <n v="47.24"/>
    <n v="5"/>
    <n v="98.05"/>
    <n v="129.54499999999999"/>
    <n v="251.4"/>
    <n v="3.8764546470000001"/>
    <n v="88.13"/>
  </r>
  <r>
    <x v="2"/>
    <x v="2"/>
    <x v="143"/>
    <s v="11:33:AM"/>
    <n v="223103229"/>
    <s v="Male"/>
    <s v="Member"/>
    <s v="Ewallet"/>
    <x v="0"/>
    <n v="3.8"/>
    <n v="67.349999999999994"/>
    <n v="9"/>
    <n v="27.15"/>
    <n v="145.7739"/>
    <n v="874.98"/>
    <n v="3.8764546470000001"/>
    <n v="99.367000000000004"/>
  </r>
  <r>
    <x v="2"/>
    <x v="2"/>
    <x v="144"/>
    <s v="06:18:AM"/>
    <n v="420349427"/>
    <s v="Male"/>
    <s v="Normal"/>
    <s v="Ewallet"/>
    <x v="3"/>
    <n v="3"/>
    <n v="89.47"/>
    <n v="6"/>
    <n v="71.62"/>
    <n v="169.17660000000001"/>
    <n v="560.34"/>
    <n v="3.8764546470000001"/>
    <n v="92.462999999999994"/>
  </r>
  <r>
    <x v="1"/>
    <x v="1"/>
    <x v="145"/>
    <s v="02:00:PM"/>
    <n v="951355012"/>
    <s v="Female"/>
    <s v="Normal"/>
    <s v="Credit card"/>
    <x v="4"/>
    <n v="5"/>
    <n v="66.7"/>
    <n v="8"/>
    <n v="41.8"/>
    <n v="179.6395"/>
    <n v="345.44"/>
    <n v="3.8764546470000001"/>
    <n v="24.039000000000001"/>
  </r>
  <r>
    <x v="0"/>
    <x v="0"/>
    <x v="146"/>
    <s v="02:06:AM"/>
    <n v="304846315"/>
    <s v="Male"/>
    <s v="Normal"/>
    <s v="Cash"/>
    <x v="3"/>
    <n v="7"/>
    <n v="10.46"/>
    <n v="1"/>
    <n v="59.97"/>
    <n v="161.08750000000001"/>
    <n v="63.69"/>
    <n v="3.8764546470000001"/>
    <n v="79.370999999999995"/>
  </r>
  <r>
    <x v="0"/>
    <x v="0"/>
    <x v="147"/>
    <s v="07:15:PM"/>
    <n v="407714962"/>
    <s v="Male"/>
    <s v="Normal"/>
    <s v="Credit card"/>
    <x v="4"/>
    <n v="4"/>
    <n v="15.04"/>
    <n v="7"/>
    <n v="53.35"/>
    <n v="170.80969999999999"/>
    <n v="320.52999999999997"/>
    <n v="3.8764546470000001"/>
    <n v="61.43"/>
  </r>
  <r>
    <x v="1"/>
    <x v="1"/>
    <x v="148"/>
    <s v="06:46:AM"/>
    <n v="381712307"/>
    <s v="Male"/>
    <s v="Normal"/>
    <s v="Ewallet"/>
    <x v="3"/>
    <n v="6"/>
    <n v="43.61"/>
    <n v="2"/>
    <n v="98.71"/>
    <n v="115.0818"/>
    <n v="152.80000000000001"/>
    <n v="3.8764546470000001"/>
    <n v="91.034999999999997"/>
  </r>
  <r>
    <x v="2"/>
    <x v="2"/>
    <x v="149"/>
    <s v="10:23:AM"/>
    <n v="461081424"/>
    <s v="Male"/>
    <s v="Normal"/>
    <s v="Credit card"/>
    <x v="4"/>
    <n v="1.7"/>
    <n v="91.42"/>
    <n v="10"/>
    <n v="44.4"/>
    <n v="118.0788"/>
    <n v="399"/>
    <n v="3.8764546470000001"/>
    <n v="42.655999999999999"/>
  </r>
  <r>
    <x v="2"/>
    <x v="2"/>
    <x v="150"/>
    <s v="09:56:PM"/>
    <n v="21032718"/>
    <s v="Male"/>
    <s v="Member"/>
    <s v="Ewallet"/>
    <x v="0"/>
    <n v="8.5"/>
    <n v="57.56"/>
    <n v="8"/>
    <n v="30.82"/>
    <n v="113.99039999999999"/>
    <n v="340.56"/>
    <n v="3.8764546470000001"/>
    <n v="86.771000000000001"/>
  </r>
  <r>
    <x v="1"/>
    <x v="1"/>
    <x v="151"/>
    <s v="07:00:AM"/>
    <n v="419006012"/>
    <s v="Male"/>
    <s v="Normal"/>
    <s v="Cash"/>
    <x v="2"/>
    <n v="6.9"/>
    <n v="56.01"/>
    <n v="10"/>
    <n v="51.46"/>
    <n v="110.9102"/>
    <n v="955.8"/>
    <n v="3.8764546470000001"/>
    <n v="58.5"/>
  </r>
  <r>
    <x v="0"/>
    <x v="0"/>
    <x v="133"/>
    <s v="12:29:PM"/>
    <n v="931641947"/>
    <s v="Male"/>
    <s v="Normal"/>
    <s v="Credit card"/>
    <x v="5"/>
    <n v="2"/>
    <n v="59.94"/>
    <n v="10"/>
    <n v="88.47"/>
    <n v="110.70310000000001"/>
    <n v="989.8"/>
    <n v="3.8764546470000001"/>
    <n v="88.05"/>
  </r>
  <r>
    <x v="0"/>
    <x v="0"/>
    <x v="142"/>
    <s v="10:03:PM"/>
    <n v="226695339"/>
    <s v="Male"/>
    <s v="Normal"/>
    <s v="Cash"/>
    <x v="4"/>
    <n v="7.1"/>
    <n v="66.319999999999993"/>
    <n v="6"/>
    <n v="58.73"/>
    <n v="178.92760000000001"/>
    <n v="307.68"/>
    <n v="3.8764546470000001"/>
    <n v="92.65"/>
  </r>
  <r>
    <x v="0"/>
    <x v="0"/>
    <x v="152"/>
    <s v="01:04:PM"/>
    <n v="951611496"/>
    <s v="Male"/>
    <s v="Member"/>
    <s v="Credit card"/>
    <x v="3"/>
    <n v="7.5"/>
    <n v="16.170000000000002"/>
    <n v="7"/>
    <n v="29.84"/>
    <n v="174.17160000000001"/>
    <n v="486.64"/>
    <n v="3.8764546470000001"/>
    <n v="52.16"/>
  </r>
  <r>
    <x v="0"/>
    <x v="0"/>
    <x v="153"/>
    <s v="06:40:PM"/>
    <n v="760216318"/>
    <s v="Male"/>
    <s v="Normal"/>
    <s v="Ewallet"/>
    <x v="0"/>
    <n v="6.4"/>
    <n v="81.06"/>
    <n v="5"/>
    <n v="98.57"/>
    <n v="111.3092"/>
    <n v="350.05"/>
    <n v="3.8764546470000001"/>
    <n v="47.808"/>
  </r>
  <r>
    <x v="2"/>
    <x v="2"/>
    <x v="154"/>
    <s v="02:55:AM"/>
    <n v="606693367"/>
    <s v="Male"/>
    <s v="Member"/>
    <s v="Credit card"/>
    <x v="4"/>
    <n v="7"/>
    <n v="38.83"/>
    <n v="5"/>
    <n v="34.39"/>
    <n v="128.53890000000001"/>
    <n v="400.25"/>
    <n v="3.8764546470000001"/>
    <n v="74.775000000000006"/>
  </r>
  <r>
    <x v="1"/>
    <x v="1"/>
    <x v="155"/>
    <s v="05:23:PM"/>
    <n v="518134712"/>
    <s v="Male"/>
    <s v="Normal"/>
    <s v="Cash"/>
    <x v="1"/>
    <n v="7.2"/>
    <n v="87.68"/>
    <n v="8"/>
    <n v="23.11"/>
    <n v="172.43719999999999"/>
    <n v="166.8"/>
    <n v="3.8764546470000001"/>
    <n v="83.67"/>
  </r>
  <r>
    <x v="2"/>
    <x v="2"/>
    <x v="156"/>
    <s v="05:23:PM"/>
    <n v="947765638"/>
    <s v="Male"/>
    <s v="Member"/>
    <s v="Credit card"/>
    <x v="1"/>
    <n v="5.3"/>
    <n v="55.51"/>
    <n v="6"/>
    <n v="84.62"/>
    <n v="148.46870000000001"/>
    <n v="317.33999999999997"/>
    <n v="3.8764546470000001"/>
    <n v="99.63"/>
  </r>
  <r>
    <x v="2"/>
    <x v="2"/>
    <x v="14"/>
    <s v="02:34:AM"/>
    <n v="204487369"/>
    <s v="Male"/>
    <s v="Normal"/>
    <s v="Ewallet"/>
    <x v="4"/>
    <n v="6.6"/>
    <n v="22.77"/>
    <n v="8"/>
    <n v="86.5"/>
    <n v="121.6409"/>
    <n v="158.32"/>
    <n v="3.8764546470000001"/>
    <n v="92.462000000000003"/>
  </r>
  <r>
    <x v="0"/>
    <x v="0"/>
    <x v="157"/>
    <s v="03:03:PM"/>
    <n v="881159997"/>
    <s v="Male"/>
    <s v="Member"/>
    <s v="Ewallet"/>
    <x v="2"/>
    <n v="2.8"/>
    <n v="13.15"/>
    <n v="9"/>
    <n v="47.95"/>
    <n v="116.6681"/>
    <n v="304.56"/>
    <n v="3.8764546470000001"/>
    <n v="21.1"/>
  </r>
  <r>
    <x v="0"/>
    <x v="0"/>
    <x v="158"/>
    <s v="02:06:AM"/>
    <n v="858383922"/>
    <s v="Male"/>
    <s v="Member"/>
    <s v="Credit card"/>
    <x v="4"/>
    <n v="5.9"/>
    <n v="57.13"/>
    <n v="8"/>
    <n v="96.8"/>
    <n v="139.8646"/>
    <n v="177.36"/>
    <n v="3.8764546470000001"/>
    <n v="88.86"/>
  </r>
  <r>
    <x v="1"/>
    <x v="1"/>
    <x v="159"/>
    <s v="01:11:PM"/>
    <n v="117033178"/>
    <s v="Female"/>
    <s v="Normal"/>
    <s v="Credit card"/>
    <x v="5"/>
    <n v="1.4"/>
    <n v="26.56"/>
    <n v="7"/>
    <n v="77.17"/>
    <n v="134.96119999999999"/>
    <n v="157.57"/>
    <n v="3.8764546470000001"/>
    <n v="42"/>
  </r>
  <r>
    <x v="0"/>
    <x v="0"/>
    <x v="160"/>
    <s v="05:01:AM"/>
    <n v="188304463"/>
    <s v="Male"/>
    <s v="Normal"/>
    <s v="Ewallet"/>
    <x v="4"/>
    <n v="3.6"/>
    <n v="34.76"/>
    <n v="6"/>
    <n v="50.7"/>
    <n v="154.2003"/>
    <n v="443.28"/>
    <n v="3.8764546470000001"/>
    <n v="95.930999999999997"/>
  </r>
  <r>
    <x v="1"/>
    <x v="1"/>
    <x v="161"/>
    <s v="01:59:AM"/>
    <n v="737989781"/>
    <s v="Male"/>
    <s v="Member"/>
    <s v="Ewallet"/>
    <x v="0"/>
    <n v="8.5"/>
    <n v="17.989999999999998"/>
    <n v="3"/>
    <n v="17.8"/>
    <n v="112.84869999999999"/>
    <n v="260.39999999999998"/>
    <n v="3.8764546470000001"/>
    <n v="48.457999999999998"/>
  </r>
  <r>
    <x v="1"/>
    <x v="1"/>
    <x v="162"/>
    <s v="01:52:AM"/>
    <n v="46690429"/>
    <s v="Male"/>
    <s v="Normal"/>
    <s v="Cash"/>
    <x v="5"/>
    <n v="4"/>
    <n v="82.75"/>
    <n v="7"/>
    <n v="38.700000000000003"/>
    <n v="167.42760000000001"/>
    <n v="449.82"/>
    <n v="3.8764546470000001"/>
    <n v="64.989999999999995"/>
  </r>
  <r>
    <x v="1"/>
    <x v="1"/>
    <x v="163"/>
    <s v="05:15:AM"/>
    <n v="298276029"/>
    <s v="Male"/>
    <s v="Member"/>
    <s v="Cash"/>
    <x v="4"/>
    <n v="6"/>
    <n v="20.61"/>
    <n v="8"/>
    <n v="89.43"/>
    <n v="150.18010000000001"/>
    <n v="307.76"/>
    <n v="3.8764546470000001"/>
    <n v="87.177000000000007"/>
  </r>
  <r>
    <x v="0"/>
    <x v="0"/>
    <x v="164"/>
    <s v="06:53:AM"/>
    <n v="936195682"/>
    <s v="Male"/>
    <s v="Member"/>
    <s v="Ewallet"/>
    <x v="3"/>
    <n v="4"/>
    <n v="34.56"/>
    <n v="10"/>
    <n v="28.8"/>
    <n v="104.0329"/>
    <n v="155"/>
    <n v="3.8764546470000001"/>
    <n v="20.486999999999998"/>
  </r>
  <r>
    <x v="1"/>
    <x v="1"/>
    <x v="32"/>
    <s v="12:15:PM"/>
    <n v="532974211"/>
    <s v="Male"/>
    <s v="Normal"/>
    <s v="Ewallet"/>
    <x v="0"/>
    <n v="5"/>
    <n v="69"/>
    <n v="8"/>
    <n v="98.3"/>
    <n v="159.41579999999999"/>
    <n v="274.48"/>
    <n v="3.8764546470000001"/>
    <n v="95.725999999999999"/>
  </r>
  <r>
    <x v="0"/>
    <x v="0"/>
    <x v="165"/>
    <s v="08:38:AM"/>
    <n v="111180279"/>
    <s v="Female"/>
    <s v="Normal"/>
    <s v="Credit card"/>
    <x v="3"/>
    <n v="4"/>
    <n v="59.91"/>
    <n v="7"/>
    <n v="98.82"/>
    <n v="104.367"/>
    <n v="86.38"/>
    <n v="3.8764546470000001"/>
    <n v="98.507000000000005"/>
  </r>
  <r>
    <x v="2"/>
    <x v="2"/>
    <x v="166"/>
    <s v="05:09:PM"/>
    <n v="379499345"/>
    <s v="Male"/>
    <s v="Member"/>
    <s v="Ewallet"/>
    <x v="4"/>
    <n v="2.8"/>
    <n v="71.25"/>
    <n v="3"/>
    <n v="21.94"/>
    <n v="162.95060000000001"/>
    <n v="54.24"/>
    <n v="3.8764546470000001"/>
    <n v="62.74"/>
  </r>
  <r>
    <x v="2"/>
    <x v="2"/>
    <x v="97"/>
    <s v="03:16:AM"/>
    <n v="28986560"/>
    <s v="Female"/>
    <s v="Member"/>
    <s v="Ewallet"/>
    <x v="2"/>
    <n v="9.3000000000000007"/>
    <n v="27.58"/>
    <n v="8"/>
    <n v="48.9"/>
    <n v="146.61760000000001"/>
    <n v="755.92"/>
    <n v="3.8764546470000001"/>
    <n v="97.602999999999994"/>
  </r>
  <r>
    <x v="2"/>
    <x v="2"/>
    <x v="167"/>
    <s v="05:01:AM"/>
    <n v="525464582"/>
    <s v="Male"/>
    <s v="Member"/>
    <s v="Cash"/>
    <x v="2"/>
    <n v="1.6"/>
    <n v="51.97"/>
    <n v="4"/>
    <n v="48.16"/>
    <n v="189.13919999999999"/>
    <n v="185.88"/>
    <n v="3.8764546470000001"/>
    <n v="34.83"/>
  </r>
  <r>
    <x v="0"/>
    <x v="0"/>
    <x v="168"/>
    <s v="09:28:PM"/>
    <n v="767496854"/>
    <s v="Male"/>
    <s v="Normal"/>
    <s v="Ewallet"/>
    <x v="2"/>
    <n v="7"/>
    <n v="42.72"/>
    <n v="1"/>
    <n v="80.290000000000006"/>
    <n v="150.69540000000001"/>
    <n v="74.069999999999993"/>
    <n v="3.8764546470000001"/>
    <n v="88.058000000000007"/>
  </r>
  <r>
    <x v="1"/>
    <x v="1"/>
    <x v="169"/>
    <s v="03:38:PM"/>
    <n v="324318283"/>
    <s v="Female"/>
    <s v="Normal"/>
    <s v="Credit card"/>
    <x v="2"/>
    <n v="4.8"/>
    <n v="34.99"/>
    <n v="4"/>
    <n v="63.51"/>
    <n v="141.172"/>
    <n v="279.24"/>
    <n v="3.8764546470000001"/>
    <n v="40.695"/>
  </r>
  <r>
    <x v="2"/>
    <x v="2"/>
    <x v="43"/>
    <s v="06:46:AM"/>
    <n v="866277602"/>
    <s v="Female"/>
    <s v="Normal"/>
    <s v="Credit card"/>
    <x v="2"/>
    <n v="9.6999999999999993"/>
    <n v="92.03"/>
    <n v="3"/>
    <n v="73.33"/>
    <n v="122.3897"/>
    <n v="231.12"/>
    <n v="3.8764546470000001"/>
    <n v="89.66"/>
  </r>
  <r>
    <x v="2"/>
    <x v="2"/>
    <x v="170"/>
    <s v="07:49:AM"/>
    <n v="298340252"/>
    <s v="Female"/>
    <s v="Normal"/>
    <s v="Ewallet"/>
    <x v="5"/>
    <n v="2"/>
    <n v="21.21"/>
    <n v="2"/>
    <n v="11.3"/>
    <n v="133.14779999999999"/>
    <n v="147.04"/>
    <n v="3.8764546470000001"/>
    <n v="24.683"/>
  </r>
  <r>
    <x v="1"/>
    <x v="1"/>
    <x v="37"/>
    <s v="11:47:AM"/>
    <n v="45947838"/>
    <s v="Female"/>
    <s v="Normal"/>
    <s v="Cash"/>
    <x v="4"/>
    <n v="9.4"/>
    <n v="69.83"/>
    <n v="9"/>
    <n v="23.83"/>
    <n v="141.05070000000001"/>
    <n v="790.2"/>
    <n v="3.8764546470000001"/>
    <n v="80.290000000000006"/>
  </r>
  <r>
    <x v="2"/>
    <x v="2"/>
    <x v="171"/>
    <s v="11:20:PM"/>
    <n v="486868060"/>
    <s v="Male"/>
    <s v="Normal"/>
    <s v="Ewallet"/>
    <x v="2"/>
    <n v="5.9"/>
    <n v="49.96"/>
    <n v="4"/>
    <n v="91.06"/>
    <n v="177.18690000000001"/>
    <n v="102.2"/>
    <n v="3.8764546470000001"/>
    <n v="85.031999999999996"/>
  </r>
  <r>
    <x v="0"/>
    <x v="0"/>
    <x v="172"/>
    <s v="01:59:AM"/>
    <n v="672592456"/>
    <s v="Male"/>
    <s v="Normal"/>
    <s v="Credit card"/>
    <x v="1"/>
    <n v="4.3"/>
    <n v="63.31"/>
    <n v="5"/>
    <n v="28.16"/>
    <n v="164.9589"/>
    <n v="163.55000000000001"/>
    <n v="3.8764546470000001"/>
    <n v="25.206"/>
  </r>
  <r>
    <x v="1"/>
    <x v="1"/>
    <x v="56"/>
    <s v="08:18:PM"/>
    <n v="12035586"/>
    <s v="Female"/>
    <s v="Member"/>
    <s v="Cash"/>
    <x v="5"/>
    <n v="1"/>
    <n v="87.36"/>
    <n v="1"/>
    <n v="36.32"/>
    <n v="158.8956"/>
    <n v="74.290000000000006"/>
    <n v="3.8764546470000001"/>
    <n v="49.924999999999997"/>
  </r>
  <r>
    <x v="1"/>
    <x v="1"/>
    <x v="86"/>
    <s v="08:31:AM"/>
    <n v="343234358"/>
    <s v="Male"/>
    <s v="Member"/>
    <s v="Cash"/>
    <x v="0"/>
    <n v="2"/>
    <n v="12.53"/>
    <n v="2"/>
    <n v="87.51"/>
    <n v="140.64859999999999"/>
    <n v="87.4"/>
    <n v="3.8764546470000001"/>
    <n v="23.957000000000001"/>
  </r>
  <r>
    <x v="0"/>
    <x v="0"/>
    <x v="173"/>
    <s v="03:44:AM"/>
    <n v="724553491"/>
    <s v="Female"/>
    <s v="Normal"/>
    <s v="Ewallet"/>
    <x v="2"/>
    <n v="9"/>
    <n v="51.45"/>
    <n v="1"/>
    <n v="86.39"/>
    <n v="146.3931"/>
    <n v="25.29"/>
    <n v="3.8764546470000001"/>
    <n v="77.293000000000006"/>
  </r>
  <r>
    <x v="1"/>
    <x v="1"/>
    <x v="174"/>
    <s v="01:03:AM"/>
    <n v="143725988"/>
    <s v="Male"/>
    <s v="Normal"/>
    <s v="Credit card"/>
    <x v="0"/>
    <n v="8"/>
    <n v="82.82"/>
    <n v="4"/>
    <n v="36.19"/>
    <n v="123.4965"/>
    <n v="166"/>
    <n v="3.8764546470000001"/>
    <n v="91.569000000000003"/>
  </r>
  <r>
    <x v="1"/>
    <x v="1"/>
    <x v="175"/>
    <s v="07:21:AM"/>
    <n v="52996884"/>
    <s v="Female"/>
    <s v="Member"/>
    <s v="Credit card"/>
    <x v="4"/>
    <n v="4.0999999999999996"/>
    <n v="56.09"/>
    <n v="5"/>
    <n v="86.94"/>
    <n v="161.60499999999999"/>
    <n v="356.95"/>
    <n v="3.8764546470000001"/>
    <n v="43.465000000000003"/>
  </r>
  <r>
    <x v="1"/>
    <x v="1"/>
    <x v="176"/>
    <s v="05:29:AM"/>
    <n v="309502654"/>
    <s v="Female"/>
    <s v="Member"/>
    <s v="Credit card"/>
    <x v="3"/>
    <n v="9"/>
    <n v="48.73"/>
    <n v="6"/>
    <n v="77.540000000000006"/>
    <n v="173.18450000000001"/>
    <n v="114.9"/>
    <n v="3.8764546470000001"/>
    <n v="36.037999999999997"/>
  </r>
  <r>
    <x v="2"/>
    <x v="2"/>
    <x v="177"/>
    <s v="07:57:PM"/>
    <n v="163367509"/>
    <s v="Female"/>
    <s v="Member"/>
    <s v="Cash"/>
    <x v="1"/>
    <n v="4.0999999999999996"/>
    <n v="62.62"/>
    <n v="4"/>
    <n v="18.010000000000002"/>
    <n v="105.6965"/>
    <n v="229.96"/>
    <n v="3.8764546470000001"/>
    <n v="12.996"/>
  </r>
  <r>
    <x v="1"/>
    <x v="1"/>
    <x v="178"/>
    <s v="10:10:PM"/>
    <n v="404791406"/>
    <s v="Male"/>
    <s v="Normal"/>
    <s v="Cash"/>
    <x v="1"/>
    <n v="1.5"/>
    <n v="41.57"/>
    <n v="7"/>
    <n v="31.06"/>
    <n v="154.42439999999999"/>
    <n v="429.87"/>
    <n v="3.8764546470000001"/>
    <n v="50.578000000000003"/>
  </r>
  <r>
    <x v="2"/>
    <x v="2"/>
    <x v="179"/>
    <s v="02:07:PM"/>
    <n v="850828353"/>
    <s v="Male"/>
    <s v="Member"/>
    <s v="Ewallet"/>
    <x v="0"/>
    <n v="9.8000000000000007"/>
    <n v="48.66"/>
    <n v="10"/>
    <n v="17.82"/>
    <n v="107.9375"/>
    <n v="259"/>
    <n v="3.8764546470000001"/>
    <n v="38.97"/>
  </r>
  <r>
    <x v="2"/>
    <x v="2"/>
    <x v="65"/>
    <s v="08:45:AM"/>
    <n v="795535274"/>
    <s v="Male"/>
    <s v="Member"/>
    <s v="Credit card"/>
    <x v="2"/>
    <n v="5.3"/>
    <n v="86.1"/>
    <n v="5"/>
    <n v="45.2"/>
    <n v="131.8673"/>
    <n v="88.85"/>
    <n v="3.8764546470000001"/>
    <n v="38.11"/>
  </r>
  <r>
    <x v="0"/>
    <x v="0"/>
    <x v="180"/>
    <s v="03:17:PM"/>
    <n v="708195727"/>
    <s v="Female"/>
    <s v="Normal"/>
    <s v="Ewallet"/>
    <x v="0"/>
    <n v="7.9"/>
    <n v="62.69"/>
    <n v="9"/>
    <n v="99.21"/>
    <n v="143.41489999999999"/>
    <n v="207.27"/>
    <n v="3.8764546470000001"/>
    <n v="81.099999999999994"/>
  </r>
  <r>
    <x v="1"/>
    <x v="1"/>
    <x v="181"/>
    <s v="03:17:PM"/>
    <n v="105392585"/>
    <s v="Female"/>
    <s v="Member"/>
    <s v="Credit card"/>
    <x v="1"/>
    <n v="7.3"/>
    <n v="85.75"/>
    <n v="9"/>
    <n v="17.79"/>
    <n v="125.72020000000001"/>
    <n v="599.85"/>
    <n v="3.8764546470000001"/>
    <n v="14.19"/>
  </r>
  <r>
    <x v="1"/>
    <x v="1"/>
    <x v="182"/>
    <s v="07:01:PM"/>
    <n v="673018083"/>
    <s v="Female"/>
    <s v="Member"/>
    <s v="Ewallet"/>
    <x v="2"/>
    <n v="7.2"/>
    <n v="57.02"/>
    <n v="10"/>
    <n v="35.659999999999997"/>
    <n v="158.54060000000001"/>
    <n v="285.3"/>
    <n v="3.8764546470000001"/>
    <n v="35.71"/>
  </r>
  <r>
    <x v="2"/>
    <x v="2"/>
    <x v="183"/>
    <s v="01:32:PM"/>
    <n v="686027931"/>
    <s v="Female"/>
    <s v="Normal"/>
    <s v="Ewallet"/>
    <x v="5"/>
    <n v="7"/>
    <n v="56.6"/>
    <n v="3"/>
    <n v="68.7"/>
    <n v="111.65349999999999"/>
    <n v="91.11"/>
    <n v="3.8764546470000001"/>
    <n v="71.16"/>
  </r>
  <r>
    <x v="2"/>
    <x v="2"/>
    <x v="109"/>
    <s v="06:05:PM"/>
    <n v="483084266"/>
    <s v="Female"/>
    <s v="Normal"/>
    <s v="Credit card"/>
    <x v="1"/>
    <n v="1.8"/>
    <n v="17.66"/>
    <n v="9"/>
    <n v="48.66"/>
    <n v="149.2371"/>
    <n v="897.57"/>
    <n v="3.8764546470000001"/>
    <n v="65.09"/>
  </r>
  <r>
    <x v="0"/>
    <x v="0"/>
    <x v="54"/>
    <s v="10:10:PM"/>
    <n v="584927742"/>
    <s v="Male"/>
    <s v="Normal"/>
    <s v="Ewallet"/>
    <x v="1"/>
    <n v="8"/>
    <n v="95.69"/>
    <n v="9"/>
    <n v="81.06"/>
    <n v="171.82329999999999"/>
    <n v="236.07"/>
    <n v="3.8764546470000001"/>
    <n v="79.075999999999993"/>
  </r>
  <r>
    <x v="1"/>
    <x v="1"/>
    <x v="67"/>
    <s v="07:57:PM"/>
    <n v="173777229"/>
    <s v="Female"/>
    <s v="Normal"/>
    <s v="Cash"/>
    <x v="4"/>
    <n v="2"/>
    <n v="26.16"/>
    <n v="9"/>
    <n v="46.58"/>
    <n v="158.84710000000001"/>
    <n v="839.34"/>
    <n v="3.8764546470000001"/>
    <n v="79.986000000000004"/>
  </r>
  <r>
    <x v="2"/>
    <x v="2"/>
    <x v="184"/>
    <s v="09:49:PM"/>
    <n v="471813762"/>
    <s v="Male"/>
    <s v="Normal"/>
    <s v="Ewallet"/>
    <x v="2"/>
    <n v="6.8"/>
    <n v="29.98"/>
    <n v="5"/>
    <n v="40.42"/>
    <n v="170.2867"/>
    <n v="461.8"/>
    <n v="3.8764546470000001"/>
    <n v="99.897999999999996"/>
  </r>
  <r>
    <x v="2"/>
    <x v="2"/>
    <x v="185"/>
    <s v="11:33:AM"/>
    <n v="292027675"/>
    <s v="Male"/>
    <s v="Normal"/>
    <s v="Credit card"/>
    <x v="3"/>
    <n v="1.4"/>
    <n v="36.049999999999997"/>
    <n v="3"/>
    <n v="59.88"/>
    <n v="134.1858"/>
    <n v="139.26"/>
    <n v="3.8764546470000001"/>
    <n v="85.174000000000007"/>
  </r>
  <r>
    <x v="2"/>
    <x v="2"/>
    <x v="186"/>
    <s v="07:08:PM"/>
    <n v="912953069"/>
    <s v="Female"/>
    <s v="Member"/>
    <s v="Cash"/>
    <x v="3"/>
    <n v="8.6999999999999993"/>
    <n v="29.94"/>
    <n v="7"/>
    <n v="92.01"/>
    <n v="156.11240000000001"/>
    <n v="207.27"/>
    <n v="3.8764546470000001"/>
    <n v="66.551000000000002"/>
  </r>
  <r>
    <x v="0"/>
    <x v="0"/>
    <x v="187"/>
    <s v="01:18:PM"/>
    <n v="32860472"/>
    <s v="Male"/>
    <s v="Normal"/>
    <s v="Credit card"/>
    <x v="2"/>
    <n v="7.5"/>
    <n v="38.51"/>
    <n v="1"/>
    <n v="72.739999999999995"/>
    <n v="128.2458"/>
    <n v="18.28"/>
    <n v="3.8764546470000001"/>
    <n v="63.27"/>
  </r>
  <r>
    <x v="2"/>
    <x v="2"/>
    <x v="188"/>
    <s v="10:17:PM"/>
    <n v="445267948"/>
    <s v="Female"/>
    <s v="Normal"/>
    <s v="Cash"/>
    <x v="3"/>
    <n v="1"/>
    <n v="13.17"/>
    <n v="5"/>
    <n v="12.42"/>
    <n v="148.42099999999999"/>
    <n v="123.85"/>
    <n v="3.8764546470000001"/>
    <n v="75.86"/>
  </r>
  <r>
    <x v="0"/>
    <x v="0"/>
    <x v="189"/>
    <s v="11:40:AM"/>
    <n v="578540569"/>
    <s v="Female"/>
    <s v="Member"/>
    <s v="Cash"/>
    <x v="1"/>
    <n v="4"/>
    <n v="99.31"/>
    <n v="3"/>
    <n v="60.17"/>
    <n v="107.0227"/>
    <n v="283.92"/>
    <n v="3.8764546470000001"/>
    <n v="36.840000000000003"/>
  </r>
  <r>
    <x v="2"/>
    <x v="2"/>
    <x v="3"/>
    <s v="11:26:AM"/>
    <n v="980983205"/>
    <s v="Male"/>
    <s v="Normal"/>
    <s v="Ewallet"/>
    <x v="5"/>
    <n v="4"/>
    <n v="42.8"/>
    <n v="8"/>
    <n v="50.06"/>
    <n v="162.81829999999999"/>
    <n v="758.96"/>
    <n v="3.8764546470000001"/>
    <n v="41.838000000000001"/>
  </r>
  <r>
    <x v="2"/>
    <x v="2"/>
    <x v="190"/>
    <s v="10:37:AM"/>
    <n v="891905099"/>
    <s v="Female"/>
    <s v="Normal"/>
    <s v="Credit card"/>
    <x v="4"/>
    <n v="7"/>
    <n v="96.99"/>
    <n v="3"/>
    <n v="85.99"/>
    <n v="126.1061"/>
    <n v="172.02"/>
    <n v="3.8764546470000001"/>
    <n v="68.429000000000002"/>
  </r>
  <r>
    <x v="2"/>
    <x v="2"/>
    <x v="191"/>
    <s v="04:20:PM"/>
    <n v="846887748"/>
    <s v="Male"/>
    <s v="Normal"/>
    <s v="Ewallet"/>
    <x v="1"/>
    <n v="9.6999999999999993"/>
    <n v="67.91"/>
    <n v="6"/>
    <n v="20.64"/>
    <n v="147.70249999999999"/>
    <n v="272.10000000000002"/>
    <n v="3.8764546470000001"/>
    <n v="35.780999999999999"/>
  </r>
  <r>
    <x v="2"/>
    <x v="2"/>
    <x v="192"/>
    <s v="02:42:PM"/>
    <n v="950008892"/>
    <s v="Male"/>
    <s v="Normal"/>
    <s v="Ewallet"/>
    <x v="4"/>
    <n v="4.9000000000000004"/>
    <n v="80.38"/>
    <n v="7"/>
    <n v="13.95"/>
    <n v="142.71289999999999"/>
    <n v="434.56"/>
    <n v="3.8764546470000001"/>
    <n v="88.093999999999994"/>
  </r>
  <r>
    <x v="1"/>
    <x v="1"/>
    <x v="193"/>
    <s v="02:41:AM"/>
    <n v="233307911"/>
    <s v="Male"/>
    <s v="Normal"/>
    <s v="Cash"/>
    <x v="1"/>
    <n v="7.9"/>
    <n v="78.3"/>
    <n v="5"/>
    <n v="87.71"/>
    <n v="182.31710000000001"/>
    <n v="59.05"/>
    <n v="3.8764546470000001"/>
    <n v="90.432000000000002"/>
  </r>
  <r>
    <x v="1"/>
    <x v="1"/>
    <x v="194"/>
    <s v="03:37:AM"/>
    <n v="599057411"/>
    <s v="Female"/>
    <s v="Member"/>
    <s v="Cash"/>
    <x v="5"/>
    <n v="5.4"/>
    <n v="78.650000000000006"/>
    <n v="1"/>
    <n v="82.93"/>
    <n v="172.38919999999999"/>
    <n v="12.54"/>
    <n v="3.8764546470000001"/>
    <n v="87.88"/>
  </r>
  <r>
    <x v="0"/>
    <x v="0"/>
    <x v="195"/>
    <s v="12:14:AM"/>
    <n v="780871340"/>
    <s v="Male"/>
    <s v="Normal"/>
    <s v="Cash"/>
    <x v="4"/>
    <n v="3.5"/>
    <n v="21.92"/>
    <n v="2"/>
    <n v="18.66"/>
    <n v="139.08609999999999"/>
    <n v="86.5"/>
    <n v="3.8764546470000001"/>
    <n v="60.94"/>
  </r>
  <r>
    <x v="1"/>
    <x v="1"/>
    <x v="196"/>
    <s v="09:48:AM"/>
    <n v="994202655"/>
    <s v="Female"/>
    <s v="Member"/>
    <s v="Credit card"/>
    <x v="3"/>
    <n v="7"/>
    <n v="43.56"/>
    <n v="2"/>
    <n v="61.74"/>
    <n v="179.27189999999999"/>
    <n v="174.32"/>
    <n v="3.8764546470000001"/>
    <n v="26"/>
  </r>
  <r>
    <x v="2"/>
    <x v="2"/>
    <x v="197"/>
    <s v="06:32:AM"/>
    <n v="808113145"/>
    <s v="Male"/>
    <s v="Member"/>
    <s v="Ewallet"/>
    <x v="0"/>
    <n v="6.7"/>
    <n v="82.62"/>
    <n v="9"/>
    <n v="28.82"/>
    <n v="171.27680000000001"/>
    <n v="624.33000000000004"/>
    <n v="3.8764546470000001"/>
    <n v="41.35"/>
  </r>
  <r>
    <x v="1"/>
    <x v="1"/>
    <x v="198"/>
    <s v="07:36:PM"/>
    <n v="293454111"/>
    <s v="Male"/>
    <s v="Member"/>
    <s v="Ewallet"/>
    <x v="1"/>
    <n v="6.6"/>
    <n v="22.3"/>
    <n v="4"/>
    <n v="34.28"/>
    <n v="119.0318"/>
    <n v="148.24"/>
    <n v="3.8764546470000001"/>
    <n v="18.478999999999999"/>
  </r>
  <r>
    <x v="2"/>
    <x v="2"/>
    <x v="199"/>
    <s v="01:17:AM"/>
    <n v="908537992"/>
    <s v="Female"/>
    <s v="Member"/>
    <s v="Cash"/>
    <x v="1"/>
    <n v="7"/>
    <n v="80.75"/>
    <n v="6"/>
    <n v="18.98"/>
    <n v="183.25"/>
    <n v="544.20000000000005"/>
    <n v="3.8764546470000001"/>
    <n v="89.298000000000002"/>
  </r>
  <r>
    <x v="0"/>
    <x v="0"/>
    <x v="200"/>
    <s v="09:20:AM"/>
    <n v="646643912"/>
    <s v="Female"/>
    <s v="Normal"/>
    <s v="Ewallet"/>
    <x v="2"/>
    <n v="7"/>
    <n v="95.94"/>
    <n v="8"/>
    <n v="22.26"/>
    <n v="136.72909999999999"/>
    <n v="507.36"/>
    <n v="3.8764546470000001"/>
    <n v="34.76"/>
  </r>
  <r>
    <x v="2"/>
    <x v="2"/>
    <x v="201"/>
    <s v="11:13:PM"/>
    <n v="997253125"/>
    <s v="Female"/>
    <s v="Normal"/>
    <s v="Cash"/>
    <x v="5"/>
    <n v="1"/>
    <n v="79.7"/>
    <n v="2"/>
    <n v="97.57"/>
    <n v="163.8417"/>
    <n v="162.74"/>
    <n v="3.8764546470000001"/>
    <n v="17.459"/>
  </r>
  <r>
    <x v="2"/>
    <x v="2"/>
    <x v="202"/>
    <s v="10:51:AM"/>
    <n v="312820093"/>
    <s v="Female"/>
    <s v="Member"/>
    <s v="Credit card"/>
    <x v="1"/>
    <n v="4"/>
    <n v="23.03"/>
    <n v="3"/>
    <n v="10.07"/>
    <n v="125.7928"/>
    <n v="31.77"/>
    <n v="3.8764546470000001"/>
    <n v="51.06"/>
  </r>
  <r>
    <x v="2"/>
    <x v="2"/>
    <x v="176"/>
    <s v="07:28:AM"/>
    <n v="925436314"/>
    <s v="Female"/>
    <s v="Normal"/>
    <s v="Cash"/>
    <x v="0"/>
    <n v="8"/>
    <n v="74.989999999999995"/>
    <n v="9"/>
    <n v="45.55"/>
    <n v="159.68369999999999"/>
    <n v="756.81"/>
    <n v="3.8764546470000001"/>
    <n v="80.06"/>
  </r>
  <r>
    <x v="2"/>
    <x v="2"/>
    <x v="203"/>
    <s v="03:51:AM"/>
    <n v="971290494"/>
    <s v="Male"/>
    <s v="Member"/>
    <s v="Cash"/>
    <x v="5"/>
    <n v="1"/>
    <n v="71.92"/>
    <n v="4"/>
    <n v="97.42"/>
    <n v="184.15260000000001"/>
    <n v="295.27999999999997"/>
    <n v="3.8764546470000001"/>
    <n v="64.06"/>
  </r>
  <r>
    <x v="0"/>
    <x v="0"/>
    <x v="83"/>
    <s v="07:49:AM"/>
    <n v="674510472"/>
    <s v="Male"/>
    <s v="Member"/>
    <s v="Ewallet"/>
    <x v="0"/>
    <n v="3"/>
    <n v="37.409999999999997"/>
    <n v="10"/>
    <n v="93.25"/>
    <n v="106.1674"/>
    <n v="519.4"/>
    <n v="3.8764546470000001"/>
    <n v="22.64"/>
  </r>
  <r>
    <x v="0"/>
    <x v="0"/>
    <x v="204"/>
    <s v="05:15:AM"/>
    <n v="218095869"/>
    <s v="Female"/>
    <s v="Normal"/>
    <s v="Ewallet"/>
    <x v="3"/>
    <n v="6"/>
    <n v="57.94"/>
    <n v="2"/>
    <n v="67.319999999999993"/>
    <n v="101.1627"/>
    <n v="186.28"/>
    <n v="3.8764546470000001"/>
    <n v="61.96"/>
  </r>
  <r>
    <x v="1"/>
    <x v="1"/>
    <x v="205"/>
    <s v="01:24:AM"/>
    <n v="983589932"/>
    <s v="Male"/>
    <s v="Normal"/>
    <s v="Credit card"/>
    <x v="0"/>
    <n v="2"/>
    <n v="40.4"/>
    <n v="5"/>
    <n v="80.78"/>
    <n v="139.91480000000001"/>
    <n v="87.05"/>
    <n v="3.8764546470000001"/>
    <n v="22.63"/>
  </r>
  <r>
    <x v="1"/>
    <x v="1"/>
    <x v="206"/>
    <s v="05:50:AM"/>
    <n v="671664859"/>
    <s v="Female"/>
    <s v="Member"/>
    <s v="Credit card"/>
    <x v="5"/>
    <n v="2.1"/>
    <n v="79.39"/>
    <n v="5"/>
    <n v="70.28"/>
    <n v="153.6806"/>
    <n v="221.1"/>
    <n v="3.8764546470000001"/>
    <n v="57.87"/>
  </r>
  <r>
    <x v="2"/>
    <x v="2"/>
    <x v="207"/>
    <s v="03:52:PM"/>
    <n v="536017126"/>
    <s v="Female"/>
    <s v="Member"/>
    <s v="Cash"/>
    <x v="1"/>
    <n v="4.2"/>
    <n v="16.72"/>
    <n v="5"/>
    <n v="41.44"/>
    <n v="175.3897"/>
    <n v="66.099999999999994"/>
    <n v="3.8764546470000001"/>
    <n v="23.79"/>
  </r>
  <r>
    <x v="0"/>
    <x v="0"/>
    <x v="208"/>
    <s v="06:32:AM"/>
    <n v="137616900"/>
    <s v="Male"/>
    <s v="Normal"/>
    <s v="Ewallet"/>
    <x v="5"/>
    <n v="7"/>
    <n v="11.22"/>
    <n v="1"/>
    <n v="66.17"/>
    <n v="175.14099999999999"/>
    <n v="89.69"/>
    <n v="3.8764546470000001"/>
    <n v="86.872"/>
  </r>
  <r>
    <x v="0"/>
    <x v="0"/>
    <x v="110"/>
    <s v="10:23:AM"/>
    <n v="816748848"/>
    <s v="Male"/>
    <s v="Normal"/>
    <s v="Credit card"/>
    <x v="4"/>
    <n v="3.7"/>
    <n v="79.819999999999993"/>
    <n v="9"/>
    <n v="62.47"/>
    <n v="173.82079999999999"/>
    <n v="224.46"/>
    <n v="3.8764546470000001"/>
    <n v="24.744"/>
  </r>
  <r>
    <x v="0"/>
    <x v="0"/>
    <x v="45"/>
    <s v="01:24:AM"/>
    <n v="281505384"/>
    <s v="Male"/>
    <s v="Normal"/>
    <s v="Credit card"/>
    <x v="0"/>
    <n v="9.1999999999999993"/>
    <n v="25.97"/>
    <n v="2"/>
    <n v="53.19"/>
    <n v="117.9255"/>
    <n v="119.54"/>
    <n v="3.8764546470000001"/>
    <n v="89.85"/>
  </r>
  <r>
    <x v="1"/>
    <x v="1"/>
    <x v="209"/>
    <s v="07:01:PM"/>
    <n v="182191108"/>
    <s v="Male"/>
    <s v="Member"/>
    <s v="Credit card"/>
    <x v="5"/>
    <n v="8.9"/>
    <n v="89.82"/>
    <n v="2"/>
    <n v="59.24"/>
    <n v="155.46870000000001"/>
    <n v="186.4"/>
    <n v="3.8764546470000001"/>
    <n v="84.825999999999993"/>
  </r>
  <r>
    <x v="0"/>
    <x v="0"/>
    <x v="210"/>
    <s v="09:06:AM"/>
    <n v="552435602"/>
    <s v="Male"/>
    <s v="Member"/>
    <s v="Cash"/>
    <x v="2"/>
    <n v="8"/>
    <n v="43.83"/>
    <n v="4"/>
    <n v="35.270000000000003"/>
    <n v="179.89930000000001"/>
    <n v="250.6"/>
    <n v="3.8764546470000001"/>
    <n v="39.771999999999998"/>
  </r>
  <r>
    <x v="2"/>
    <x v="2"/>
    <x v="8"/>
    <s v="08:24:AM"/>
    <n v="530558787"/>
    <s v="Male"/>
    <s v="Normal"/>
    <s v="Credit card"/>
    <x v="2"/>
    <n v="8.3000000000000007"/>
    <n v="11.27"/>
    <n v="8"/>
    <n v="46.33"/>
    <n v="168.67490000000001"/>
    <n v="750.96"/>
    <n v="3.8764546470000001"/>
    <n v="13.76"/>
  </r>
  <r>
    <x v="0"/>
    <x v="0"/>
    <x v="154"/>
    <s v="01:38:AM"/>
    <n v="767257645"/>
    <s v="Male"/>
    <s v="Member"/>
    <s v="Cash"/>
    <x v="2"/>
    <n v="6.5"/>
    <n v="12.01"/>
    <n v="8"/>
    <n v="16.18"/>
    <n v="121.4525"/>
    <n v="380.72"/>
    <n v="3.8764546470000001"/>
    <n v="77.14"/>
  </r>
  <r>
    <x v="2"/>
    <x v="2"/>
    <x v="211"/>
    <s v="01:59:AM"/>
    <n v="501837124"/>
    <s v="Female"/>
    <s v="Member"/>
    <s v="Cash"/>
    <x v="1"/>
    <n v="7.1"/>
    <n v="19.329999999999998"/>
    <n v="3"/>
    <n v="85.98"/>
    <n v="180.1867"/>
    <n v="244.2"/>
    <n v="3.8764546470000001"/>
    <n v="96.915999999999997"/>
  </r>
  <r>
    <x v="0"/>
    <x v="0"/>
    <x v="152"/>
    <s v="12:36:PM"/>
    <n v="794146911"/>
    <s v="Male"/>
    <s v="Member"/>
    <s v="Ewallet"/>
    <x v="5"/>
    <n v="4"/>
    <n v="80.040000000000006"/>
    <n v="5"/>
    <n v="69.72"/>
    <n v="119.2206"/>
    <n v="89.7"/>
    <n v="3.8764546470000001"/>
    <n v="31.91"/>
  </r>
  <r>
    <x v="0"/>
    <x v="0"/>
    <x v="212"/>
    <s v="02:48:AM"/>
    <n v="531627382"/>
    <s v="Male"/>
    <s v="Member"/>
    <s v="Credit card"/>
    <x v="1"/>
    <n v="8"/>
    <n v="48.18"/>
    <n v="4"/>
    <n v="44.45"/>
    <n v="106.31189999999999"/>
    <n v="310.88"/>
    <n v="3.8764546470000001"/>
    <n v="18.03"/>
  </r>
  <r>
    <x v="2"/>
    <x v="2"/>
    <x v="11"/>
    <s v="09:14:PM"/>
    <n v="913106898"/>
    <s v="Male"/>
    <s v="Normal"/>
    <s v="Credit card"/>
    <x v="4"/>
    <n v="7"/>
    <n v="90.08"/>
    <n v="7"/>
    <n v="12.49"/>
    <n v="117.00360000000001"/>
    <n v="511.42"/>
    <n v="3.8764546470000001"/>
    <n v="90.04"/>
  </r>
  <r>
    <x v="2"/>
    <x v="2"/>
    <x v="213"/>
    <s v="03:37:AM"/>
    <n v="703972801"/>
    <s v="Male"/>
    <s v="Member"/>
    <s v="Ewallet"/>
    <x v="4"/>
    <n v="5.3"/>
    <n v="36.049999999999997"/>
    <n v="9"/>
    <n v="47.69"/>
    <n v="182.44489999999999"/>
    <n v="418.95"/>
    <n v="3.8764546470000001"/>
    <n v="13.15"/>
  </r>
  <r>
    <x v="1"/>
    <x v="1"/>
    <x v="105"/>
    <s v="09:28:PM"/>
    <n v="94534032"/>
    <s v="Male"/>
    <s v="Member"/>
    <s v="Credit card"/>
    <x v="5"/>
    <n v="3.3"/>
    <n v="94.73"/>
    <n v="10"/>
    <n v="65.040000000000006"/>
    <n v="130.09870000000001"/>
    <n v="351.9"/>
    <n v="3.8764546470000001"/>
    <n v="90.35"/>
  </r>
  <r>
    <x v="1"/>
    <x v="1"/>
    <x v="214"/>
    <s v="09:07:PM"/>
    <n v="533712191"/>
    <s v="Female"/>
    <s v="Normal"/>
    <s v="Credit card"/>
    <x v="3"/>
    <n v="2.1"/>
    <n v="11.88"/>
    <n v="2"/>
    <n v="73.08"/>
    <n v="163.1748"/>
    <n v="28.78"/>
    <n v="3.8764546470000001"/>
    <n v="42.54"/>
  </r>
  <r>
    <x v="0"/>
    <x v="0"/>
    <x v="215"/>
    <s v="12:21:AM"/>
    <n v="709480836"/>
    <s v="Male"/>
    <s v="Normal"/>
    <s v="Cash"/>
    <x v="2"/>
    <n v="3"/>
    <n v="25.37"/>
    <n v="4"/>
    <n v="39.97"/>
    <n v="126.4165"/>
    <n v="95"/>
    <n v="3.8764546470000001"/>
    <n v="69.459999999999994"/>
  </r>
  <r>
    <x v="0"/>
    <x v="0"/>
    <x v="216"/>
    <s v="08:52:AM"/>
    <n v="790125302"/>
    <s v="Male"/>
    <s v="Member"/>
    <s v="Cash"/>
    <x v="2"/>
    <n v="6.6"/>
    <n v="36.24"/>
    <n v="8"/>
    <n v="93.15"/>
    <n v="128.0438"/>
    <n v="471.2"/>
    <n v="3.8764546470000001"/>
    <n v="98.7"/>
  </r>
  <r>
    <x v="2"/>
    <x v="2"/>
    <x v="217"/>
    <s v="11:33:AM"/>
    <n v="113183038"/>
    <s v="Male"/>
    <s v="Member"/>
    <s v="Cash"/>
    <x v="5"/>
    <n v="8.1"/>
    <n v="90.94"/>
    <n v="4"/>
    <n v="29.26"/>
    <n v="174.55269999999999"/>
    <n v="130.47999999999999"/>
    <n v="3.8764546470000001"/>
    <n v="11.06"/>
  </r>
  <r>
    <x v="0"/>
    <x v="0"/>
    <x v="218"/>
    <s v="03:24:PM"/>
    <n v="539549064"/>
    <s v="Male"/>
    <s v="Member"/>
    <s v="Credit card"/>
    <x v="1"/>
    <n v="6"/>
    <n v="30.82"/>
    <n v="1"/>
    <n v="39.79"/>
    <n v="183.61750000000001"/>
    <n v="66.349999999999994"/>
    <n v="3.8764546470000001"/>
    <n v="74.113"/>
  </r>
  <r>
    <x v="0"/>
    <x v="0"/>
    <x v="3"/>
    <s v="05:58:PM"/>
    <n v="281481840"/>
    <s v="Male"/>
    <s v="Member"/>
    <s v="Ewallet"/>
    <x v="2"/>
    <n v="2.6"/>
    <n v="67.540000000000006"/>
    <n v="6"/>
    <n v="63.45"/>
    <n v="106.3156"/>
    <n v="155.46"/>
    <n v="3.8764546470000001"/>
    <n v="41.027999999999999"/>
  </r>
  <r>
    <x v="0"/>
    <x v="0"/>
    <x v="219"/>
    <s v="11:26:AM"/>
    <n v="410712816"/>
    <s v="Male"/>
    <s v="Member"/>
    <s v="Ewallet"/>
    <x v="1"/>
    <n v="3.4"/>
    <n v="13.28"/>
    <n v="4"/>
    <n v="18.82"/>
    <n v="100.08450000000001"/>
    <n v="129"/>
    <n v="3.8764546470000001"/>
    <n v="55.558"/>
  </r>
  <r>
    <x v="1"/>
    <x v="1"/>
    <x v="220"/>
    <s v="10:10:PM"/>
    <n v="974283416"/>
    <s v="Male"/>
    <s v="Member"/>
    <s v="Credit card"/>
    <x v="1"/>
    <n v="1.1000000000000001"/>
    <n v="13.25"/>
    <n v="4"/>
    <n v="80.349999999999994"/>
    <n v="119.0866"/>
    <n v="263.76"/>
    <n v="3.8764546470000001"/>
    <n v="90.09"/>
  </r>
  <r>
    <x v="0"/>
    <x v="0"/>
    <x v="221"/>
    <s v="04:41:PM"/>
    <n v="947076695"/>
    <s v="Female"/>
    <s v="Normal"/>
    <s v="Ewallet"/>
    <x v="1"/>
    <n v="1.6"/>
    <n v="18.670000000000002"/>
    <n v="9"/>
    <n v="90.01"/>
    <n v="108.4181"/>
    <n v="675.54"/>
    <n v="3.8764546470000001"/>
    <n v="26.186"/>
  </r>
  <r>
    <x v="1"/>
    <x v="1"/>
    <x v="222"/>
    <s v="01:04:PM"/>
    <n v="923866874"/>
    <s v="Female"/>
    <s v="Normal"/>
    <s v="Ewallet"/>
    <x v="5"/>
    <n v="9.1999999999999993"/>
    <n v="87.14"/>
    <n v="4"/>
    <n v="82.01"/>
    <n v="173.34119999999999"/>
    <n v="65.8"/>
    <n v="3.8764546470000001"/>
    <n v="90.393000000000001"/>
  </r>
  <r>
    <x v="2"/>
    <x v="2"/>
    <x v="223"/>
    <s v="12:14:AM"/>
    <n v="428743623"/>
    <s v="Female"/>
    <s v="Member"/>
    <s v="Cash"/>
    <x v="5"/>
    <n v="2"/>
    <n v="16.96"/>
    <n v="4"/>
    <n v="15.15"/>
    <n v="189.1438"/>
    <n v="153.19999999999999"/>
    <n v="3.8764546470000001"/>
    <n v="44.997999999999998"/>
  </r>
  <r>
    <x v="0"/>
    <x v="0"/>
    <x v="224"/>
    <s v="02:14:PM"/>
    <n v="930151326"/>
    <s v="Female"/>
    <s v="Member"/>
    <s v="Cash"/>
    <x v="3"/>
    <n v="7.2"/>
    <n v="89.58"/>
    <n v="10"/>
    <n v="93.86"/>
    <n v="124.26600000000001"/>
    <n v="222.4"/>
    <n v="3.8764546470000001"/>
    <n v="86.58"/>
  </r>
  <r>
    <x v="2"/>
    <x v="2"/>
    <x v="87"/>
    <s v="03:59:PM"/>
    <n v="171740105"/>
    <s v="Male"/>
    <s v="Normal"/>
    <s v="Ewallet"/>
    <x v="3"/>
    <n v="4.5"/>
    <n v="29.4"/>
    <n v="1"/>
    <n v="79.010000000000005"/>
    <n v="128.56899999999999"/>
    <n v="54.45"/>
    <n v="3.8764546470000001"/>
    <n v="60.85"/>
  </r>
  <r>
    <x v="0"/>
    <x v="0"/>
    <x v="225"/>
    <s v="07:29:PM"/>
    <n v="465851292"/>
    <s v="Female"/>
    <s v="Member"/>
    <s v="Credit card"/>
    <x v="3"/>
    <n v="10"/>
    <n v="83.86"/>
    <n v="7"/>
    <n v="45.32"/>
    <n v="125.42270000000001"/>
    <n v="688.8"/>
    <n v="3.8764546470000001"/>
    <n v="39.57"/>
  </r>
  <r>
    <x v="1"/>
    <x v="1"/>
    <x v="226"/>
    <s v="09:14:PM"/>
    <n v="391221484"/>
    <s v="Male"/>
    <s v="Normal"/>
    <s v="Credit card"/>
    <x v="2"/>
    <n v="8.6999999999999993"/>
    <n v="83.34"/>
    <n v="4"/>
    <n v="67.19"/>
    <n v="145.26130000000001"/>
    <n v="141.88"/>
    <n v="3.8764546470000001"/>
    <n v="85.18"/>
  </r>
  <r>
    <x v="2"/>
    <x v="2"/>
    <x v="227"/>
    <s v="06:18:AM"/>
    <n v="657510424"/>
    <s v="Female"/>
    <s v="Member"/>
    <s v="Cash"/>
    <x v="4"/>
    <n v="5.7"/>
    <n v="71.23"/>
    <n v="10"/>
    <n v="52.2"/>
    <n v="174.26609999999999"/>
    <n v="746"/>
    <n v="3.8764546470000001"/>
    <n v="85.85"/>
  </r>
  <r>
    <x v="0"/>
    <x v="0"/>
    <x v="77"/>
    <s v="12:14:AM"/>
    <n v="695606990"/>
    <s v="Male"/>
    <s v="Member"/>
    <s v="Credit card"/>
    <x v="2"/>
    <n v="9.5"/>
    <n v="43.99"/>
    <n v="4"/>
    <n v="54.8"/>
    <n v="125.8635"/>
    <n v="282.95999999999998"/>
    <n v="3.8764546470000001"/>
    <n v="73.209999999999994"/>
  </r>
  <r>
    <x v="0"/>
    <x v="0"/>
    <x v="228"/>
    <s v="12:21:AM"/>
    <n v="373663778"/>
    <s v="Female"/>
    <s v="Member"/>
    <s v="Ewallet"/>
    <x v="2"/>
    <n v="3"/>
    <n v="97.99"/>
    <n v="10"/>
    <n v="13.93"/>
    <n v="135.88839999999999"/>
    <n v="355.4"/>
    <n v="3.8764546470000001"/>
    <n v="39.479999999999997"/>
  </r>
  <r>
    <x v="2"/>
    <x v="2"/>
    <x v="229"/>
    <s v="04:34:PM"/>
    <n v="838929128"/>
    <s v="Female"/>
    <s v="Normal"/>
    <s v="Ewallet"/>
    <x v="3"/>
    <n v="6.5"/>
    <n v="40.479999999999997"/>
    <n v="5"/>
    <n v="53.44"/>
    <n v="185.4359"/>
    <n v="337.15"/>
    <n v="3.8764546470000001"/>
    <n v="77.17"/>
  </r>
  <r>
    <x v="1"/>
    <x v="1"/>
    <x v="17"/>
    <s v="12:56:AM"/>
    <n v="209647561"/>
    <s v="Female"/>
    <s v="Member"/>
    <s v="Cash"/>
    <x v="0"/>
    <n v="6.3"/>
    <n v="93.67"/>
    <n v="2"/>
    <n v="99.68"/>
    <n v="107.69799999999999"/>
    <n v="42.24"/>
    <n v="3.8764546470000001"/>
    <n v="96.703999999999994"/>
  </r>
  <r>
    <x v="0"/>
    <x v="0"/>
    <x v="230"/>
    <s v="10:10:PM"/>
    <n v="21896176"/>
    <s v="Female"/>
    <s v="Member"/>
    <s v="Credit card"/>
    <x v="2"/>
    <n v="4.5"/>
    <n v="36.880000000000003"/>
    <n v="9"/>
    <n v="88.29"/>
    <n v="102.2054"/>
    <n v="193.86"/>
    <n v="3.8764546470000001"/>
    <n v="67.567999999999998"/>
  </r>
  <r>
    <x v="0"/>
    <x v="0"/>
    <x v="231"/>
    <s v="01:53:PM"/>
    <n v="443174441"/>
    <s v="Female"/>
    <s v="Normal"/>
    <s v="Cash"/>
    <x v="2"/>
    <n v="1.2"/>
    <n v="53.55"/>
    <n v="2"/>
    <n v="69.13"/>
    <n v="152.8614"/>
    <n v="24.06"/>
    <n v="3.8764546470000001"/>
    <n v="18.86"/>
  </r>
  <r>
    <x v="2"/>
    <x v="2"/>
    <x v="232"/>
    <s v="06:47:PM"/>
    <n v="783348252"/>
    <s v="Female"/>
    <s v="Normal"/>
    <s v="Ewallet"/>
    <x v="0"/>
    <n v="5.0999999999999996"/>
    <n v="11.83"/>
    <n v="6"/>
    <n v="49.75"/>
    <n v="185.5454"/>
    <n v="598.26"/>
    <n v="3.8764546470000001"/>
    <n v="80.510000000000005"/>
  </r>
  <r>
    <x v="2"/>
    <x v="2"/>
    <x v="76"/>
    <s v="08:11:PM"/>
    <n v="319716248"/>
    <s v="Male"/>
    <s v="Normal"/>
    <s v="Cash"/>
    <x v="5"/>
    <n v="9"/>
    <n v="96.43"/>
    <n v="7"/>
    <n v="93.5"/>
    <n v="180.1001"/>
    <n v="335.79"/>
    <n v="3.8764546470000001"/>
    <n v="80.183999999999997"/>
  </r>
  <r>
    <x v="1"/>
    <x v="1"/>
    <x v="12"/>
    <s v="10:30:AM"/>
    <n v="319754201"/>
    <s v="Female"/>
    <s v="Member"/>
    <s v="Cash"/>
    <x v="2"/>
    <n v="4.8"/>
    <n v="39.76"/>
    <n v="10"/>
    <n v="26.48"/>
    <n v="182.50470000000001"/>
    <n v="218.2"/>
    <n v="3.8764546470000001"/>
    <n v="87.65"/>
  </r>
  <r>
    <x v="1"/>
    <x v="1"/>
    <x v="233"/>
    <s v="08:04:PM"/>
    <n v="714396337"/>
    <s v="Female"/>
    <s v="Normal"/>
    <s v="Ewallet"/>
    <x v="5"/>
    <n v="2.9"/>
    <n v="37.5"/>
    <n v="4"/>
    <n v="85.19"/>
    <n v="117.37390000000001"/>
    <n v="381.68"/>
    <n v="3.8764546470000001"/>
    <n v="15.35"/>
  </r>
  <r>
    <x v="1"/>
    <x v="1"/>
    <x v="234"/>
    <s v="04:12:AM"/>
    <n v="844149797"/>
    <s v="Male"/>
    <s v="Member"/>
    <s v="Cash"/>
    <x v="5"/>
    <n v="1.9"/>
    <n v="85.21"/>
    <n v="10"/>
    <n v="31.22"/>
    <n v="132.89590000000001"/>
    <n v="709.9"/>
    <n v="3.8764546470000001"/>
    <n v="11.24"/>
  </r>
  <r>
    <x v="0"/>
    <x v="0"/>
    <x v="235"/>
    <s v="06:25:AM"/>
    <n v="785900756"/>
    <s v="Male"/>
    <s v="Member"/>
    <s v="Credit card"/>
    <x v="3"/>
    <n v="1"/>
    <n v="23.33"/>
    <n v="10"/>
    <n v="44.72"/>
    <n v="132.1841"/>
    <n v="440.2"/>
    <n v="3.8764546470000001"/>
    <n v="39.409999999999997"/>
  </r>
  <r>
    <x v="0"/>
    <x v="0"/>
    <x v="236"/>
    <s v="10:23:AM"/>
    <n v="200016009"/>
    <s v="Female"/>
    <s v="Normal"/>
    <s v="Credit card"/>
    <x v="2"/>
    <n v="1.2"/>
    <n v="12.46"/>
    <n v="8"/>
    <n v="42.14"/>
    <n v="168.9803"/>
    <n v="559.67999999999995"/>
    <n v="3.8764546470000001"/>
    <n v="57.62"/>
  </r>
  <r>
    <x v="1"/>
    <x v="1"/>
    <x v="171"/>
    <s v="04:20:PM"/>
    <n v="799332340"/>
    <s v="Male"/>
    <s v="Normal"/>
    <s v="Credit card"/>
    <x v="2"/>
    <n v="9.3000000000000007"/>
    <n v="50.57"/>
    <n v="1"/>
    <n v="67.400000000000006"/>
    <n v="133.8587"/>
    <n v="37"/>
    <n v="3.8764546470000001"/>
    <n v="14.36"/>
  </r>
  <r>
    <x v="0"/>
    <x v="0"/>
    <x v="237"/>
    <s v="05:02:PM"/>
    <n v="31600342"/>
    <s v="Female"/>
    <s v="Normal"/>
    <s v="Cash"/>
    <x v="3"/>
    <n v="5.0999999999999996"/>
    <n v="12.14"/>
    <n v="1"/>
    <n v="71.78"/>
    <n v="151.7611"/>
    <n v="15.34"/>
    <n v="3.8764546470000001"/>
    <n v="12.71"/>
  </r>
  <r>
    <x v="0"/>
    <x v="0"/>
    <x v="238"/>
    <s v="05:15:AM"/>
    <n v="124454339"/>
    <s v="Male"/>
    <s v="Member"/>
    <s v="Ewallet"/>
    <x v="0"/>
    <n v="2.8"/>
    <n v="11.51"/>
    <n v="6"/>
    <n v="34.44"/>
    <n v="153.00960000000001"/>
    <n v="598.98"/>
    <n v="3.8764546470000001"/>
    <n v="22.771999999999998"/>
  </r>
  <r>
    <x v="0"/>
    <x v="0"/>
    <x v="239"/>
    <s v="03:23:AM"/>
    <n v="334622803"/>
    <s v="Female"/>
    <s v="Member"/>
    <s v="Cash"/>
    <x v="0"/>
    <n v="9"/>
    <n v="79.53"/>
    <n v="4"/>
    <n v="93.25"/>
    <n v="155.07140000000001"/>
    <n v="190.68"/>
    <n v="3.8764546470000001"/>
    <n v="37.451999999999998"/>
  </r>
  <r>
    <x v="2"/>
    <x v="2"/>
    <x v="240"/>
    <s v="03:17:PM"/>
    <n v="946412142"/>
    <s v="Male"/>
    <s v="Normal"/>
    <s v="Cash"/>
    <x v="0"/>
    <n v="7"/>
    <n v="61.83"/>
    <n v="5"/>
    <n v="41.62"/>
    <n v="120.4663"/>
    <n v="333.4"/>
    <n v="3.8764546470000001"/>
    <n v="38.692999999999998"/>
  </r>
  <r>
    <x v="1"/>
    <x v="1"/>
    <x v="16"/>
    <s v="12:22:PM"/>
    <n v="794733098"/>
    <s v="Male"/>
    <s v="Member"/>
    <s v="Cash"/>
    <x v="2"/>
    <n v="7.7"/>
    <n v="53.93"/>
    <n v="1"/>
    <n v="13.71"/>
    <n v="124.8481"/>
    <n v="74.86"/>
    <n v="3.8764546470000001"/>
    <n v="20.986999999999998"/>
  </r>
  <r>
    <x v="1"/>
    <x v="1"/>
    <x v="138"/>
    <s v="03:23:AM"/>
    <n v="356350344"/>
    <s v="Female"/>
    <s v="Normal"/>
    <s v="Cash"/>
    <x v="3"/>
    <n v="3"/>
    <n v="38.39"/>
    <n v="9"/>
    <n v="54.35"/>
    <n v="171.30420000000001"/>
    <n v="213.75"/>
    <n v="3.8764546470000001"/>
    <n v="42.91"/>
  </r>
  <r>
    <x v="2"/>
    <x v="2"/>
    <x v="213"/>
    <s v="07:57:PM"/>
    <n v="648547521"/>
    <s v="Female"/>
    <s v="Normal"/>
    <s v="Credit card"/>
    <x v="4"/>
    <n v="4"/>
    <n v="11.04"/>
    <n v="7"/>
    <n v="24.92"/>
    <n v="113.48309999999999"/>
    <n v="339.57"/>
    <n v="3.8764546470000001"/>
    <n v="88.93"/>
  </r>
  <r>
    <x v="0"/>
    <x v="0"/>
    <x v="241"/>
    <s v="06:53:AM"/>
    <n v="206981722"/>
    <s v="Female"/>
    <s v="Member"/>
    <s v="Cash"/>
    <x v="2"/>
    <n v="1"/>
    <n v="58.72"/>
    <n v="7"/>
    <n v="13.44"/>
    <n v="101.2623"/>
    <n v="664.16"/>
    <n v="3.8764546470000001"/>
    <n v="73.3"/>
  </r>
  <r>
    <x v="2"/>
    <x v="2"/>
    <x v="242"/>
    <s v="03:24:PM"/>
    <n v="198497199"/>
    <s v="Male"/>
    <s v="Member"/>
    <s v="Credit card"/>
    <x v="1"/>
    <n v="1"/>
    <n v="37.03"/>
    <n v="10"/>
    <n v="80.790000000000006"/>
    <n v="145.04689999999999"/>
    <n v="403"/>
    <n v="3.8764546470000001"/>
    <n v="82.35"/>
  </r>
  <r>
    <x v="1"/>
    <x v="1"/>
    <x v="71"/>
    <s v="09:13:AM"/>
    <n v="753020454"/>
    <s v="Male"/>
    <s v="Normal"/>
    <s v="Ewallet"/>
    <x v="1"/>
    <n v="4.0999999999999996"/>
    <n v="37.14"/>
    <n v="7"/>
    <n v="59.36"/>
    <n v="181.6096"/>
    <n v="194.95"/>
    <n v="3.8764546470000001"/>
    <n v="45.43"/>
  </r>
  <r>
    <x v="0"/>
    <x v="0"/>
    <x v="243"/>
    <s v="10:51:AM"/>
    <n v="988841739"/>
    <s v="Female"/>
    <s v="Member"/>
    <s v="Cash"/>
    <x v="1"/>
    <n v="8.9"/>
    <n v="41.14"/>
    <n v="1"/>
    <n v="65.569999999999993"/>
    <n v="127.1829"/>
    <n v="62.48"/>
    <n v="3.8764546470000001"/>
    <n v="65.599999999999994"/>
  </r>
  <r>
    <x v="0"/>
    <x v="0"/>
    <x v="185"/>
    <s v="11:12:AM"/>
    <n v="453305996"/>
    <s v="Female"/>
    <s v="Member"/>
    <s v="Cash"/>
    <x v="4"/>
    <n v="3"/>
    <n v="27.88"/>
    <n v="2"/>
    <n v="80.25"/>
    <n v="136.29560000000001"/>
    <n v="72.72"/>
    <n v="3.8764546470000001"/>
    <n v="49.207999999999998"/>
  </r>
  <r>
    <x v="2"/>
    <x v="2"/>
    <x v="244"/>
    <s v="10:37:AM"/>
    <n v="339994831"/>
    <s v="Male"/>
    <s v="Normal"/>
    <s v="Ewallet"/>
    <x v="0"/>
    <n v="4.7"/>
    <n v="16.739999999999998"/>
    <n v="10"/>
    <n v="34.369999999999997"/>
    <n v="127.7546"/>
    <n v="181.1"/>
    <n v="3.8764546470000001"/>
    <n v="28.553000000000001"/>
  </r>
  <r>
    <x v="1"/>
    <x v="1"/>
    <x v="238"/>
    <s v="11:41:PM"/>
    <n v="116624309"/>
    <s v="Female"/>
    <s v="Member"/>
    <s v="Cash"/>
    <x v="1"/>
    <n v="8.3000000000000007"/>
    <n v="67.25"/>
    <n v="5"/>
    <n v="39.06"/>
    <n v="132.90369999999999"/>
    <n v="259.60000000000002"/>
    <n v="3.8764546470000001"/>
    <n v="78.09"/>
  </r>
  <r>
    <x v="1"/>
    <x v="1"/>
    <x v="245"/>
    <s v="04:33:AM"/>
    <n v="481852776"/>
    <s v="Male"/>
    <s v="Normal"/>
    <s v="Cash"/>
    <x v="1"/>
    <n v="8.6"/>
    <n v="90.95"/>
    <n v="4"/>
    <n v="33.81"/>
    <n v="158.5943"/>
    <n v="115.36"/>
    <n v="3.8764546470000001"/>
    <n v="79.908000000000001"/>
  </r>
  <r>
    <x v="0"/>
    <x v="0"/>
    <x v="246"/>
    <s v="10:31:PM"/>
    <n v="803065198"/>
    <s v="Male"/>
    <s v="Member"/>
    <s v="Ewallet"/>
    <x v="2"/>
    <n v="3"/>
    <n v="73.58"/>
    <n v="6"/>
    <n v="39.44"/>
    <n v="163.2552"/>
    <n v="470.28"/>
    <n v="3.8764546470000001"/>
    <n v="24.85"/>
  </r>
  <r>
    <x v="0"/>
    <x v="0"/>
    <x v="247"/>
    <s v="08:46:PM"/>
    <n v="706669965"/>
    <s v="Male"/>
    <s v="Member"/>
    <s v="Cash"/>
    <x v="2"/>
    <n v="8"/>
    <n v="16.25"/>
    <n v="4"/>
    <n v="97.1"/>
    <n v="162.32159999999999"/>
    <n v="240.04"/>
    <n v="3.8764546470000001"/>
    <n v="63.021000000000001"/>
  </r>
  <r>
    <x v="1"/>
    <x v="1"/>
    <x v="248"/>
    <s v="12:21:AM"/>
    <n v="577666566"/>
    <s v="Female"/>
    <s v="Member"/>
    <s v="Cash"/>
    <x v="2"/>
    <n v="2.2999999999999998"/>
    <n v="39.94"/>
    <n v="1"/>
    <n v="44.39"/>
    <n v="126.3646"/>
    <n v="88.61"/>
    <n v="3.8764546470000001"/>
    <n v="69.682000000000002"/>
  </r>
  <r>
    <x v="1"/>
    <x v="1"/>
    <x v="249"/>
    <s v="10:17:PM"/>
    <n v="593160078"/>
    <s v="Male"/>
    <s v="Normal"/>
    <s v="Credit card"/>
    <x v="5"/>
    <n v="4.3"/>
    <n v="10.83"/>
    <n v="2"/>
    <n v="58.03"/>
    <n v="116.6516"/>
    <n v="199.64"/>
    <n v="3.8764546470000001"/>
    <n v="40.270000000000003"/>
  </r>
  <r>
    <x v="2"/>
    <x v="2"/>
    <x v="250"/>
    <s v="12:35:AM"/>
    <n v="445655521"/>
    <s v="Male"/>
    <s v="Member"/>
    <s v="Credit card"/>
    <x v="0"/>
    <n v="9.6999999999999993"/>
    <n v="95.74"/>
    <n v="1"/>
    <n v="81.94"/>
    <n v="130.80500000000001"/>
    <n v="39.01"/>
    <n v="3.8764546470000001"/>
    <n v="36.155999999999999"/>
  </r>
  <r>
    <x v="1"/>
    <x v="1"/>
    <x v="134"/>
    <s v="11:48:PM"/>
    <n v="927888673"/>
    <s v="Male"/>
    <s v="Normal"/>
    <s v="Cash"/>
    <x v="4"/>
    <n v="5.8"/>
    <n v="51.95"/>
    <n v="1"/>
    <n v="28.35"/>
    <n v="156.90450000000001"/>
    <n v="48.61"/>
    <n v="3.8764546470000001"/>
    <n v="94.823999999999998"/>
  </r>
  <r>
    <x v="0"/>
    <x v="0"/>
    <x v="251"/>
    <s v="10:23:AM"/>
    <n v="676420403"/>
    <s v="Female"/>
    <s v="Normal"/>
    <s v="Credit card"/>
    <x v="1"/>
    <n v="7"/>
    <n v="11.3"/>
    <n v="4"/>
    <n v="69.680000000000007"/>
    <n v="138.34719999999999"/>
    <n v="204.76"/>
    <n v="3.8764546470000001"/>
    <n v="44.984999999999999"/>
  </r>
  <r>
    <x v="2"/>
    <x v="2"/>
    <x v="88"/>
    <s v="12:15:PM"/>
    <n v="447498346"/>
    <s v="Female"/>
    <s v="Normal"/>
    <s v="Cash"/>
    <x v="1"/>
    <n v="3"/>
    <n v="15.83"/>
    <n v="8"/>
    <n v="40.880000000000003"/>
    <n v="126.6285"/>
    <n v="119.68"/>
    <n v="3.8764546470000001"/>
    <n v="11.24"/>
  </r>
  <r>
    <x v="0"/>
    <x v="0"/>
    <x v="196"/>
    <s v="11:54:AM"/>
    <n v="192253305"/>
    <s v="Male"/>
    <s v="Member"/>
    <s v="Ewallet"/>
    <x v="1"/>
    <n v="7"/>
    <n v="44.78"/>
    <n v="7"/>
    <n v="18.350000000000001"/>
    <n v="178.1283"/>
    <n v="505.4"/>
    <n v="3.8764546470000001"/>
    <n v="92.188999999999993"/>
  </r>
  <r>
    <x v="0"/>
    <x v="0"/>
    <x v="252"/>
    <s v="12:22:PM"/>
    <n v="571357836"/>
    <s v="Female"/>
    <s v="Normal"/>
    <s v="Cash"/>
    <x v="3"/>
    <n v="4"/>
    <n v="39.909999999999997"/>
    <n v="7"/>
    <n v="40.049999999999997"/>
    <n v="158.3826"/>
    <n v="281.61"/>
    <n v="3.8764546470000001"/>
    <n v="89.623000000000005"/>
  </r>
  <r>
    <x v="0"/>
    <x v="0"/>
    <x v="253"/>
    <s v="05:02:PM"/>
    <n v="525139878"/>
    <s v="Female"/>
    <s v="Member"/>
    <s v="Cash"/>
    <x v="2"/>
    <n v="1.3"/>
    <n v="23.33"/>
    <n v="8"/>
    <n v="54.8"/>
    <n v="134.77529999999999"/>
    <n v="710.32"/>
    <n v="3.8764546470000001"/>
    <n v="42.347000000000001"/>
  </r>
  <r>
    <x v="0"/>
    <x v="0"/>
    <x v="254"/>
    <s v="01:53:PM"/>
    <n v="70278305"/>
    <s v="Female"/>
    <s v="Member"/>
    <s v="Ewallet"/>
    <x v="1"/>
    <n v="3"/>
    <n v="70.73"/>
    <n v="3"/>
    <n v="94.6"/>
    <n v="143.63640000000001"/>
    <n v="79.44"/>
    <n v="3.8764546470000001"/>
    <n v="44.328000000000003"/>
  </r>
  <r>
    <x v="0"/>
    <x v="0"/>
    <x v="255"/>
    <s v="09:42:PM"/>
    <n v="76364817"/>
    <s v="Female"/>
    <s v="Normal"/>
    <s v="Cash"/>
    <x v="5"/>
    <n v="3"/>
    <n v="18.440000000000001"/>
    <n v="2"/>
    <n v="33.64"/>
    <n v="135.66560000000001"/>
    <n v="163.82"/>
    <n v="3.8764546470000001"/>
    <n v="39.450000000000003"/>
  </r>
  <r>
    <x v="2"/>
    <x v="2"/>
    <x v="256"/>
    <s v="11:13:PM"/>
    <n v="535549058"/>
    <s v="Male"/>
    <s v="Member"/>
    <s v="Cash"/>
    <x v="3"/>
    <n v="4"/>
    <n v="92.5"/>
    <n v="6"/>
    <n v="67.87"/>
    <n v="189.35720000000001"/>
    <n v="479.58"/>
    <n v="3.8764546470000001"/>
    <n v="35.054000000000002"/>
  </r>
  <r>
    <x v="1"/>
    <x v="1"/>
    <x v="33"/>
    <s v="02:35:PM"/>
    <n v="132821706"/>
    <s v="Male"/>
    <s v="Member"/>
    <s v="Ewallet"/>
    <x v="5"/>
    <n v="2"/>
    <n v="59.05"/>
    <n v="2"/>
    <n v="74.89"/>
    <n v="110.77370000000001"/>
    <n v="138.66"/>
    <n v="3.8764546470000001"/>
    <n v="42.121000000000002"/>
  </r>
  <r>
    <x v="0"/>
    <x v="0"/>
    <x v="257"/>
    <s v="02:48:AM"/>
    <n v="233122464"/>
    <s v="Female"/>
    <s v="Member"/>
    <s v="Credit card"/>
    <x v="4"/>
    <n v="8"/>
    <n v="30.92"/>
    <n v="5"/>
    <n v="77.03"/>
    <n v="171.16050000000001"/>
    <n v="71.150000000000006"/>
    <n v="3.8764546470000001"/>
    <n v="54.725000000000001"/>
  </r>
  <r>
    <x v="0"/>
    <x v="0"/>
    <x v="258"/>
    <s v="10:59:PM"/>
    <n v="606779958"/>
    <s v="Female"/>
    <s v="Member"/>
    <s v="Cash"/>
    <x v="0"/>
    <n v="5.6"/>
    <n v="82.86"/>
    <n v="9"/>
    <n v="72.8"/>
    <n v="163.1063"/>
    <n v="139.94999999999999"/>
    <n v="3.8764546470000001"/>
    <n v="94.153999999999996"/>
  </r>
  <r>
    <x v="1"/>
    <x v="1"/>
    <x v="128"/>
    <s v="08:17:AM"/>
    <n v="923945426"/>
    <s v="Female"/>
    <s v="Member"/>
    <s v="Cash"/>
    <x v="1"/>
    <n v="2.6"/>
    <n v="67.819999999999993"/>
    <n v="10"/>
    <n v="68.510000000000005"/>
    <n v="186.8151"/>
    <n v="781.3"/>
    <n v="3.8764546470000001"/>
    <n v="31.78"/>
  </r>
  <r>
    <x v="1"/>
    <x v="1"/>
    <x v="1"/>
    <s v="02:06:AM"/>
    <n v="854826762"/>
    <s v="Male"/>
    <s v="Member"/>
    <s v="Cash"/>
    <x v="4"/>
    <n v="9.9"/>
    <n v="99.68"/>
    <n v="2"/>
    <n v="54.54"/>
    <n v="171.37629999999999"/>
    <n v="198.74"/>
    <n v="3.8764546470000001"/>
    <n v="77.58"/>
  </r>
  <r>
    <x v="1"/>
    <x v="1"/>
    <x v="197"/>
    <s v="07:22:PM"/>
    <n v="138054155"/>
    <s v="Female"/>
    <s v="Member"/>
    <s v="Cash"/>
    <x v="4"/>
    <n v="6.5"/>
    <n v="88.33"/>
    <n v="3"/>
    <n v="56"/>
    <n v="151.06700000000001"/>
    <n v="63.24"/>
    <n v="3.8764546470000001"/>
    <n v="10.98"/>
  </r>
  <r>
    <x v="1"/>
    <x v="1"/>
    <x v="218"/>
    <s v="02:55:AM"/>
    <n v="861304131"/>
    <s v="Male"/>
    <s v="Member"/>
    <s v="Cash"/>
    <x v="1"/>
    <n v="8"/>
    <n v="55.49"/>
    <n v="5"/>
    <n v="94.4"/>
    <n v="105.31910000000001"/>
    <n v="373.95"/>
    <n v="3.8764546470000001"/>
    <n v="90"/>
  </r>
  <r>
    <x v="1"/>
    <x v="1"/>
    <x v="259"/>
    <s v="01:46:PM"/>
    <n v="969497791"/>
    <s v="Female"/>
    <s v="Member"/>
    <s v="Credit card"/>
    <x v="0"/>
    <n v="8"/>
    <n v="31.56"/>
    <n v="7"/>
    <n v="75.7"/>
    <n v="128.27770000000001"/>
    <n v="207.69"/>
    <n v="3.8764546470000001"/>
    <n v="93.28"/>
  </r>
  <r>
    <x v="1"/>
    <x v="1"/>
    <x v="260"/>
    <s v="05:09:PM"/>
    <n v="415457268"/>
    <s v="Male"/>
    <s v="Member"/>
    <s v="Ewallet"/>
    <x v="0"/>
    <n v="8"/>
    <n v="85.76"/>
    <n v="4"/>
    <n v="60.38"/>
    <n v="146.17169999999999"/>
    <n v="176.28"/>
    <n v="3.8764546470000001"/>
    <n v="49.93"/>
  </r>
  <r>
    <x v="1"/>
    <x v="1"/>
    <x v="261"/>
    <s v="12:42:AM"/>
    <n v="896888078"/>
    <s v="Female"/>
    <s v="Normal"/>
    <s v="Cash"/>
    <x v="4"/>
    <n v="6.6"/>
    <n v="82.64"/>
    <n v="9"/>
    <n v="68.91"/>
    <n v="173.71199999999999"/>
    <n v="206.37"/>
    <n v="3.8764546470000001"/>
    <n v="41.606999999999999"/>
  </r>
  <r>
    <x v="1"/>
    <x v="1"/>
    <x v="27"/>
    <s v="09:20:AM"/>
    <n v="84700326"/>
    <s v="Female"/>
    <s v="Normal"/>
    <s v="Cash"/>
    <x v="0"/>
    <n v="5.3"/>
    <n v="63.7"/>
    <n v="1"/>
    <n v="50.83"/>
    <n v="157.82480000000001"/>
    <n v="39.42"/>
    <n v="3.8764546470000001"/>
    <n v="67.52"/>
  </r>
  <r>
    <x v="0"/>
    <x v="0"/>
    <x v="262"/>
    <s v="03:30:AM"/>
    <n v="310790070"/>
    <s v="Male"/>
    <s v="Normal"/>
    <s v="Ewallet"/>
    <x v="0"/>
    <n v="1.1000000000000001"/>
    <n v="74.73"/>
    <n v="6"/>
    <n v="18.28"/>
    <n v="173.0626"/>
    <n v="91.56"/>
    <n v="3.8764546470000001"/>
    <n v="10.59"/>
  </r>
  <r>
    <x v="0"/>
    <x v="0"/>
    <x v="174"/>
    <s v="06:25:AM"/>
    <n v="990877459"/>
    <s v="Female"/>
    <s v="Normal"/>
    <s v="Cash"/>
    <x v="5"/>
    <n v="9.5"/>
    <n v="81.239999999999995"/>
    <n v="5"/>
    <n v="69.88"/>
    <n v="184.1746"/>
    <n v="308.85000000000002"/>
    <n v="3.8764546470000001"/>
    <n v="95.284000000000006"/>
  </r>
  <r>
    <x v="0"/>
    <x v="0"/>
    <x v="263"/>
    <s v="02:49:PM"/>
    <n v="611689646"/>
    <s v="Male"/>
    <s v="Normal"/>
    <s v="Credit card"/>
    <x v="2"/>
    <n v="4.7"/>
    <n v="77.180000000000007"/>
    <n v="6"/>
    <n v="88.38"/>
    <n v="182.59280000000001"/>
    <n v="129.12"/>
    <n v="3.8764546470000001"/>
    <n v="94.855000000000004"/>
  </r>
  <r>
    <x v="2"/>
    <x v="2"/>
    <x v="61"/>
    <s v="07:07:AM"/>
    <n v="441413296"/>
    <s v="Male"/>
    <s v="Normal"/>
    <s v="Ewallet"/>
    <x v="3"/>
    <n v="9.5"/>
    <n v="55.33"/>
    <n v="4"/>
    <n v="14.38"/>
    <n v="101.3502"/>
    <n v="390.96"/>
    <n v="3.8764546470000001"/>
    <n v="95.602000000000004"/>
  </r>
  <r>
    <x v="0"/>
    <x v="0"/>
    <x v="264"/>
    <s v="08:25:PM"/>
    <n v="321514070"/>
    <s v="Male"/>
    <s v="Member"/>
    <s v="Cash"/>
    <x v="4"/>
    <n v="5.7"/>
    <n v="20.72"/>
    <n v="5"/>
    <n v="18.579999999999998"/>
    <n v="151.898"/>
    <n v="498.9"/>
    <n v="3.8764546470000001"/>
    <n v="70.12"/>
  </r>
  <r>
    <x v="1"/>
    <x v="1"/>
    <x v="265"/>
    <s v="04:48:PM"/>
    <n v="921976273"/>
    <s v="Male"/>
    <s v="Member"/>
    <s v="Cash"/>
    <x v="4"/>
    <n v="2.2000000000000002"/>
    <n v="74.180000000000007"/>
    <n v="4"/>
    <n v="79.75"/>
    <n v="165.0658"/>
    <n v="377.04"/>
    <n v="3.8764546470000001"/>
    <n v="97.867999999999995"/>
  </r>
  <r>
    <x v="2"/>
    <x v="2"/>
    <x v="266"/>
    <s v="02:41:AM"/>
    <n v="16621630"/>
    <s v="Male"/>
    <s v="Member"/>
    <s v="Credit card"/>
    <x v="0"/>
    <n v="2.2999999999999998"/>
    <n v="15.9"/>
    <n v="4"/>
    <n v="72.819999999999993"/>
    <n v="150.8382"/>
    <n v="204.52"/>
    <n v="3.8764546470000001"/>
    <n v="87.198999999999998"/>
  </r>
  <r>
    <x v="0"/>
    <x v="0"/>
    <x v="198"/>
    <s v="11:33:AM"/>
    <n v="928650376"/>
    <s v="Male"/>
    <s v="Member"/>
    <s v="Cash"/>
    <x v="1"/>
    <n v="6.5"/>
    <n v="10.11"/>
    <n v="4"/>
    <n v="39.630000000000003"/>
    <n v="101.1219"/>
    <n v="145.44"/>
    <n v="3.8764546470000001"/>
    <n v="63.36"/>
  </r>
  <r>
    <x v="2"/>
    <x v="2"/>
    <x v="267"/>
    <s v="05:15:AM"/>
    <n v="615705946"/>
    <s v="Male"/>
    <s v="Normal"/>
    <s v="Cash"/>
    <x v="2"/>
    <n v="8.8000000000000007"/>
    <n v="11.13"/>
    <n v="9"/>
    <n v="31.52"/>
    <n v="131.96809999999999"/>
    <n v="198.18"/>
    <n v="3.8764546470000001"/>
    <n v="72.02"/>
  </r>
  <r>
    <x v="0"/>
    <x v="0"/>
    <x v="179"/>
    <s v="03:51:AM"/>
    <n v="465270502"/>
    <s v="Male"/>
    <s v="Normal"/>
    <s v="Credit card"/>
    <x v="4"/>
    <n v="3"/>
    <n v="39.020000000000003"/>
    <n v="3"/>
    <n v="31.49"/>
    <n v="128.58590000000001"/>
    <n v="98.7"/>
    <n v="3.8764546470000001"/>
    <n v="25.672999999999998"/>
  </r>
  <r>
    <x v="0"/>
    <x v="0"/>
    <x v="268"/>
    <s v="11:41:PM"/>
    <n v="676817719"/>
    <s v="Male"/>
    <s v="Normal"/>
    <s v="Cash"/>
    <x v="5"/>
    <n v="9.9"/>
    <n v="10.72"/>
    <n v="5"/>
    <n v="29.89"/>
    <n v="145.68969999999999"/>
    <n v="385.1"/>
    <n v="3.8764546470000001"/>
    <n v="49.674999999999997"/>
  </r>
  <r>
    <x v="0"/>
    <x v="0"/>
    <x v="41"/>
    <s v="03:16:AM"/>
    <n v="179475770"/>
    <s v="Male"/>
    <s v="Member"/>
    <s v="Credit card"/>
    <x v="4"/>
    <n v="2.9"/>
    <n v="68.540000000000006"/>
    <n v="2"/>
    <n v="14.43"/>
    <n v="131.63310000000001"/>
    <n v="46.96"/>
    <n v="3.8764546470000001"/>
    <n v="86.097999999999999"/>
  </r>
  <r>
    <x v="1"/>
    <x v="1"/>
    <x v="77"/>
    <s v="05:22:AM"/>
    <n v="914702139"/>
    <s v="Male"/>
    <s v="Member"/>
    <s v="Ewallet"/>
    <x v="3"/>
    <n v="1.4"/>
    <n v="55.96"/>
    <n v="5"/>
    <n v="37.1"/>
    <n v="146.47669999999999"/>
    <n v="73.5"/>
    <n v="3.8764546470000001"/>
    <n v="93.552999999999997"/>
  </r>
  <r>
    <x v="0"/>
    <x v="0"/>
    <x v="1"/>
    <s v="07:28:AM"/>
    <n v="421581079"/>
    <s v="Female"/>
    <s v="Member"/>
    <s v="Credit card"/>
    <x v="1"/>
    <n v="2.9"/>
    <n v="51.06"/>
    <n v="5"/>
    <n v="35.99"/>
    <n v="133.7724"/>
    <n v="142.25"/>
    <n v="3.8764546470000001"/>
    <n v="22.513999999999999"/>
  </r>
  <r>
    <x v="0"/>
    <x v="0"/>
    <x v="269"/>
    <s v="07:36:PM"/>
    <n v="188945234"/>
    <s v="Male"/>
    <s v="Normal"/>
    <s v="Ewallet"/>
    <x v="5"/>
    <n v="4.3"/>
    <n v="75.540000000000006"/>
    <n v="9"/>
    <n v="51.22"/>
    <n v="123.3747"/>
    <n v="687.6"/>
    <n v="3.8764546470000001"/>
    <n v="46.701000000000001"/>
  </r>
  <r>
    <x v="2"/>
    <x v="2"/>
    <x v="270"/>
    <s v="09:27:AM"/>
    <n v="498668421"/>
    <s v="Female"/>
    <s v="Normal"/>
    <s v="Cash"/>
    <x v="3"/>
    <n v="2.1"/>
    <n v="84.19"/>
    <n v="6"/>
    <n v="68.28"/>
    <n v="182.43350000000001"/>
    <n v="347.7"/>
    <n v="3.8764546470000001"/>
    <n v="76.692999999999998"/>
  </r>
  <r>
    <x v="1"/>
    <x v="1"/>
    <x v="271"/>
    <s v="09:48:AM"/>
    <n v="155399493"/>
    <s v="Female"/>
    <s v="Normal"/>
    <s v="Credit card"/>
    <x v="1"/>
    <n v="1.3"/>
    <n v="90.02"/>
    <n v="3"/>
    <n v="23.73"/>
    <n v="115.66630000000001"/>
    <n v="142.94999999999999"/>
    <n v="3.8764546470000001"/>
    <n v="60.997"/>
  </r>
  <r>
    <x v="2"/>
    <x v="2"/>
    <x v="98"/>
    <s v="12:00:AM"/>
    <n v="532901287"/>
    <s v="Female"/>
    <s v="Member"/>
    <s v="Credit card"/>
    <x v="4"/>
    <n v="6.3"/>
    <n v="74.8"/>
    <n v="9"/>
    <n v="15.67"/>
    <n v="104.03530000000001"/>
    <n v="385.38"/>
    <n v="3.8764546470000001"/>
    <n v="30.414999999999999"/>
  </r>
  <r>
    <x v="2"/>
    <x v="2"/>
    <x v="267"/>
    <s v="08:59:AM"/>
    <n v="294862735"/>
    <s v="Male"/>
    <s v="Member"/>
    <s v="Credit card"/>
    <x v="1"/>
    <n v="8.9"/>
    <n v="17.78"/>
    <n v="3"/>
    <n v="43.13"/>
    <n v="130.98929999999999"/>
    <n v="144.27000000000001"/>
    <n v="3.8764546470000001"/>
    <n v="46.518000000000001"/>
  </r>
  <r>
    <x v="2"/>
    <x v="2"/>
    <x v="272"/>
    <s v="06:32:AM"/>
    <n v="653675565"/>
    <s v="Female"/>
    <s v="Member"/>
    <s v="Ewallet"/>
    <x v="0"/>
    <n v="7"/>
    <n v="94.33"/>
    <n v="7"/>
    <n v="16.46"/>
    <n v="135.40350000000001"/>
    <n v="391.79"/>
    <n v="3.8764546470000001"/>
    <n v="93.26"/>
  </r>
  <r>
    <x v="2"/>
    <x v="2"/>
    <x v="182"/>
    <s v="07:43:PM"/>
    <n v="142511056"/>
    <s v="Female"/>
    <s v="Member"/>
    <s v="Cash"/>
    <x v="0"/>
    <n v="1.1000000000000001"/>
    <n v="90.53"/>
    <n v="7"/>
    <n v="92.5"/>
    <n v="182.66630000000001"/>
    <n v="538.29999999999995"/>
    <n v="3.8764546470000001"/>
    <n v="31.08"/>
  </r>
  <r>
    <x v="1"/>
    <x v="1"/>
    <x v="273"/>
    <s v="03:44:AM"/>
    <n v="560918611"/>
    <s v="Female"/>
    <s v="Normal"/>
    <s v="Ewallet"/>
    <x v="4"/>
    <n v="4.2"/>
    <n v="29.43"/>
    <n v="5"/>
    <n v="25.04"/>
    <n v="172.98869999999999"/>
    <n v="485.15"/>
    <n v="3.8764546470000001"/>
    <n v="75.272000000000006"/>
  </r>
  <r>
    <x v="0"/>
    <x v="0"/>
    <x v="274"/>
    <s v="02:20:AM"/>
    <n v="42381009"/>
    <s v="Male"/>
    <s v="Normal"/>
    <s v="Cash"/>
    <x v="3"/>
    <n v="7.5"/>
    <n v="87.18"/>
    <n v="3"/>
    <n v="97.66"/>
    <n v="136.11750000000001"/>
    <n v="133.94999999999999"/>
    <n v="3.8764546470000001"/>
    <n v="29.131"/>
  </r>
  <r>
    <x v="0"/>
    <x v="0"/>
    <x v="202"/>
    <s v="09:21:PM"/>
    <n v="221619624"/>
    <s v="Female"/>
    <s v="Normal"/>
    <s v="Ewallet"/>
    <x v="5"/>
    <n v="7.1"/>
    <n v="21.97"/>
    <n v="9"/>
    <n v="34.64"/>
    <n v="157.45679999999999"/>
    <n v="701.37"/>
    <n v="3.8764546470000001"/>
    <n v="36.74"/>
  </r>
  <r>
    <x v="0"/>
    <x v="0"/>
    <x v="62"/>
    <s v="07:21:AM"/>
    <n v="216383332"/>
    <s v="Male"/>
    <s v="Member"/>
    <s v="Cash"/>
    <x v="1"/>
    <n v="9.9"/>
    <n v="37.56"/>
    <n v="1"/>
    <n v="91.45"/>
    <n v="176.01929999999999"/>
    <n v="71.95"/>
    <n v="3.8764546470000001"/>
    <n v="78.424999999999997"/>
  </r>
  <r>
    <x v="1"/>
    <x v="1"/>
    <x v="275"/>
    <s v="08:11:PM"/>
    <n v="700439634"/>
    <s v="Female"/>
    <s v="Member"/>
    <s v="Cash"/>
    <x v="2"/>
    <n v="2.1"/>
    <n v="11.35"/>
    <n v="8"/>
    <n v="22.14"/>
    <n v="108.6001"/>
    <n v="714"/>
    <n v="3.8764546470000001"/>
    <n v="97.668999999999997"/>
  </r>
  <r>
    <x v="0"/>
    <x v="0"/>
    <x v="276"/>
    <s v="03:59:PM"/>
    <n v="109600405"/>
    <s v="Male"/>
    <s v="Normal"/>
    <s v="Cash"/>
    <x v="1"/>
    <n v="7.1"/>
    <n v="45.41"/>
    <n v="7"/>
    <n v="53.23"/>
    <n v="136.02510000000001"/>
    <n v="182.14"/>
    <n v="3.8764546470000001"/>
    <n v="61.463999999999999"/>
  </r>
  <r>
    <x v="2"/>
    <x v="2"/>
    <x v="277"/>
    <s v="10:38:PM"/>
    <n v="545760557"/>
    <s v="Female"/>
    <s v="Normal"/>
    <s v="Credit card"/>
    <x v="0"/>
    <n v="6"/>
    <n v="13.36"/>
    <n v="10"/>
    <n v="49.51"/>
    <n v="121.7974"/>
    <n v="135"/>
    <n v="3.8764546470000001"/>
    <n v="34.381"/>
  </r>
  <r>
    <x v="1"/>
    <x v="1"/>
    <x v="278"/>
    <s v="02:14:PM"/>
    <n v="281244666"/>
    <s v="Female"/>
    <s v="Member"/>
    <s v="Credit card"/>
    <x v="5"/>
    <n v="9.5"/>
    <n v="67.95"/>
    <n v="10"/>
    <n v="64.19"/>
    <n v="150.1344"/>
    <n v="993"/>
    <n v="3.8764546470000001"/>
    <n v="93.251999999999995"/>
  </r>
  <r>
    <x v="0"/>
    <x v="0"/>
    <x v="279"/>
    <s v="05:50:AM"/>
    <n v="129499996"/>
    <s v="Male"/>
    <s v="Normal"/>
    <s v="Cash"/>
    <x v="1"/>
    <n v="1.4"/>
    <n v="91.19"/>
    <n v="7"/>
    <n v="52.7"/>
    <n v="137.13759999999999"/>
    <n v="361.83"/>
    <n v="3.8764546470000001"/>
    <n v="58.67"/>
  </r>
  <r>
    <x v="2"/>
    <x v="2"/>
    <x v="29"/>
    <s v="02:00:PM"/>
    <n v="258786790"/>
    <s v="Female"/>
    <s v="Member"/>
    <s v="Credit card"/>
    <x v="5"/>
    <n v="5.2"/>
    <n v="22.97"/>
    <n v="7"/>
    <n v="95.73"/>
    <n v="158.95429999999999"/>
    <n v="383.11"/>
    <n v="3.8764546470000001"/>
    <n v="21.14"/>
  </r>
  <r>
    <x v="2"/>
    <x v="2"/>
    <x v="15"/>
    <s v="06:54:PM"/>
    <n v="942499766"/>
    <s v="Male"/>
    <s v="Member"/>
    <s v="Cash"/>
    <x v="2"/>
    <n v="2.4"/>
    <n v="33.46"/>
    <n v="9"/>
    <n v="56.18"/>
    <n v="145.16239999999999"/>
    <n v="243"/>
    <n v="3.8764546470000001"/>
    <n v="71.13"/>
  </r>
  <r>
    <x v="1"/>
    <x v="1"/>
    <x v="150"/>
    <s v="12:28:AM"/>
    <n v="352070766"/>
    <s v="Female"/>
    <s v="Normal"/>
    <s v="Cash"/>
    <x v="1"/>
    <n v="9.3000000000000007"/>
    <n v="39.49"/>
    <n v="1"/>
    <n v="79.78"/>
    <n v="152.82679999999999"/>
    <n v="30.24"/>
    <n v="3.8764546470000001"/>
    <n v="73.16"/>
  </r>
  <r>
    <x v="2"/>
    <x v="2"/>
    <x v="127"/>
    <s v="04:27:PM"/>
    <n v="605467988"/>
    <s v="Female"/>
    <s v="Member"/>
    <s v="Credit card"/>
    <x v="4"/>
    <n v="1.4"/>
    <n v="65.86"/>
    <n v="4"/>
    <n v="50.79"/>
    <n v="146.81800000000001"/>
    <n v="356.56"/>
    <n v="3.8764546470000001"/>
    <n v="63.082999999999998"/>
  </r>
  <r>
    <x v="1"/>
    <x v="1"/>
    <x v="120"/>
    <s v="10:51:AM"/>
    <n v="125833021"/>
    <s v="Female"/>
    <s v="Normal"/>
    <s v="Credit card"/>
    <x v="5"/>
    <n v="5.4"/>
    <n v="25.83"/>
    <n v="10"/>
    <n v="95.03"/>
    <n v="178.2123"/>
    <n v="375.5"/>
    <n v="3.8764546470000001"/>
    <n v="82.796000000000006"/>
  </r>
  <r>
    <x v="1"/>
    <x v="1"/>
    <x v="280"/>
    <s v="06:46:AM"/>
    <n v="371324121"/>
    <s v="Female"/>
    <s v="Normal"/>
    <s v="Cash"/>
    <x v="3"/>
    <n v="2"/>
    <n v="38.54"/>
    <n v="10"/>
    <n v="25.95"/>
    <n v="110.3947"/>
    <n v="954.4"/>
    <n v="3.8764546470000001"/>
    <n v="61.731999999999999"/>
  </r>
  <r>
    <x v="2"/>
    <x v="2"/>
    <x v="281"/>
    <s v="05:29:AM"/>
    <n v="646401346"/>
    <s v="Male"/>
    <s v="Normal"/>
    <s v="Ewallet"/>
    <x v="1"/>
    <n v="6.8"/>
    <n v="39.72"/>
    <n v="3"/>
    <n v="53.97"/>
    <n v="146.28739999999999"/>
    <n v="82.5"/>
    <n v="3.8764546470000001"/>
    <n v="64.45"/>
  </r>
  <r>
    <x v="2"/>
    <x v="2"/>
    <x v="216"/>
    <s v="01:17:AM"/>
    <n v="669230103"/>
    <s v="Male"/>
    <s v="Normal"/>
    <s v="Cash"/>
    <x v="3"/>
    <n v="9.6"/>
    <n v="61.46"/>
    <n v="1"/>
    <n v="47.46"/>
    <n v="176.8741"/>
    <n v="74.97"/>
    <n v="3.8764546470000001"/>
    <n v="30.593"/>
  </r>
  <r>
    <x v="0"/>
    <x v="0"/>
    <x v="81"/>
    <s v="03:09:AM"/>
    <n v="168098613"/>
    <s v="Male"/>
    <s v="Member"/>
    <s v="Credit card"/>
    <x v="4"/>
    <n v="7.3"/>
    <n v="28.03"/>
    <n v="8"/>
    <n v="68.45"/>
    <n v="155.11060000000001"/>
    <n v="647.67999999999995"/>
    <n v="3.8764546470000001"/>
    <n v="10.135"/>
  </r>
  <r>
    <x v="1"/>
    <x v="1"/>
    <x v="282"/>
    <s v="01:24:AM"/>
    <n v="668568918"/>
    <s v="Female"/>
    <s v="Normal"/>
    <s v="Cash"/>
    <x v="4"/>
    <n v="8.9"/>
    <n v="23.2"/>
    <n v="8"/>
    <n v="44.78"/>
    <n v="125.85939999999999"/>
    <n v="755.76"/>
    <n v="3.8764546470000001"/>
    <n v="47.54"/>
  </r>
  <r>
    <x v="1"/>
    <x v="1"/>
    <x v="283"/>
    <s v="11:13:PM"/>
    <n v="461820594"/>
    <s v="Male"/>
    <s v="Normal"/>
    <s v="Ewallet"/>
    <x v="4"/>
    <n v="6.9"/>
    <n v="16.23"/>
    <n v="2"/>
    <n v="58.53"/>
    <n v="148.88640000000001"/>
    <n v="199.58"/>
    <n v="3.8764546470000001"/>
    <n v="71.010000000000005"/>
  </r>
  <r>
    <x v="0"/>
    <x v="0"/>
    <x v="284"/>
    <s v="09:20:AM"/>
    <n v="942839356"/>
    <s v="Male"/>
    <s v="Normal"/>
    <s v="Cash"/>
    <x v="2"/>
    <n v="9"/>
    <n v="62.34"/>
    <n v="6"/>
    <n v="30.72"/>
    <n v="180.8887"/>
    <n v="439.32"/>
    <n v="3.8764546470000001"/>
    <n v="26.66"/>
  </r>
  <r>
    <x v="1"/>
    <x v="1"/>
    <x v="272"/>
    <s v="01:24:AM"/>
    <n v="235622566"/>
    <s v="Female"/>
    <s v="Normal"/>
    <s v="Cash"/>
    <x v="4"/>
    <n v="7"/>
    <n v="68.13"/>
    <n v="4"/>
    <n v="43.46"/>
    <n v="178.6207"/>
    <n v="164.96"/>
    <n v="3.8764546470000001"/>
    <n v="71.531999999999996"/>
  </r>
  <r>
    <x v="1"/>
    <x v="1"/>
    <x v="285"/>
    <s v="09:55:AM"/>
    <n v="36783133"/>
    <s v="Female"/>
    <s v="Normal"/>
    <s v="Cash"/>
    <x v="5"/>
    <n v="7"/>
    <n v="55.07"/>
    <n v="4"/>
    <n v="80.31"/>
    <n v="104.0275"/>
    <n v="326.72000000000003"/>
    <n v="3.8764546470000001"/>
    <n v="61.073999999999998"/>
  </r>
  <r>
    <x v="1"/>
    <x v="1"/>
    <x v="89"/>
    <s v="11:48:PM"/>
    <n v="707847132"/>
    <s v="Female"/>
    <s v="Normal"/>
    <s v="Cash"/>
    <x v="1"/>
    <n v="9"/>
    <n v="82.86"/>
    <n v="9"/>
    <n v="72.27"/>
    <n v="127.0086"/>
    <n v="461.88"/>
    <n v="3.8764546470000001"/>
    <n v="79.706000000000003"/>
  </r>
  <r>
    <x v="0"/>
    <x v="0"/>
    <x v="286"/>
    <s v="06:32:AM"/>
    <n v="473581781"/>
    <s v="Male"/>
    <s v="Member"/>
    <s v="Cash"/>
    <x v="2"/>
    <n v="7"/>
    <n v="80.430000000000007"/>
    <n v="4"/>
    <n v="85.85"/>
    <n v="165.56659999999999"/>
    <n v="263.76"/>
    <n v="3.8764546470000001"/>
    <n v="76.326999999999998"/>
  </r>
  <r>
    <x v="1"/>
    <x v="1"/>
    <x v="287"/>
    <s v="04:20:PM"/>
    <n v="364945623"/>
    <s v="Female"/>
    <s v="Normal"/>
    <s v="Cash"/>
    <x v="3"/>
    <n v="9"/>
    <n v="22.32"/>
    <n v="10"/>
    <n v="32.94"/>
    <n v="180.96610000000001"/>
    <n v="143.6"/>
    <n v="3.8764546470000001"/>
    <n v="76.515000000000001"/>
  </r>
  <r>
    <x v="0"/>
    <x v="0"/>
    <x v="255"/>
    <s v="09:21:PM"/>
    <n v="633613421"/>
    <s v="Male"/>
    <s v="Member"/>
    <s v="Credit card"/>
    <x v="1"/>
    <n v="7"/>
    <n v="83.77"/>
    <n v="9"/>
    <n v="87.7"/>
    <n v="160.26519999999999"/>
    <n v="193.5"/>
    <n v="3.8764546470000001"/>
    <n v="91.266999999999996"/>
  </r>
  <r>
    <x v="2"/>
    <x v="2"/>
    <x v="288"/>
    <s v="04:20:PM"/>
    <n v="453213055"/>
    <s v="Female"/>
    <s v="Member"/>
    <s v="Cash"/>
    <x v="1"/>
    <n v="2"/>
    <n v="13.21"/>
    <n v="7"/>
    <n v="99.04"/>
    <n v="187.7157"/>
    <n v="183.82"/>
    <n v="3.8764546470000001"/>
    <n v="23.285"/>
  </r>
  <r>
    <x v="2"/>
    <x v="2"/>
    <x v="60"/>
    <s v="08:17:AM"/>
    <n v="384670843"/>
    <s v="Female"/>
    <s v="Normal"/>
    <s v="Credit card"/>
    <x v="5"/>
    <n v="3"/>
    <n v="82.96"/>
    <n v="2"/>
    <n v="62.24"/>
    <n v="113.6189"/>
    <n v="121.92"/>
    <n v="3.8764546470000001"/>
    <n v="47.875999999999998"/>
  </r>
  <r>
    <x v="1"/>
    <x v="1"/>
    <x v="289"/>
    <s v="04:19:AM"/>
    <n v="921863013"/>
    <s v="Female"/>
    <s v="Normal"/>
    <s v="Ewallet"/>
    <x v="2"/>
    <n v="3"/>
    <n v="58.01"/>
    <n v="6"/>
    <n v="48.94"/>
    <n v="182.85810000000001"/>
    <n v="420.66"/>
    <n v="3.8764546470000001"/>
    <n v="68.531000000000006"/>
  </r>
  <r>
    <x v="1"/>
    <x v="1"/>
    <x v="290"/>
    <s v="05:57:AM"/>
    <n v="521033371"/>
    <s v="Male"/>
    <s v="Normal"/>
    <s v="Cash"/>
    <x v="5"/>
    <n v="1.8"/>
    <n v="55.94"/>
    <n v="6"/>
    <n v="27.86"/>
    <n v="154.5318"/>
    <n v="252.48"/>
    <n v="3.8764546470000001"/>
    <n v="28.96"/>
  </r>
  <r>
    <x v="0"/>
    <x v="0"/>
    <x v="291"/>
    <s v="06:18:AM"/>
    <n v="952249595"/>
    <s v="Female"/>
    <s v="Normal"/>
    <s v="Credit card"/>
    <x v="2"/>
    <n v="1"/>
    <n v="62.47"/>
    <n v="5"/>
    <n v="29.62"/>
    <n v="112.6173"/>
    <n v="335.45"/>
    <n v="3.8764546470000001"/>
    <n v="15.11"/>
  </r>
  <r>
    <x v="0"/>
    <x v="0"/>
    <x v="181"/>
    <s v="07:21:AM"/>
    <n v="553671443"/>
    <s v="Female"/>
    <s v="Member"/>
    <s v="Ewallet"/>
    <x v="5"/>
    <n v="5.7"/>
    <n v="79.010000000000005"/>
    <n v="5"/>
    <n v="52.28"/>
    <n v="103.4997"/>
    <n v="483.5"/>
    <n v="3.8764546470000001"/>
    <n v="73.959999999999994"/>
  </r>
  <r>
    <x v="2"/>
    <x v="2"/>
    <x v="292"/>
    <s v="07:01:PM"/>
    <n v="764199348"/>
    <s v="Female"/>
    <s v="Member"/>
    <s v="Credit card"/>
    <x v="2"/>
    <n v="3.4"/>
    <n v="38.04"/>
    <n v="9"/>
    <n v="41.28"/>
    <n v="147.47130000000001"/>
    <n v="318.42"/>
    <n v="3.8764546470000001"/>
    <n v="25.94"/>
  </r>
  <r>
    <x v="1"/>
    <x v="1"/>
    <x v="293"/>
    <s v="11:13:PM"/>
    <n v="256327357"/>
    <s v="Male"/>
    <s v="Normal"/>
    <s v="Ewallet"/>
    <x v="3"/>
    <n v="3.7"/>
    <n v="53.57"/>
    <n v="7"/>
    <n v="38.57"/>
    <n v="132.29859999999999"/>
    <n v="668.43"/>
    <n v="3.8764546470000001"/>
    <n v="51.53"/>
  </r>
  <r>
    <x v="1"/>
    <x v="1"/>
    <x v="294"/>
    <s v="07:56:AM"/>
    <n v="891400650"/>
    <s v="Male"/>
    <s v="Member"/>
    <s v="Ewallet"/>
    <x v="5"/>
    <n v="4.9000000000000004"/>
    <n v="85.68"/>
    <n v="4"/>
    <n v="37.700000000000003"/>
    <n v="161.64429999999999"/>
    <n v="387.92"/>
    <n v="3.8764546470000001"/>
    <n v="11.5"/>
  </r>
  <r>
    <x v="2"/>
    <x v="2"/>
    <x v="180"/>
    <s v="07:57:PM"/>
    <n v="483983017"/>
    <s v="Female"/>
    <s v="Normal"/>
    <s v="Credit card"/>
    <x v="1"/>
    <n v="3.6"/>
    <n v="10.66"/>
    <n v="4"/>
    <n v="29.73"/>
    <n v="179.65549999999999"/>
    <n v="94.6"/>
    <n v="3.8764546470000001"/>
    <n v="40.049999999999997"/>
  </r>
  <r>
    <x v="0"/>
    <x v="0"/>
    <x v="295"/>
    <s v="03:10:PM"/>
    <n v="760215422"/>
    <s v="Male"/>
    <s v="Member"/>
    <s v="Credit card"/>
    <x v="3"/>
    <n v="9.1"/>
    <n v="36.17"/>
    <n v="4"/>
    <n v="17.579999999999998"/>
    <n v="168.89320000000001"/>
    <n v="329.32"/>
    <n v="3.8764546470000001"/>
    <n v="51.15"/>
  </r>
  <r>
    <x v="1"/>
    <x v="1"/>
    <x v="13"/>
    <s v="02:48:AM"/>
    <n v="784330066"/>
    <s v="Female"/>
    <s v="Normal"/>
    <s v="Cash"/>
    <x v="1"/>
    <n v="8.9"/>
    <n v="32.380000000000003"/>
    <n v="2"/>
    <n v="92.67"/>
    <n v="147.99940000000001"/>
    <n v="53.22"/>
    <n v="3.8764546470000001"/>
    <n v="54.283999999999999"/>
  </r>
  <r>
    <x v="2"/>
    <x v="2"/>
    <x v="49"/>
    <s v="09:42:PM"/>
    <n v="206723240"/>
    <s v="Female"/>
    <s v="Normal"/>
    <s v="Cash"/>
    <x v="4"/>
    <n v="3.8"/>
    <n v="71.180000000000007"/>
    <n v="5"/>
    <n v="57.25"/>
    <n v="162.4238"/>
    <n v="498.45"/>
    <n v="3.8764546470000001"/>
    <n v="87.613"/>
  </r>
  <r>
    <x v="1"/>
    <x v="1"/>
    <x v="25"/>
    <s v="01:46:PM"/>
    <n v="16089982"/>
    <s v="Female"/>
    <s v="Member"/>
    <s v="Ewallet"/>
    <x v="4"/>
    <n v="9.6"/>
    <n v="67.27"/>
    <n v="4"/>
    <n v="11.83"/>
    <n v="107.4834"/>
    <n v="299.56"/>
    <n v="3.8764546470000001"/>
    <n v="38.170999999999999"/>
  </r>
  <r>
    <x v="0"/>
    <x v="0"/>
    <x v="296"/>
    <s v="05:43:AM"/>
    <n v="512763457"/>
    <s v="Female"/>
    <s v="Normal"/>
    <s v="Ewallet"/>
    <x v="4"/>
    <n v="9.1"/>
    <n v="97.83"/>
    <n v="5"/>
    <n v="85.54"/>
    <n v="101.4113"/>
    <n v="204.7"/>
    <n v="3.8764546470000001"/>
    <n v="80.828999999999994"/>
  </r>
  <r>
    <x v="2"/>
    <x v="2"/>
    <x v="144"/>
    <s v="03:44:AM"/>
    <n v="963574650"/>
    <s v="Male"/>
    <s v="Member"/>
    <s v="Cash"/>
    <x v="3"/>
    <n v="5.9"/>
    <n v="34.67"/>
    <n v="1"/>
    <n v="22.9"/>
    <n v="139.26820000000001"/>
    <n v="75.819999999999993"/>
    <n v="3.8764546470000001"/>
    <n v="65.222999999999999"/>
  </r>
  <r>
    <x v="1"/>
    <x v="1"/>
    <x v="90"/>
    <s v="08:45:AM"/>
    <n v="633376979"/>
    <s v="Male"/>
    <s v="Normal"/>
    <s v="Cash"/>
    <x v="4"/>
    <n v="3.2"/>
    <n v="68.97"/>
    <n v="6"/>
    <n v="30.83"/>
    <n v="110.5098"/>
    <n v="280.62"/>
    <n v="3.8764546470000001"/>
    <n v="98.82"/>
  </r>
  <r>
    <x v="0"/>
    <x v="0"/>
    <x v="32"/>
    <s v="01:24:AM"/>
    <n v="232192824"/>
    <s v="Female"/>
    <s v="Normal"/>
    <s v="Credit card"/>
    <x v="0"/>
    <n v="8.4"/>
    <n v="35.729999999999997"/>
    <n v="10"/>
    <n v="33.83"/>
    <n v="135.46899999999999"/>
    <n v="323.2"/>
    <n v="3.8764546470000001"/>
    <n v="68.581000000000003"/>
  </r>
  <r>
    <x v="1"/>
    <x v="1"/>
    <x v="297"/>
    <s v="10:17:PM"/>
    <n v="784890113"/>
    <s v="Female"/>
    <s v="Member"/>
    <s v="Ewallet"/>
    <x v="5"/>
    <n v="4.0999999999999996"/>
    <n v="13.57"/>
    <n v="9"/>
    <n v="29.67"/>
    <n v="133.14259999999999"/>
    <n v="486.63"/>
    <n v="3.8764546470000001"/>
    <n v="21.896999999999998"/>
  </r>
  <r>
    <x v="2"/>
    <x v="2"/>
    <x v="298"/>
    <s v="11:41:PM"/>
    <n v="642071672"/>
    <s v="Male"/>
    <s v="Normal"/>
    <s v="Credit card"/>
    <x v="4"/>
    <n v="2.2000000000000002"/>
    <n v="92.57"/>
    <n v="7"/>
    <n v="11.39"/>
    <n v="141.5317"/>
    <n v="127.54"/>
    <n v="3.8764546470000001"/>
    <n v="12.827999999999999"/>
  </r>
  <r>
    <x v="1"/>
    <x v="1"/>
    <x v="299"/>
    <s v="02:41:AM"/>
    <n v="821039010"/>
    <s v="Female"/>
    <s v="Member"/>
    <s v="Cash"/>
    <x v="5"/>
    <n v="2.1"/>
    <n v="24"/>
    <n v="3"/>
    <n v="70.14"/>
    <n v="104.7274"/>
    <n v="241.44"/>
    <n v="3.8764546470000001"/>
    <n v="41.220999999999997"/>
  </r>
  <r>
    <x v="2"/>
    <x v="2"/>
    <x v="300"/>
    <s v="06:05:PM"/>
    <n v="131591704"/>
    <s v="Female"/>
    <s v="Normal"/>
    <s v="Cash"/>
    <x v="5"/>
    <n v="7.5"/>
    <n v="50.7"/>
    <n v="10"/>
    <n v="80.56"/>
    <n v="105.8498"/>
    <n v="379.5"/>
    <n v="3.8764546470000001"/>
    <n v="34.459000000000003"/>
  </r>
  <r>
    <x v="0"/>
    <x v="0"/>
    <x v="200"/>
    <s v="09:00:PM"/>
    <n v="109203031"/>
    <s v="Male"/>
    <s v="Member"/>
    <s v="Ewallet"/>
    <x v="1"/>
    <n v="5.3"/>
    <n v="47.46"/>
    <n v="1"/>
    <n v="59.8"/>
    <n v="166.16489999999999"/>
    <n v="76.819999999999993"/>
    <n v="3.8764546470000001"/>
    <n v="68.763999999999996"/>
  </r>
  <r>
    <x v="0"/>
    <x v="0"/>
    <x v="301"/>
    <s v="02:48:AM"/>
    <n v="525724287"/>
    <s v="Female"/>
    <s v="Member"/>
    <s v="Credit card"/>
    <x v="3"/>
    <n v="3.7"/>
    <n v="68.42"/>
    <n v="10"/>
    <n v="32.93"/>
    <n v="130.82159999999999"/>
    <n v="522.6"/>
    <n v="3.8764546470000001"/>
    <n v="78.45"/>
  </r>
  <r>
    <x v="0"/>
    <x v="0"/>
    <x v="302"/>
    <s v="09:41:AM"/>
    <n v="111159080"/>
    <s v="Female"/>
    <s v="Normal"/>
    <s v="Ewallet"/>
    <x v="0"/>
    <n v="8.4"/>
    <n v="78.81"/>
    <n v="1"/>
    <n v="82.3"/>
    <n v="114.4665"/>
    <n v="79.739999999999995"/>
    <n v="3.8764546470000001"/>
    <n v="93.662999999999997"/>
  </r>
  <r>
    <x v="0"/>
    <x v="0"/>
    <x v="303"/>
    <s v="02:55:AM"/>
    <n v="583754392"/>
    <s v="Female"/>
    <s v="Normal"/>
    <s v="Ewallet"/>
    <x v="0"/>
    <n v="7.5"/>
    <n v="50.1"/>
    <n v="5"/>
    <n v="80.05"/>
    <n v="158.56190000000001"/>
    <n v="387.5"/>
    <n v="3.8764546470000001"/>
    <n v="85.972999999999999"/>
  </r>
  <r>
    <x v="0"/>
    <x v="0"/>
    <x v="304"/>
    <s v="03:45:PM"/>
    <n v="736474334"/>
    <s v="Female"/>
    <s v="Normal"/>
    <s v="Ewallet"/>
    <x v="4"/>
    <n v="1.6"/>
    <n v="19.34"/>
    <n v="5"/>
    <n v="32.49"/>
    <n v="157.75569999999999"/>
    <n v="271.35000000000002"/>
    <n v="3.8764546470000001"/>
    <n v="84.808000000000007"/>
  </r>
  <r>
    <x v="2"/>
    <x v="2"/>
    <x v="44"/>
    <s v="10:31:PM"/>
    <n v="462024125"/>
    <s v="Male"/>
    <s v="Normal"/>
    <s v="Cash"/>
    <x v="2"/>
    <n v="6.1"/>
    <n v="22.36"/>
    <n v="9"/>
    <n v="67.77"/>
    <n v="124.4508"/>
    <n v="122.31"/>
    <n v="3.8764546470000001"/>
    <n v="54.064999999999998"/>
  </r>
  <r>
    <x v="2"/>
    <x v="2"/>
    <x v="261"/>
    <s v="05:22:AM"/>
    <n v="485022040"/>
    <s v="Female"/>
    <s v="Member"/>
    <s v="Credit card"/>
    <x v="0"/>
    <n v="5"/>
    <n v="84.33"/>
    <n v="6"/>
    <n v="89.72"/>
    <n v="106.622"/>
    <n v="246.36"/>
    <n v="3.8764546470000001"/>
    <n v="15.287000000000001"/>
  </r>
  <r>
    <x v="2"/>
    <x v="2"/>
    <x v="305"/>
    <s v="06:32:AM"/>
    <n v="935539671"/>
    <s v="Male"/>
    <s v="Member"/>
    <s v="Cash"/>
    <x v="1"/>
    <n v="9.5"/>
    <n v="71.97"/>
    <n v="9"/>
    <n v="47.76"/>
    <n v="107.5448"/>
    <n v="173.16"/>
    <n v="3.8764546470000001"/>
    <n v="64.447999999999993"/>
  </r>
  <r>
    <x v="1"/>
    <x v="1"/>
    <x v="198"/>
    <s v="11:20:PM"/>
    <n v="410360583"/>
    <s v="Female"/>
    <s v="Normal"/>
    <s v="Credit card"/>
    <x v="4"/>
    <n v="7.9"/>
    <n v="32.36"/>
    <n v="6"/>
    <n v="36.92"/>
    <n v="176.58519999999999"/>
    <n v="236.58"/>
    <n v="3.8764546470000001"/>
    <n v="70.14"/>
  </r>
  <r>
    <x v="1"/>
    <x v="1"/>
    <x v="306"/>
    <s v="01:25:PM"/>
    <n v="484752363"/>
    <s v="Male"/>
    <s v="Normal"/>
    <s v="Credit card"/>
    <x v="2"/>
    <n v="2.1"/>
    <n v="87.23"/>
    <n v="4"/>
    <n v="96.43"/>
    <n v="147.49080000000001"/>
    <n v="184.88"/>
    <n v="3.8764546470000001"/>
    <n v="84.5"/>
  </r>
  <r>
    <x v="1"/>
    <x v="1"/>
    <x v="236"/>
    <s v="03:37:AM"/>
    <n v="682175926"/>
    <s v="Male"/>
    <s v="Member"/>
    <s v="Ewallet"/>
    <x v="2"/>
    <n v="6"/>
    <n v="82.02"/>
    <n v="1"/>
    <n v="59.81"/>
    <n v="119.8995"/>
    <n v="13.98"/>
    <n v="3.8764546470000001"/>
    <n v="83.26"/>
  </r>
  <r>
    <x v="2"/>
    <x v="2"/>
    <x v="307"/>
    <s v="01:52:AM"/>
    <n v="809400548"/>
    <s v="Female"/>
    <s v="Normal"/>
    <s v="Ewallet"/>
    <x v="5"/>
    <n v="3"/>
    <n v="22.73"/>
    <n v="5"/>
    <n v="37.1"/>
    <n v="136.1893"/>
    <n v="198.75"/>
    <n v="3.8764546470000001"/>
    <n v="93.16"/>
  </r>
  <r>
    <x v="1"/>
    <x v="1"/>
    <x v="308"/>
    <s v="07:14:AM"/>
    <n v="248406647"/>
    <s v="Female"/>
    <s v="Member"/>
    <s v="Ewallet"/>
    <x v="5"/>
    <n v="6"/>
    <n v="33.22"/>
    <n v="7"/>
    <n v="37.71"/>
    <n v="103.9474"/>
    <n v="684.53"/>
    <n v="3.8764546470000001"/>
    <n v="40.97"/>
  </r>
  <r>
    <x v="0"/>
    <x v="0"/>
    <x v="57"/>
    <s v="05:37:PM"/>
    <n v="34113513"/>
    <s v="Male"/>
    <s v="Member"/>
    <s v="Credit card"/>
    <x v="3"/>
    <n v="8"/>
    <n v="31.88"/>
    <n v="4"/>
    <n v="16.100000000000001"/>
    <n v="158.84979999999999"/>
    <n v="269.04000000000002"/>
    <n v="3.8764546470000001"/>
    <n v="60.65"/>
  </r>
  <r>
    <x v="0"/>
    <x v="0"/>
    <x v="309"/>
    <s v="08:10:AM"/>
    <n v="845176818"/>
    <s v="Male"/>
    <s v="Normal"/>
    <s v="Credit card"/>
    <x v="4"/>
    <n v="4"/>
    <n v="56.7"/>
    <n v="5"/>
    <n v="34.61"/>
    <n v="128.1551"/>
    <n v="68.95"/>
    <n v="3.8764546470000001"/>
    <n v="16.199000000000002"/>
  </r>
  <r>
    <x v="2"/>
    <x v="2"/>
    <x v="310"/>
    <s v="06:18:AM"/>
    <n v="380715548"/>
    <s v="Female"/>
    <s v="Member"/>
    <s v="Cash"/>
    <x v="5"/>
    <n v="4"/>
    <n v="59.6"/>
    <n v="4"/>
    <n v="64.53"/>
    <n v="130.66200000000001"/>
    <n v="274.83999999999997"/>
    <n v="3.8764546470000001"/>
    <n v="32.203000000000003"/>
  </r>
  <r>
    <x v="0"/>
    <x v="0"/>
    <x v="311"/>
    <s v="04:33:AM"/>
    <n v="665351125"/>
    <s v="Female"/>
    <s v="Normal"/>
    <s v="Ewallet"/>
    <x v="2"/>
    <n v="9"/>
    <n v="84.86"/>
    <n v="4"/>
    <n v="78.11"/>
    <n v="117.27370000000001"/>
    <n v="226.12"/>
    <n v="3.8764546470000001"/>
    <n v="86.382000000000005"/>
  </r>
  <r>
    <x v="1"/>
    <x v="1"/>
    <x v="312"/>
    <s v="10:38:PM"/>
    <n v="274879650"/>
    <s v="Female"/>
    <s v="Normal"/>
    <s v="Ewallet"/>
    <x v="5"/>
    <n v="3"/>
    <n v="31.03"/>
    <n v="5"/>
    <n v="15.2"/>
    <n v="175.0479"/>
    <n v="119.1"/>
    <n v="3.8764546470000001"/>
    <n v="24.32"/>
  </r>
  <r>
    <x v="2"/>
    <x v="2"/>
    <x v="313"/>
    <s v="06:39:AM"/>
    <n v="149722281"/>
    <s v="Female"/>
    <s v="Normal"/>
    <s v="Cash"/>
    <x v="0"/>
    <n v="3"/>
    <n v="74.84"/>
    <n v="10"/>
    <n v="99.81"/>
    <n v="132.2954"/>
    <n v="342.1"/>
    <n v="3.8764546470000001"/>
    <n v="82"/>
  </r>
  <r>
    <x v="2"/>
    <x v="2"/>
    <x v="185"/>
    <s v="08:17:AM"/>
    <n v="244562400"/>
    <s v="Male"/>
    <s v="Normal"/>
    <s v="Ewallet"/>
    <x v="3"/>
    <n v="8"/>
    <n v="51.86"/>
    <n v="2"/>
    <n v="26.97"/>
    <n v="151.57810000000001"/>
    <n v="43.74"/>
    <n v="3.8764546470000001"/>
    <n v="36.520000000000003"/>
  </r>
  <r>
    <x v="0"/>
    <x v="0"/>
    <x v="314"/>
    <s v="05:09:PM"/>
    <n v="735477456"/>
    <s v="Male"/>
    <s v="Member"/>
    <s v="Cash"/>
    <x v="0"/>
    <n v="5"/>
    <n v="11.16"/>
    <n v="5"/>
    <n v="60.54"/>
    <n v="137.37110000000001"/>
    <n v="104.85"/>
    <n v="3.8764546470000001"/>
    <n v="80.010000000000005"/>
  </r>
  <r>
    <x v="0"/>
    <x v="0"/>
    <x v="315"/>
    <s v="12:14:AM"/>
    <n v="165832583"/>
    <s v="Male"/>
    <s v="Normal"/>
    <s v="Ewallet"/>
    <x v="3"/>
    <n v="6.9"/>
    <n v="28.55"/>
    <n v="3"/>
    <n v="92.63"/>
    <n v="182.77600000000001"/>
    <n v="77.52"/>
    <n v="3.8764546470000001"/>
    <n v="92.3"/>
  </r>
  <r>
    <x v="0"/>
    <x v="0"/>
    <x v="316"/>
    <s v="10:44:AM"/>
    <n v="989397443"/>
    <s v="Male"/>
    <s v="Normal"/>
    <s v="Ewallet"/>
    <x v="2"/>
    <n v="8.1"/>
    <n v="83.61"/>
    <n v="8"/>
    <n v="37.78"/>
    <n v="113.0528"/>
    <n v="407.44"/>
    <n v="3.8764546470000001"/>
    <n v="23.446999999999999"/>
  </r>
  <r>
    <x v="2"/>
    <x v="2"/>
    <x v="162"/>
    <s v="07:01:PM"/>
    <n v="427710890"/>
    <s v="Male"/>
    <s v="Normal"/>
    <s v="Ewallet"/>
    <x v="0"/>
    <n v="8.1999999999999993"/>
    <n v="44.68"/>
    <n v="1"/>
    <n v="71.72"/>
    <n v="185.57900000000001"/>
    <n v="96.11"/>
    <n v="3.8764546470000001"/>
    <n v="48.594999999999999"/>
  </r>
  <r>
    <x v="1"/>
    <x v="1"/>
    <x v="61"/>
    <s v="09:56:PM"/>
    <n v="439704872"/>
    <s v="Female"/>
    <s v="Normal"/>
    <s v="Credit card"/>
    <x v="2"/>
    <n v="9"/>
    <n v="65.97"/>
    <n v="4"/>
    <n v="27.86"/>
    <n v="110.4821"/>
    <n v="181.52"/>
    <n v="3.8764546470000001"/>
    <n v="58.843000000000004"/>
  </r>
  <r>
    <x v="1"/>
    <x v="1"/>
    <x v="76"/>
    <s v="04:06:PM"/>
    <n v="603406701"/>
    <s v="Female"/>
    <s v="Member"/>
    <s v="Ewallet"/>
    <x v="0"/>
    <n v="4.3"/>
    <n v="62.77"/>
    <n v="1"/>
    <n v="73.25"/>
    <n v="160.2603"/>
    <n v="81.510000000000005"/>
    <n v="3.8764546470000001"/>
    <n v="77.209999999999994"/>
  </r>
  <r>
    <x v="2"/>
    <x v="2"/>
    <x v="317"/>
    <s v="02:06:AM"/>
    <n v="566386160"/>
    <s v="Female"/>
    <s v="Normal"/>
    <s v="Ewallet"/>
    <x v="0"/>
    <n v="5"/>
    <n v="38.22"/>
    <n v="2"/>
    <n v="97.87"/>
    <n v="143.40360000000001"/>
    <n v="114.44"/>
    <n v="3.8764546470000001"/>
    <n v="55.14"/>
  </r>
  <r>
    <x v="0"/>
    <x v="0"/>
    <x v="318"/>
    <s v="02:35:PM"/>
    <n v="941808541"/>
    <s v="Female"/>
    <s v="Member"/>
    <s v="Cash"/>
    <x v="1"/>
    <n v="8.6"/>
    <n v="78.790000000000006"/>
    <n v="7"/>
    <n v="84.8"/>
    <n v="112.57559999999999"/>
    <n v="176.54"/>
    <n v="3.8764546470000001"/>
    <n v="68.64"/>
  </r>
  <r>
    <x v="1"/>
    <x v="1"/>
    <x v="319"/>
    <s v="02:06:AM"/>
    <n v="909039163"/>
    <s v="Female"/>
    <s v="Member"/>
    <s v="Ewallet"/>
    <x v="4"/>
    <n v="1.8"/>
    <n v="33.68"/>
    <n v="3"/>
    <n v="27.91"/>
    <n v="100.4483"/>
    <n v="115.8"/>
    <n v="3.8764546470000001"/>
    <n v="42.113999999999997"/>
  </r>
  <r>
    <x v="1"/>
    <x v="1"/>
    <x v="302"/>
    <s v="11:54:AM"/>
    <n v="807422502"/>
    <s v="Female"/>
    <s v="Normal"/>
    <s v="Cash"/>
    <x v="1"/>
    <n v="6.8"/>
    <n v="45.35"/>
    <n v="3"/>
    <n v="57.48"/>
    <n v="160.72110000000001"/>
    <n v="252.15"/>
    <n v="3.8764546470000001"/>
    <n v="33.195999999999998"/>
  </r>
  <r>
    <x v="1"/>
    <x v="1"/>
    <x v="301"/>
    <s v="10:09:AM"/>
    <n v="363489419"/>
    <s v="Female"/>
    <s v="Member"/>
    <s v="Credit card"/>
    <x v="5"/>
    <n v="7.3"/>
    <n v="20.48"/>
    <n v="10"/>
    <n v="59.67"/>
    <n v="152.3871"/>
    <n v="972.1"/>
    <n v="3.8764546470000001"/>
    <n v="19.526"/>
  </r>
  <r>
    <x v="2"/>
    <x v="2"/>
    <x v="320"/>
    <s v="08:03:AM"/>
    <n v="512086531"/>
    <s v="Male"/>
    <s v="Member"/>
    <s v="Credit card"/>
    <x v="5"/>
    <n v="7"/>
    <n v="51.62"/>
    <n v="8"/>
    <n v="47.63"/>
    <n v="142.8124"/>
    <n v="203.36"/>
    <n v="3.8764546470000001"/>
    <n v="24.943999999999999"/>
  </r>
  <r>
    <x v="1"/>
    <x v="1"/>
    <x v="321"/>
    <s v="03:17:PM"/>
    <n v="387073177"/>
    <s v="Male"/>
    <s v="Normal"/>
    <s v="Cash"/>
    <x v="5"/>
    <n v="1.5"/>
    <n v="31.82"/>
    <n v="1"/>
    <n v="82.3"/>
    <n v="167.20679999999999"/>
    <n v="16.28"/>
    <n v="3.8764546470000001"/>
    <n v="19.701000000000001"/>
  </r>
  <r>
    <x v="2"/>
    <x v="2"/>
    <x v="130"/>
    <s v="07:43:PM"/>
    <n v="376947000"/>
    <s v="Male"/>
    <s v="Member"/>
    <s v="Cash"/>
    <x v="5"/>
    <n v="4.4000000000000004"/>
    <n v="93.16"/>
    <n v="9"/>
    <n v="40.04"/>
    <n v="167.0883"/>
    <n v="365.49"/>
    <n v="3.8764546470000001"/>
    <n v="89.894000000000005"/>
  </r>
  <r>
    <x v="0"/>
    <x v="0"/>
    <x v="99"/>
    <s v="05:15:AM"/>
    <n v="615011875"/>
    <s v="Male"/>
    <s v="Member"/>
    <s v="Cash"/>
    <x v="0"/>
    <n v="9"/>
    <n v="20.27"/>
    <n v="7"/>
    <n v="36.090000000000003"/>
    <n v="167.42"/>
    <n v="372.19"/>
    <n v="3.8764546470000001"/>
    <n v="77.748999999999995"/>
  </r>
  <r>
    <x v="2"/>
    <x v="2"/>
    <x v="160"/>
    <s v="11:54:AM"/>
    <n v="791534190"/>
    <s v="Female"/>
    <s v="Member"/>
    <s v="Credit card"/>
    <x v="4"/>
    <n v="9.4"/>
    <n v="65.739999999999995"/>
    <n v="3"/>
    <n v="91.3"/>
    <n v="141.3843"/>
    <n v="62.61"/>
    <n v="3.8764546470000001"/>
    <n v="87.965000000000003"/>
  </r>
  <r>
    <x v="2"/>
    <x v="2"/>
    <x v="322"/>
    <s v="12:21:AM"/>
    <n v="334439953"/>
    <s v="Male"/>
    <s v="Normal"/>
    <s v="Cash"/>
    <x v="3"/>
    <n v="6"/>
    <n v="94.92"/>
    <n v="5"/>
    <n v="74.81"/>
    <n v="155.33869999999999"/>
    <n v="336.35"/>
    <n v="3.8764546470000001"/>
    <n v="29.571000000000002"/>
  </r>
  <r>
    <x v="0"/>
    <x v="0"/>
    <x v="323"/>
    <s v="01:18:PM"/>
    <n v="247233066"/>
    <s v="Female"/>
    <s v="Member"/>
    <s v="Ewallet"/>
    <x v="2"/>
    <n v="8.6999999999999993"/>
    <n v="87.4"/>
    <n v="10"/>
    <n v="53.17"/>
    <n v="111.6831"/>
    <n v="906.5"/>
    <n v="3.8764546470000001"/>
    <n v="55.21"/>
  </r>
  <r>
    <x v="2"/>
    <x v="2"/>
    <x v="324"/>
    <s v="09:49:PM"/>
    <n v="132980207"/>
    <s v="Male"/>
    <s v="Normal"/>
    <s v="Credit card"/>
    <x v="5"/>
    <n v="8.6"/>
    <n v="70.47"/>
    <n v="2"/>
    <n v="20.18"/>
    <n v="131.7766"/>
    <n v="138.16"/>
    <n v="3.8764546470000001"/>
    <n v="46.85"/>
  </r>
  <r>
    <x v="1"/>
    <x v="1"/>
    <x v="242"/>
    <s v="08:11:PM"/>
    <n v="165244857"/>
    <s v="Male"/>
    <s v="Normal"/>
    <s v="Ewallet"/>
    <x v="4"/>
    <n v="2.1"/>
    <n v="82.9"/>
    <n v="2"/>
    <n v="63.57"/>
    <n v="187.45939999999999"/>
    <n v="86.54"/>
    <n v="3.8764546470000001"/>
    <n v="15.18"/>
  </r>
  <r>
    <x v="0"/>
    <x v="0"/>
    <x v="325"/>
    <s v="10:31:PM"/>
    <n v="315175011"/>
    <s v="Female"/>
    <s v="Normal"/>
    <s v="Ewallet"/>
    <x v="1"/>
    <n v="2.9"/>
    <n v="46.95"/>
    <n v="6"/>
    <n v="90.83"/>
    <n v="167.1301"/>
    <n v="140.76"/>
    <n v="3.8764546470000001"/>
    <n v="79.3"/>
  </r>
  <r>
    <x v="2"/>
    <x v="2"/>
    <x v="279"/>
    <s v="02:34:AM"/>
    <n v="419843206"/>
    <s v="Male"/>
    <s v="Normal"/>
    <s v="Credit card"/>
    <x v="5"/>
    <n v="6.3"/>
    <n v="86.4"/>
    <n v="7"/>
    <n v="48.9"/>
    <n v="132.69220000000001"/>
    <n v="668.78"/>
    <n v="3.8764546470000001"/>
    <n v="10.87"/>
  </r>
  <r>
    <x v="2"/>
    <x v="2"/>
    <x v="326"/>
    <s v="11:34:PM"/>
    <n v="608051520"/>
    <s v="Female"/>
    <s v="Normal"/>
    <s v="Credit card"/>
    <x v="5"/>
    <n v="7.3"/>
    <n v="90.07"/>
    <n v="1"/>
    <n v="94.26"/>
    <n v="173.45820000000001"/>
    <n v="47.44"/>
    <n v="3.8764546470000001"/>
    <n v="61.87"/>
  </r>
  <r>
    <x v="1"/>
    <x v="1"/>
    <x v="287"/>
    <s v="02:27:AM"/>
    <n v="870073293"/>
    <s v="Male"/>
    <s v="Normal"/>
    <s v="Ewallet"/>
    <x v="3"/>
    <n v="8"/>
    <n v="63.77"/>
    <n v="9"/>
    <n v="37.65"/>
    <n v="180.38650000000001"/>
    <n v="893.16"/>
    <n v="3.8764546470000001"/>
    <n v="98.61"/>
  </r>
  <r>
    <x v="1"/>
    <x v="1"/>
    <x v="327"/>
    <s v="12:50:PM"/>
    <n v="69117390"/>
    <s v="Male"/>
    <s v="Member"/>
    <s v="Ewallet"/>
    <x v="3"/>
    <n v="7.7"/>
    <n v="88.79"/>
    <n v="4"/>
    <n v="98.16"/>
    <n v="185.48599999999999"/>
    <n v="331.72"/>
    <n v="3.8764546470000001"/>
    <n v="18.786000000000001"/>
  </r>
  <r>
    <x v="0"/>
    <x v="0"/>
    <x v="216"/>
    <s v="12:49:AM"/>
    <n v="461147990"/>
    <s v="Male"/>
    <s v="Normal"/>
    <s v="Credit card"/>
    <x v="2"/>
    <n v="6.6"/>
    <n v="47.01"/>
    <n v="6"/>
    <n v="80.28"/>
    <n v="118.6545"/>
    <n v="203.94"/>
    <n v="3.8764546470000001"/>
    <n v="58.048999999999999"/>
  </r>
  <r>
    <x v="1"/>
    <x v="1"/>
    <x v="328"/>
    <s v="04:26:AM"/>
    <n v="873770411"/>
    <s v="Male"/>
    <s v="Member"/>
    <s v="Ewallet"/>
    <x v="4"/>
    <n v="8.5"/>
    <n v="18.079999999999998"/>
    <n v="4"/>
    <n v="96.05"/>
    <n v="160.43260000000001"/>
    <n v="68.16"/>
    <n v="3.8764546470000001"/>
    <n v="25.69"/>
  </r>
  <r>
    <x v="1"/>
    <x v="1"/>
    <x v="329"/>
    <s v="04:19:AM"/>
    <n v="489103577"/>
    <s v="Female"/>
    <s v="Normal"/>
    <s v="Credit card"/>
    <x v="1"/>
    <n v="4"/>
    <n v="28.67"/>
    <n v="8"/>
    <n v="13.71"/>
    <n v="183.29179999999999"/>
    <n v="326.88"/>
    <n v="3.8764546470000001"/>
    <n v="64.599999999999994"/>
  </r>
  <r>
    <x v="1"/>
    <x v="1"/>
    <x v="180"/>
    <s v="12:21:AM"/>
    <n v="154603744"/>
    <s v="Male"/>
    <s v="Member"/>
    <s v="Cash"/>
    <x v="4"/>
    <n v="4"/>
    <n v="35.479999999999997"/>
    <n v="5"/>
    <n v="94.44"/>
    <n v="147.7527"/>
    <n v="87.2"/>
    <n v="3.8764546470000001"/>
    <n v="74.61"/>
  </r>
  <r>
    <x v="2"/>
    <x v="2"/>
    <x v="22"/>
    <s v="01:53:PM"/>
    <n v="342939266"/>
    <s v="Female"/>
    <s v="Member"/>
    <s v="Credit card"/>
    <x v="3"/>
    <n v="3"/>
    <n v="32.42"/>
    <n v="8"/>
    <n v="51.56"/>
    <n v="123.3981"/>
    <n v="707.44"/>
    <n v="3.8764546470000001"/>
    <n v="60.05"/>
  </r>
  <r>
    <x v="0"/>
    <x v="0"/>
    <x v="330"/>
    <s v="05:16:PM"/>
    <n v="828809754"/>
    <s v="Female"/>
    <s v="Member"/>
    <s v="Credit card"/>
    <x v="2"/>
    <n v="2"/>
    <n v="58.36"/>
    <n v="9"/>
    <n v="49.02"/>
    <n v="180.0076"/>
    <n v="802.89"/>
    <n v="3.8764546470000001"/>
    <n v="25.63"/>
  </r>
  <r>
    <x v="1"/>
    <x v="1"/>
    <x v="331"/>
    <s v="04:33:AM"/>
    <n v="321863951"/>
    <s v="Male"/>
    <s v="Normal"/>
    <s v="Ewallet"/>
    <x v="5"/>
    <n v="2"/>
    <n v="66.75"/>
    <n v="1"/>
    <n v="95.09"/>
    <n v="189.0069"/>
    <n v="12.78"/>
    <n v="3.8764546470000001"/>
    <n v="44.77"/>
  </r>
  <r>
    <x v="0"/>
    <x v="0"/>
    <x v="7"/>
    <s v="04:48:PM"/>
    <n v="96281186"/>
    <s v="Female"/>
    <s v="Normal"/>
    <s v="Cash"/>
    <x v="3"/>
    <n v="6"/>
    <n v="15.43"/>
    <n v="7"/>
    <n v="30.98"/>
    <n v="178.916"/>
    <n v="133.69999999999999"/>
    <n v="3.8764546470000001"/>
    <n v="32.048999999999999"/>
  </r>
  <r>
    <x v="2"/>
    <x v="2"/>
    <x v="157"/>
    <s v="11:47:AM"/>
    <n v="541394333"/>
    <s v="Female"/>
    <s v="Member"/>
    <s v="Credit card"/>
    <x v="0"/>
    <n v="9"/>
    <n v="90.42"/>
    <n v="1"/>
    <n v="28.71"/>
    <n v="167.7064"/>
    <n v="19.149999999999999"/>
    <n v="3.8764546470000001"/>
    <n v="14.625999999999999"/>
  </r>
  <r>
    <x v="1"/>
    <x v="1"/>
    <x v="332"/>
    <s v="06:33:PM"/>
    <n v="798559836"/>
    <s v="Male"/>
    <s v="Member"/>
    <s v="Credit card"/>
    <x v="4"/>
    <n v="9"/>
    <n v="40.81"/>
    <n v="10"/>
    <n v="63.24"/>
    <n v="185.88980000000001"/>
    <n v="276.60000000000002"/>
    <n v="3.8764546470000001"/>
    <n v="14.444000000000001"/>
  </r>
  <r>
    <x v="1"/>
    <x v="1"/>
    <x v="73"/>
    <s v="06:53:AM"/>
    <n v="929475178"/>
    <s v="Male"/>
    <s v="Normal"/>
    <s v="Credit card"/>
    <x v="5"/>
    <n v="8"/>
    <n v="95.46"/>
    <n v="3"/>
    <n v="27.26"/>
    <n v="183.94820000000001"/>
    <n v="137.22"/>
    <n v="3.8764546470000001"/>
    <n v="40.718000000000004"/>
  </r>
  <r>
    <x v="2"/>
    <x v="2"/>
    <x v="85"/>
    <s v="06:53:AM"/>
    <n v="54980939"/>
    <s v="Female"/>
    <s v="Member"/>
    <s v="Credit card"/>
    <x v="0"/>
    <n v="10"/>
    <n v="98.13"/>
    <n v="1"/>
    <n v="53.9"/>
    <n v="141.0522"/>
    <n v="27.07"/>
    <n v="3.8764546470000001"/>
    <n v="82.43"/>
  </r>
  <r>
    <x v="2"/>
    <x v="2"/>
    <x v="71"/>
    <s v="07:21:AM"/>
    <n v="292831112"/>
    <s v="Female"/>
    <s v="Member"/>
    <s v="Credit card"/>
    <x v="3"/>
    <n v="6"/>
    <n v="55.95"/>
    <n v="1"/>
    <n v="40.020000000000003"/>
    <n v="130.87690000000001"/>
    <n v="39.119999999999997"/>
    <n v="3.8764546470000001"/>
    <n v="68.2"/>
  </r>
  <r>
    <x v="2"/>
    <x v="2"/>
    <x v="17"/>
    <s v="07:42:AM"/>
    <n v="526983452"/>
    <s v="Female"/>
    <s v="Normal"/>
    <s v="Cash"/>
    <x v="1"/>
    <n v="3"/>
    <n v="96.5"/>
    <n v="6"/>
    <n v="61.65"/>
    <n v="124.09699999999999"/>
    <n v="448.26"/>
    <n v="3.8764546470000001"/>
    <n v="80.12"/>
  </r>
  <r>
    <x v="2"/>
    <x v="2"/>
    <x v="270"/>
    <s v="12:35:AM"/>
    <n v="434063896"/>
    <s v="Male"/>
    <s v="Normal"/>
    <s v="Cash"/>
    <x v="1"/>
    <n v="6.4"/>
    <n v="92.05"/>
    <n v="6"/>
    <n v="28.96"/>
    <n v="137.3348"/>
    <n v="132.06"/>
    <n v="3.8764546470000001"/>
    <n v="93.02"/>
  </r>
  <r>
    <x v="0"/>
    <x v="0"/>
    <x v="333"/>
    <s v="12:28:AM"/>
    <n v="150160505"/>
    <s v="Female"/>
    <s v="Normal"/>
    <s v="Ewallet"/>
    <x v="4"/>
    <n v="9.6"/>
    <n v="40.17"/>
    <n v="5"/>
    <n v="43.6"/>
    <n v="101.23439999999999"/>
    <n v="318.05"/>
    <n v="3.8764546470000001"/>
    <n v="36.72"/>
  </r>
  <r>
    <x v="0"/>
    <x v="0"/>
    <x v="53"/>
    <s v="03:52:PM"/>
    <n v="109753485"/>
    <s v="Male"/>
    <s v="Normal"/>
    <s v="Ewallet"/>
    <x v="0"/>
    <n v="8"/>
    <n v="23.25"/>
    <n v="1"/>
    <n v="88"/>
    <n v="104.58750000000001"/>
    <n v="25"/>
    <n v="3.8764546470000001"/>
    <n v="48.47"/>
  </r>
  <r>
    <x v="0"/>
    <x v="0"/>
    <x v="97"/>
    <s v="03:58:AM"/>
    <n v="872309797"/>
    <s v="Male"/>
    <s v="Member"/>
    <s v="Cash"/>
    <x v="1"/>
    <n v="3.6"/>
    <n v="25.89"/>
    <n v="4"/>
    <n v="24.71"/>
    <n v="101.794"/>
    <n v="83.08"/>
    <n v="3.8764546470000001"/>
    <n v="83.82"/>
  </r>
  <r>
    <x v="2"/>
    <x v="2"/>
    <x v="334"/>
    <s v="03:10:PM"/>
    <n v="694489203"/>
    <s v="Female"/>
    <s v="Member"/>
    <s v="Cash"/>
    <x v="5"/>
    <n v="8.1999999999999993"/>
    <n v="85.18"/>
    <n v="5"/>
    <n v="51.11"/>
    <n v="154.8843"/>
    <n v="147.80000000000001"/>
    <n v="3.8764546470000001"/>
    <n v="17.135000000000002"/>
  </r>
  <r>
    <x v="2"/>
    <x v="2"/>
    <x v="335"/>
    <s v="10:17:PM"/>
    <n v="321643042"/>
    <s v="Female"/>
    <s v="Member"/>
    <s v="Credit card"/>
    <x v="4"/>
    <n v="1.1000000000000001"/>
    <n v="34.979999999999997"/>
    <n v="9"/>
    <n v="98.47"/>
    <n v="116.10380000000001"/>
    <n v="696.6"/>
    <n v="3.8764546470000001"/>
    <n v="11.013"/>
  </r>
  <r>
    <x v="2"/>
    <x v="2"/>
    <x v="336"/>
    <s v="02:35:PM"/>
    <n v="237357438"/>
    <s v="Male"/>
    <s v="Normal"/>
    <s v="Cash"/>
    <x v="1"/>
    <n v="9.1"/>
    <n v="57.63"/>
    <n v="10"/>
    <n v="33.89"/>
    <n v="130.73820000000001"/>
    <n v="793.9"/>
    <n v="3.8764546470000001"/>
    <n v="52.869"/>
  </r>
  <r>
    <x v="1"/>
    <x v="1"/>
    <x v="142"/>
    <s v="06:11:AM"/>
    <n v="134583276"/>
    <s v="Female"/>
    <s v="Member"/>
    <s v="Cash"/>
    <x v="1"/>
    <n v="2.6"/>
    <n v="18.36"/>
    <n v="10"/>
    <n v="66.5"/>
    <n v="128.85550000000001"/>
    <n v="465.7"/>
    <n v="3.8764546470000001"/>
    <n v="13.249000000000001"/>
  </r>
  <r>
    <x v="1"/>
    <x v="1"/>
    <x v="337"/>
    <s v="07:14:AM"/>
    <n v="845534150"/>
    <s v="Male"/>
    <s v="Normal"/>
    <s v="Credit card"/>
    <x v="4"/>
    <n v="5.8"/>
    <n v="90.37"/>
    <n v="1"/>
    <n v="10.73"/>
    <n v="174.43950000000001"/>
    <n v="35.89"/>
    <n v="3.8764546470000001"/>
    <n v="76.784999999999997"/>
  </r>
  <r>
    <x v="1"/>
    <x v="1"/>
    <x v="338"/>
    <s v="08:39:PM"/>
    <n v="359899261"/>
    <s v="Male"/>
    <s v="Normal"/>
    <s v="Cash"/>
    <x v="4"/>
    <n v="9"/>
    <n v="67.67"/>
    <n v="5"/>
    <n v="93.65"/>
    <n v="118.8918"/>
    <n v="202.6"/>
    <n v="3.8764546470000001"/>
    <n v="67.655000000000001"/>
  </r>
  <r>
    <x v="2"/>
    <x v="2"/>
    <x v="178"/>
    <s v="04:13:PM"/>
    <n v="977930480"/>
    <s v="Female"/>
    <s v="Member"/>
    <s v="Credit card"/>
    <x v="4"/>
    <n v="3.7"/>
    <n v="39.369999999999997"/>
    <n v="10"/>
    <n v="51.75"/>
    <n v="178.78630000000001"/>
    <n v="730.5"/>
    <n v="3.8764546470000001"/>
    <n v="87.599000000000004"/>
  </r>
  <r>
    <x v="1"/>
    <x v="1"/>
    <x v="291"/>
    <s v="08:18:PM"/>
    <n v="124574366"/>
    <s v="Female"/>
    <s v="Normal"/>
    <s v="Cash"/>
    <x v="3"/>
    <n v="1.9"/>
    <n v="77.2"/>
    <n v="4"/>
    <n v="74.97"/>
    <n v="123.0795"/>
    <n v="295.8"/>
    <n v="3.8764546470000001"/>
    <n v="54.87"/>
  </r>
  <r>
    <x v="1"/>
    <x v="1"/>
    <x v="273"/>
    <s v="02:42:PM"/>
    <n v="459555012"/>
    <s v="Female"/>
    <s v="Member"/>
    <s v="Cash"/>
    <x v="4"/>
    <n v="4.4000000000000004"/>
    <n v="22.11"/>
    <n v="1"/>
    <n v="75.2"/>
    <n v="169.51329999999999"/>
    <n v="22.62"/>
    <n v="3.8764546470000001"/>
    <n v="89.16"/>
  </r>
  <r>
    <x v="0"/>
    <x v="0"/>
    <x v="339"/>
    <s v="06:19:PM"/>
    <n v="378200312"/>
    <s v="Male"/>
    <s v="Member"/>
    <s v="Credit card"/>
    <x v="4"/>
    <n v="6"/>
    <n v="96.98"/>
    <n v="5"/>
    <n v="58.5"/>
    <n v="125.3036"/>
    <n v="256.7"/>
    <n v="3.8764546470000001"/>
    <n v="40.72"/>
  </r>
  <r>
    <x v="1"/>
    <x v="1"/>
    <x v="295"/>
    <s v="09:35:PM"/>
    <n v="231648015"/>
    <s v="Female"/>
    <s v="Member"/>
    <s v="Credit card"/>
    <x v="3"/>
    <n v="4.8"/>
    <n v="56.46"/>
    <n v="10"/>
    <n v="96.46"/>
    <n v="125.1896"/>
    <n v="545.5"/>
    <n v="3.8764546470000001"/>
    <n v="20.54"/>
  </r>
  <r>
    <x v="1"/>
    <x v="1"/>
    <x v="340"/>
    <s v="10:31:PM"/>
    <n v="931868922"/>
    <s v="Female"/>
    <s v="Member"/>
    <s v="Credit card"/>
    <x v="0"/>
    <n v="5.0999999999999996"/>
    <n v="42.68"/>
    <n v="7"/>
    <n v="71.819999999999993"/>
    <n v="117.86920000000001"/>
    <n v="260.05"/>
    <n v="3.8764546470000001"/>
    <n v="10.28"/>
  </r>
  <r>
    <x v="2"/>
    <x v="2"/>
    <x v="341"/>
    <s v="06:53:AM"/>
    <n v="340910850"/>
    <s v="Male"/>
    <s v="Normal"/>
    <s v="Cash"/>
    <x v="3"/>
    <n v="1.3"/>
    <n v="54.85"/>
    <n v="6"/>
    <n v="29.59"/>
    <n v="110.7893"/>
    <n v="222.12"/>
    <n v="3.8764546470000001"/>
    <n v="11.06"/>
  </r>
  <r>
    <x v="1"/>
    <x v="1"/>
    <x v="7"/>
    <s v="12:29:PM"/>
    <n v="751409251"/>
    <s v="Male"/>
    <s v="Normal"/>
    <s v="Ewallet"/>
    <x v="4"/>
    <n v="8"/>
    <n v="58.16"/>
    <n v="1"/>
    <n v="49.37"/>
    <n v="167.8895"/>
    <n v="21.58"/>
    <n v="3.8764546470000001"/>
    <n v="88.82"/>
  </r>
  <r>
    <x v="1"/>
    <x v="1"/>
    <x v="342"/>
    <s v="01:53:PM"/>
    <n v="64087461"/>
    <s v="Female"/>
    <s v="Member"/>
    <s v="Cash"/>
    <x v="1"/>
    <n v="5"/>
    <n v="76.349999999999994"/>
    <n v="1"/>
    <n v="16.45"/>
    <n v="105.2086"/>
    <n v="98.84"/>
    <n v="3.8764546470000001"/>
    <n v="99.631"/>
  </r>
  <r>
    <x v="1"/>
    <x v="1"/>
    <x v="343"/>
    <s v="10:17:PM"/>
    <n v="854527163"/>
    <s v="Female"/>
    <s v="Member"/>
    <s v="Ewallet"/>
    <x v="2"/>
    <n v="10"/>
    <n v="82.58"/>
    <n v="6"/>
    <n v="66.05"/>
    <n v="121.0082"/>
    <n v="502.62"/>
    <n v="3.8764546470000001"/>
    <n v="29.178000000000001"/>
  </r>
  <r>
    <x v="0"/>
    <x v="0"/>
    <x v="96"/>
    <s v="06:39:AM"/>
    <n v="841845966"/>
    <s v="Female"/>
    <s v="Member"/>
    <s v="Cash"/>
    <x v="3"/>
    <n v="4"/>
    <n v="19.63"/>
    <n v="4"/>
    <n v="91.8"/>
    <n v="177.994"/>
    <n v="160.19999999999999"/>
    <n v="3.8764546470000001"/>
    <n v="46.652999999999999"/>
  </r>
  <r>
    <x v="0"/>
    <x v="0"/>
    <x v="344"/>
    <s v="01:24:AM"/>
    <n v="957987568"/>
    <s v="Male"/>
    <s v="Member"/>
    <s v="Credit card"/>
    <x v="5"/>
    <n v="4"/>
    <n v="19.03"/>
    <n v="10"/>
    <n v="75.58"/>
    <n v="181.61410000000001"/>
    <n v="431.3"/>
    <n v="3.8764546470000001"/>
    <n v="15.242000000000001"/>
  </r>
  <r>
    <x v="2"/>
    <x v="2"/>
    <x v="345"/>
    <s v="12:22:PM"/>
    <n v="803138475"/>
    <s v="Male"/>
    <s v="Member"/>
    <s v="Cash"/>
    <x v="0"/>
    <n v="2"/>
    <n v="64.010000000000005"/>
    <n v="8"/>
    <n v="37.5"/>
    <n v="127.553"/>
    <n v="580.55999999999995"/>
    <n v="3.8764546470000001"/>
    <n v="26.373999999999999"/>
  </r>
  <r>
    <x v="0"/>
    <x v="0"/>
    <x v="92"/>
    <s v="12:15:PM"/>
    <n v="176965594"/>
    <s v="Female"/>
    <s v="Member"/>
    <s v="Cash"/>
    <x v="1"/>
    <n v="9"/>
    <n v="10.46"/>
    <n v="5"/>
    <n v="75.42"/>
    <n v="180.9359"/>
    <n v="322.2"/>
    <n v="3.8764546470000001"/>
    <n v="16.466999999999999"/>
  </r>
  <r>
    <x v="0"/>
    <x v="0"/>
    <x v="346"/>
    <s v="12:08:PM"/>
    <n v="597787096"/>
    <s v="Male"/>
    <s v="Normal"/>
    <s v="Credit card"/>
    <x v="0"/>
    <n v="4"/>
    <n v="57.27"/>
    <n v="3"/>
    <n v="95.91"/>
    <n v="176.6035"/>
    <n v="195.54"/>
    <n v="3.8764546470000001"/>
    <n v="84.894000000000005"/>
  </r>
  <r>
    <x v="0"/>
    <x v="0"/>
    <x v="347"/>
    <s v="04:05:AM"/>
    <n v="806322748"/>
    <s v="Female"/>
    <s v="Normal"/>
    <s v="Credit card"/>
    <x v="3"/>
    <n v="5"/>
    <n v="37.619999999999997"/>
    <n v="5"/>
    <n v="60.27"/>
    <n v="126.1794"/>
    <n v="166.3"/>
    <n v="3.8764546470000001"/>
    <n v="49.783000000000001"/>
  </r>
  <r>
    <x v="1"/>
    <x v="1"/>
    <x v="348"/>
    <s v="08:32:PM"/>
    <n v="124781052"/>
    <s v="Male"/>
    <s v="Normal"/>
    <s v="Ewallet"/>
    <x v="1"/>
    <n v="8"/>
    <n v="62.866"/>
    <n v="4"/>
    <n v="52.82"/>
    <n v="163.38419999999999"/>
    <n v="336.28"/>
    <n v="3.8764546470000001"/>
    <n v="16.413"/>
  </r>
  <r>
    <x v="2"/>
    <x v="2"/>
    <x v="349"/>
    <s v="07:15:PM"/>
    <n v="553067224"/>
    <s v="Male"/>
    <s v="Normal"/>
    <s v="Ewallet"/>
    <x v="3"/>
    <n v="2"/>
    <n v="73.92"/>
    <n v="10"/>
    <n v="14.18"/>
    <n v="158.78059999999999"/>
    <n v="343.7"/>
    <n v="3.8764546470000001"/>
    <n v="43.188000000000002"/>
  </r>
  <r>
    <x v="0"/>
    <x v="0"/>
    <x v="350"/>
    <s v="07:28:AM"/>
    <n v="446267747"/>
    <s v="Male"/>
    <s v="Normal"/>
    <s v="Ewallet"/>
    <x v="1"/>
    <n v="5.2"/>
    <n v="88.74"/>
    <n v="1"/>
    <n v="42.76"/>
    <n v="171.03960000000001"/>
    <n v="38.6"/>
    <n v="3.8764546470000001"/>
    <n v="62.682000000000002"/>
  </r>
  <r>
    <x v="1"/>
    <x v="1"/>
    <x v="101"/>
    <s v="09:07:PM"/>
    <n v="84829622"/>
    <s v="Male"/>
    <s v="Normal"/>
    <s v="Cash"/>
    <x v="4"/>
    <n v="6"/>
    <n v="27.08"/>
    <n v="8"/>
    <n v="76.599999999999994"/>
    <n v="133.13980000000001"/>
    <n v="527.76"/>
    <n v="3.8764546470000001"/>
    <n v="57.8"/>
  </r>
  <r>
    <x v="1"/>
    <x v="1"/>
    <x v="351"/>
    <s v="05:01:AM"/>
    <n v="995884996"/>
    <s v="Female"/>
    <s v="Normal"/>
    <s v="Cash"/>
    <x v="1"/>
    <n v="2.1"/>
    <n v="89.82"/>
    <n v="10"/>
    <n v="84.1"/>
    <n v="154.84039999999999"/>
    <n v="328"/>
    <n v="3.8764546470000001"/>
    <n v="71.25"/>
  </r>
  <r>
    <x v="0"/>
    <x v="0"/>
    <x v="271"/>
    <s v="09:56:PM"/>
    <n v="540476412"/>
    <s v="Male"/>
    <s v="Normal"/>
    <s v="Ewallet"/>
    <x v="3"/>
    <n v="3"/>
    <n v="63.66"/>
    <n v="5"/>
    <n v="99.58"/>
    <n v="134.5839"/>
    <n v="185.7"/>
    <n v="3.8764546470000001"/>
    <n v="24.59"/>
  </r>
  <r>
    <x v="2"/>
    <x v="2"/>
    <x v="352"/>
    <s v="10:31:PM"/>
    <n v="789175993"/>
    <s v="Male"/>
    <s v="Member"/>
    <s v="Cash"/>
    <x v="2"/>
    <n v="6"/>
    <n v="70.884"/>
    <n v="10"/>
    <n v="15.2"/>
    <n v="158.18100000000001"/>
    <n v="603.79999999999995"/>
    <n v="3.8764546470000001"/>
    <n v="70.37"/>
  </r>
  <r>
    <x v="1"/>
    <x v="1"/>
    <x v="353"/>
    <s v="03:24:PM"/>
    <n v="101803271"/>
    <s v="Female"/>
    <s v="Member"/>
    <s v="Credit card"/>
    <x v="3"/>
    <n v="6.4"/>
    <n v="61.92"/>
    <n v="10"/>
    <n v="18.649999999999999"/>
    <n v="177.37559999999999"/>
    <n v="369.8"/>
    <n v="3.8764546470000001"/>
    <n v="83.78"/>
  </r>
  <r>
    <x v="2"/>
    <x v="2"/>
    <x v="354"/>
    <s v="09:13:AM"/>
    <n v="344939816"/>
    <s v="Female"/>
    <s v="Member"/>
    <s v="Ewallet"/>
    <x v="3"/>
    <n v="4.4000000000000004"/>
    <n v="90.33"/>
    <n v="4"/>
    <n v="99.33"/>
    <n v="102.5232"/>
    <n v="197.96"/>
    <n v="3.8764546470000001"/>
    <n v="67.492000000000004"/>
  </r>
  <r>
    <x v="2"/>
    <x v="2"/>
    <x v="327"/>
    <s v="05:36:AM"/>
    <n v="46060389"/>
    <s v="Female"/>
    <s v="Normal"/>
    <s v="Cash"/>
    <x v="5"/>
    <n v="3"/>
    <n v="45.780999999999999"/>
    <n v="10"/>
    <n v="69.989999999999995"/>
    <n v="173.10589999999999"/>
    <n v="410.9"/>
    <n v="3.8764546470000001"/>
    <n v="82.918999999999997"/>
  </r>
  <r>
    <x v="0"/>
    <x v="0"/>
    <x v="130"/>
    <s v="04:06:PM"/>
    <n v="499800318"/>
    <s v="Male"/>
    <s v="Normal"/>
    <s v="Ewallet"/>
    <x v="5"/>
    <n v="6.9"/>
    <n v="45.914999999999999"/>
    <n v="4"/>
    <n v="42.62"/>
    <n v="179.0103"/>
    <n v="148.6"/>
    <n v="3.8764546470000001"/>
    <n v="84.935000000000002"/>
  </r>
  <r>
    <x v="1"/>
    <x v="1"/>
    <x v="224"/>
    <s v="05:16:PM"/>
    <n v="214703162"/>
    <s v="Male"/>
    <s v="Normal"/>
    <s v="Cash"/>
    <x v="2"/>
    <n v="6.1"/>
    <n v="36.81"/>
    <n v="1"/>
    <n v="21.9"/>
    <n v="109.2218"/>
    <n v="22.96"/>
    <n v="3.8764546470000001"/>
    <n v="78.540000000000006"/>
  </r>
  <r>
    <x v="2"/>
    <x v="2"/>
    <x v="355"/>
    <s v="02:07:PM"/>
    <n v="830616931"/>
    <s v="Female"/>
    <s v="Member"/>
    <s v="Ewallet"/>
    <x v="2"/>
    <n v="5.8"/>
    <n v="95.03"/>
    <n v="9"/>
    <n v="46.09"/>
    <n v="158.02889999999999"/>
    <n v="699.12"/>
    <n v="3.8764546470000001"/>
    <n v="26.16"/>
  </r>
  <r>
    <x v="2"/>
    <x v="2"/>
    <x v="48"/>
    <s v="10:17:PM"/>
    <n v="345604965"/>
    <s v="Female"/>
    <s v="Normal"/>
    <s v="Ewallet"/>
    <x v="5"/>
    <n v="2.1"/>
    <n v="92.49"/>
    <n v="2"/>
    <n v="13.73"/>
    <n v="159.83439999999999"/>
    <n v="69.400000000000006"/>
    <n v="3.8764546470000001"/>
    <n v="31.32"/>
  </r>
  <r>
    <x v="0"/>
    <x v="0"/>
    <x v="356"/>
    <s v="02:49:PM"/>
    <n v="681747671"/>
    <s v="Female"/>
    <s v="Member"/>
    <s v="Credit card"/>
    <x v="5"/>
    <n v="9.6"/>
    <n v="92.8"/>
    <n v="10"/>
    <n v="90.52"/>
    <n v="157.08000000000001"/>
    <n v="196.6"/>
    <n v="3.8764546470000001"/>
    <n v="46"/>
  </r>
  <r>
    <x v="2"/>
    <x v="2"/>
    <x v="357"/>
    <s v="03:23:AM"/>
    <n v="58012857"/>
    <s v="Female"/>
    <s v="Member"/>
    <s v="Ewallet"/>
    <x v="0"/>
    <n v="4.7"/>
    <n v="65.27"/>
    <n v="8"/>
    <n v="50.74"/>
    <n v="183.7961"/>
    <n v="202.56"/>
    <n v="3.8764546470000001"/>
    <n v="21.17"/>
  </r>
  <r>
    <x v="1"/>
    <x v="1"/>
    <x v="15"/>
    <s v="01:52:AM"/>
    <n v="334036357"/>
    <s v="Female"/>
    <s v="Member"/>
    <s v="Credit card"/>
    <x v="2"/>
    <n v="2.6"/>
    <n v="14.73"/>
    <n v="10"/>
    <n v="95.79"/>
    <n v="180.26920000000001"/>
    <n v="121.2"/>
    <n v="3.8764546470000001"/>
    <n v="85.8"/>
  </r>
  <r>
    <x v="2"/>
    <x v="2"/>
    <x v="132"/>
    <s v="04:27:PM"/>
    <n v="130104788"/>
    <s v="Male"/>
    <s v="Normal"/>
    <s v="Ewallet"/>
    <x v="5"/>
    <n v="1.7"/>
    <n v="97.09"/>
    <n v="2"/>
    <n v="48.49"/>
    <n v="156.45599999999999"/>
    <n v="199.78"/>
    <n v="3.8764546470000001"/>
    <n v="43.621000000000002"/>
  </r>
  <r>
    <x v="2"/>
    <x v="2"/>
    <x v="237"/>
    <s v="03:38:PM"/>
    <n v="396656585"/>
    <s v="Male"/>
    <s v="Normal"/>
    <s v="Cash"/>
    <x v="3"/>
    <n v="7"/>
    <n v="65.040000000000006"/>
    <n v="8"/>
    <n v="22.94"/>
    <n v="175.64769999999999"/>
    <n v="607.36"/>
    <n v="3.8764546470000001"/>
    <n v="96.373999999999995"/>
  </r>
  <r>
    <x v="1"/>
    <x v="1"/>
    <x v="358"/>
    <s v="12:42:AM"/>
    <n v="360024561"/>
    <s v="Female"/>
    <s v="Normal"/>
    <s v="Cash"/>
    <x v="1"/>
    <n v="10"/>
    <n v="98.68"/>
    <n v="2"/>
    <n v="53.26"/>
    <n v="141.66079999999999"/>
    <n v="126.44"/>
    <n v="3.8764546470000001"/>
    <n v="92.207999999999998"/>
  </r>
  <r>
    <x v="1"/>
    <x v="1"/>
    <x v="236"/>
    <s v="08:38:AM"/>
    <n v="264775666"/>
    <s v="Female"/>
    <s v="Normal"/>
    <s v="Cash"/>
    <x v="4"/>
    <n v="9"/>
    <n v="86.07"/>
    <n v="6"/>
    <n v="26.21"/>
    <n v="135.63140000000001"/>
    <n v="541.44000000000005"/>
    <n v="3.8764546470000001"/>
    <n v="78.602000000000004"/>
  </r>
  <r>
    <x v="2"/>
    <x v="2"/>
    <x v="221"/>
    <s v="08:53:PM"/>
    <n v="166184880"/>
    <s v="Female"/>
    <s v="Member"/>
    <s v="Cash"/>
    <x v="3"/>
    <n v="9"/>
    <n v="60.01"/>
    <n v="1"/>
    <n v="12.39"/>
    <n v="127.57859999999999"/>
    <n v="98.13"/>
    <n v="3.8764546470000001"/>
    <n v="31.902999999999999"/>
  </r>
  <r>
    <x v="0"/>
    <x v="0"/>
    <x v="41"/>
    <s v="02:00:PM"/>
    <n v="496452527"/>
    <s v="Female"/>
    <s v="Member"/>
    <s v="Cash"/>
    <x v="3"/>
    <n v="7"/>
    <n v="15.678000000000001"/>
    <n v="8"/>
    <n v="38.479999999999997"/>
    <n v="101.5838"/>
    <n v="412.16"/>
    <n v="3.8764546470000001"/>
    <n v="22.245999999999999"/>
  </r>
  <r>
    <x v="2"/>
    <x v="2"/>
    <x v="359"/>
    <s v="01:39:PM"/>
    <n v="340176358"/>
    <s v="Male"/>
    <s v="Member"/>
    <s v="Credit card"/>
    <x v="3"/>
    <n v="4.9000000000000004"/>
    <n v="94.61"/>
    <n v="1"/>
    <n v="89.96"/>
    <n v="162.10329999999999"/>
    <n v="73.97"/>
    <n v="3.8764546470000001"/>
    <n v="66.631"/>
  </r>
  <r>
    <x v="1"/>
    <x v="1"/>
    <x v="360"/>
    <s v="06:18:AM"/>
    <n v="309387579"/>
    <s v="Female"/>
    <s v="Member"/>
    <s v="Ewallet"/>
    <x v="5"/>
    <n v="8"/>
    <n v="88.52"/>
    <n v="1"/>
    <n v="26.99"/>
    <n v="163.46979999999999"/>
    <n v="31.9"/>
    <n v="3.8764546470000001"/>
    <n v="72.674000000000007"/>
  </r>
  <r>
    <x v="1"/>
    <x v="1"/>
    <x v="360"/>
    <s v="07:21:AM"/>
    <n v="196398831"/>
    <s v="Male"/>
    <s v="Normal"/>
    <s v="Ewallet"/>
    <x v="2"/>
    <n v="5.8"/>
    <n v="67.84"/>
    <n v="2"/>
    <n v="44.68"/>
    <n v="140.8313"/>
    <n v="138.80000000000001"/>
    <n v="3.8764546470000001"/>
    <n v="74.89"/>
  </r>
  <r>
    <x v="2"/>
    <x v="2"/>
    <x v="361"/>
    <s v="08:17:AM"/>
    <n v="685927322"/>
    <s v="Female"/>
    <s v="Normal"/>
    <s v="Cash"/>
    <x v="3"/>
    <n v="9.4"/>
    <n v="84.63"/>
    <n v="2"/>
    <n v="88.22"/>
    <n v="149.3724"/>
    <n v="186.62"/>
    <n v="3.8764546470000001"/>
    <n v="76.180000000000007"/>
  </r>
  <r>
    <x v="2"/>
    <x v="2"/>
    <x v="362"/>
    <s v="01:39:PM"/>
    <n v="916123151"/>
    <s v="Male"/>
    <s v="Normal"/>
    <s v="Credit card"/>
    <x v="3"/>
    <n v="1.6"/>
    <n v="97.63"/>
    <n v="1"/>
    <n v="69.81"/>
    <n v="184.87100000000001"/>
    <n v="88.45"/>
    <n v="3.8764546470000001"/>
    <n v="87.93"/>
  </r>
  <r>
    <x v="0"/>
    <x v="0"/>
    <x v="79"/>
    <s v="02:14:PM"/>
    <n v="699226978"/>
    <s v="Male"/>
    <s v="Member"/>
    <s v="Ewallet"/>
    <x v="1"/>
    <n v="4.2"/>
    <n v="30.26"/>
    <n v="8"/>
    <n v="55.78"/>
    <n v="130.91069999999999"/>
    <n v="193.44"/>
    <n v="3.8764546470000001"/>
    <n v="65.25"/>
  </r>
  <r>
    <x v="2"/>
    <x v="2"/>
    <x v="363"/>
    <s v="08:46:PM"/>
    <n v="371210439"/>
    <s v="Female"/>
    <s v="Member"/>
    <s v="Cash"/>
    <x v="3"/>
    <n v="5.6"/>
    <n v="49.37"/>
    <n v="3"/>
    <n v="35.26"/>
    <n v="180.7252"/>
    <n v="145.5"/>
    <n v="3.8764546470000001"/>
    <n v="72.86"/>
  </r>
  <r>
    <x v="2"/>
    <x v="2"/>
    <x v="364"/>
    <s v="12:28:AM"/>
    <n v="585726165"/>
    <s v="Female"/>
    <s v="Normal"/>
    <s v="Credit card"/>
    <x v="4"/>
    <n v="2"/>
    <n v="63.88"/>
    <n v="6"/>
    <n v="87.84"/>
    <n v="170.39359999999999"/>
    <n v="504.3"/>
    <n v="3.8764546470000001"/>
    <n v="69.48"/>
  </r>
  <r>
    <x v="2"/>
    <x v="2"/>
    <x v="135"/>
    <s v="03:58:AM"/>
    <n v="440283411"/>
    <s v="Male"/>
    <s v="Member"/>
    <s v="Cash"/>
    <x v="0"/>
    <n v="2.6"/>
    <n v="41.536000000000001"/>
    <n v="5"/>
    <n v="35.19"/>
    <n v="172.47190000000001"/>
    <n v="306.45"/>
    <n v="3.8764546470000001"/>
    <n v="48.37"/>
  </r>
  <r>
    <x v="1"/>
    <x v="1"/>
    <x v="365"/>
    <s v="05:57:AM"/>
    <n v="775285024"/>
    <s v="Female"/>
    <s v="Member"/>
    <s v="Credit card"/>
    <x v="2"/>
    <n v="8"/>
    <n v="82.691999999999993"/>
    <n v="6"/>
    <n v="43.18"/>
    <n v="131.36850000000001"/>
    <n v="95.7"/>
    <n v="3.8764546470000001"/>
    <n v="75.75"/>
  </r>
  <r>
    <x v="2"/>
    <x v="2"/>
    <x v="132"/>
    <s v="04:33:AM"/>
    <n v="334807810"/>
    <s v="Female"/>
    <s v="Member"/>
    <s v="Credit card"/>
    <x v="3"/>
    <n v="2.2999999999999998"/>
    <n v="55.07"/>
    <n v="7"/>
    <n v="95.12"/>
    <n v="124.5048"/>
    <n v="635.17999999999995"/>
    <n v="3.8764546470000001"/>
    <n v="85.524000000000001"/>
  </r>
  <r>
    <x v="0"/>
    <x v="0"/>
    <x v="366"/>
    <s v="01:11:PM"/>
    <n v="488741946"/>
    <s v="Female"/>
    <s v="Normal"/>
    <s v="Ewallet"/>
    <x v="2"/>
    <n v="3"/>
    <n v="70.972999999999999"/>
    <n v="5"/>
    <n v="72.8"/>
    <n v="103.6544"/>
    <n v="214.55"/>
    <n v="3.8764546470000001"/>
    <n v="58.985999999999997"/>
  </r>
  <r>
    <x v="0"/>
    <x v="0"/>
    <x v="299"/>
    <s v="05:51:PM"/>
    <n v="961929706"/>
    <s v="Female"/>
    <s v="Normal"/>
    <s v="Ewallet"/>
    <x v="5"/>
    <n v="8.1999999999999993"/>
    <n v="62.59"/>
    <n v="7"/>
    <n v="93.79"/>
    <n v="112.5376"/>
    <n v="379.96"/>
    <n v="3.8764546470000001"/>
    <n v="17.044"/>
  </r>
  <r>
    <x v="0"/>
    <x v="0"/>
    <x v="367"/>
    <s v="01:24:AM"/>
    <n v="409426587"/>
    <s v="Male"/>
    <s v="Normal"/>
    <s v="Cash"/>
    <x v="1"/>
    <n v="7.5"/>
    <n v="58.86"/>
    <n v="7"/>
    <n v="55.28"/>
    <n v="165.49160000000001"/>
    <n v="696.85"/>
    <n v="3.8764546470000001"/>
    <n v="70.302000000000007"/>
  </r>
  <r>
    <x v="1"/>
    <x v="1"/>
    <x v="105"/>
    <s v="02:13:AM"/>
    <n v="811155630"/>
    <s v="Male"/>
    <s v="Member"/>
    <s v="Credit card"/>
    <x v="3"/>
    <n v="1.6"/>
    <n v="75.47"/>
    <n v="7"/>
    <n v="54.7"/>
    <n v="155.18360000000001"/>
    <n v="408.73"/>
    <n v="3.8764546470000001"/>
    <n v="24.143999999999998"/>
  </r>
  <r>
    <x v="1"/>
    <x v="1"/>
    <x v="128"/>
    <s v="07:57:PM"/>
    <n v="175155639"/>
    <s v="Female"/>
    <s v="Member"/>
    <s v="Ewallet"/>
    <x v="5"/>
    <n v="4.3"/>
    <n v="57.24"/>
    <n v="1"/>
    <n v="20.239999999999998"/>
    <n v="144.9564"/>
    <n v="51.47"/>
    <n v="3.8764546470000001"/>
    <n v="54.526000000000003"/>
  </r>
  <r>
    <x v="2"/>
    <x v="2"/>
    <x v="333"/>
    <s v="06:32:AM"/>
    <n v="656182431"/>
    <s v="Male"/>
    <s v="Member"/>
    <s v="Ewallet"/>
    <x v="0"/>
    <n v="7.3"/>
    <n v="19.7"/>
    <n v="5"/>
    <n v="96.79"/>
    <n v="121.24250000000001"/>
    <n v="274.3"/>
    <n v="3.8764546470000001"/>
    <n v="40.981000000000002"/>
  </r>
  <r>
    <x v="1"/>
    <x v="1"/>
    <x v="242"/>
    <s v="11:26:AM"/>
    <n v="834380175"/>
    <s v="Male"/>
    <s v="Member"/>
    <s v="Credit card"/>
    <x v="2"/>
    <n v="7.5"/>
    <n v="33.549999999999997"/>
    <n v="5"/>
    <n v="68.27"/>
    <n v="152.9478"/>
    <n v="196.95"/>
    <n v="3.8764546470000001"/>
    <n v="32.796999999999997"/>
  </r>
  <r>
    <x v="0"/>
    <x v="0"/>
    <x v="339"/>
    <s v="05:36:AM"/>
    <n v="186609171"/>
    <s v="Male"/>
    <s v="Normal"/>
    <s v="Ewallet"/>
    <x v="2"/>
    <n v="6.8"/>
    <n v="82.5"/>
    <n v="2"/>
    <n v="44.18"/>
    <n v="132.0181"/>
    <n v="69.459999999999994"/>
    <n v="3.8764546470000001"/>
    <n v="89.11"/>
  </r>
  <r>
    <x v="1"/>
    <x v="1"/>
    <x v="368"/>
    <s v="12:21:AM"/>
    <n v="900082742"/>
    <s v="Male"/>
    <s v="Member"/>
    <s v="Credit card"/>
    <x v="3"/>
    <n v="6"/>
    <n v="75.69"/>
    <n v="5"/>
    <n v="31.18"/>
    <n v="145.78899999999999"/>
    <n v="359.6"/>
    <n v="3.8764546470000001"/>
    <n v="97.79"/>
  </r>
  <r>
    <x v="2"/>
    <x v="2"/>
    <x v="369"/>
    <s v="08:04:PM"/>
    <n v="331448324"/>
    <s v="Female"/>
    <s v="Normal"/>
    <s v="Credit card"/>
    <x v="1"/>
    <n v="2"/>
    <n v="18.75"/>
    <n v="3"/>
    <n v="43.23"/>
    <n v="137.58670000000001"/>
    <n v="137.13"/>
    <n v="3.8764546470000001"/>
    <n v="34.42"/>
  </r>
  <r>
    <x v="1"/>
    <x v="1"/>
    <x v="370"/>
    <s v="03:16:AM"/>
    <n v="527633856"/>
    <s v="Female"/>
    <s v="Member"/>
    <s v="Cash"/>
    <x v="2"/>
    <n v="9"/>
    <n v="61.58"/>
    <n v="6"/>
    <n v="53.81"/>
    <n v="118.2359"/>
    <n v="499.02"/>
    <n v="3.8764546470000001"/>
    <n v="33.29"/>
  </r>
  <r>
    <x v="0"/>
    <x v="0"/>
    <x v="186"/>
    <s v="09:48:AM"/>
    <n v="551251341"/>
    <s v="Female"/>
    <s v="Member"/>
    <s v="Credit card"/>
    <x v="2"/>
    <n v="6"/>
    <n v="56.28"/>
    <n v="6"/>
    <n v="76.540000000000006"/>
    <n v="162.31549999999999"/>
    <n v="224.64"/>
    <n v="3.8764546470000001"/>
    <n v="45.91"/>
  </r>
  <r>
    <x v="1"/>
    <x v="1"/>
    <x v="371"/>
    <s v="05:50:AM"/>
    <n v="108389216"/>
    <s v="Male"/>
    <s v="Normal"/>
    <s v="Cash"/>
    <x v="0"/>
    <n v="4"/>
    <n v="27.52"/>
    <n v="2"/>
    <n v="90.94"/>
    <n v="162.5009"/>
    <n v="125.74"/>
    <n v="3.8764546470000001"/>
    <n v="69.099999999999994"/>
  </r>
  <r>
    <x v="0"/>
    <x v="0"/>
    <x v="278"/>
    <s v="06:39:AM"/>
    <n v="851392885"/>
    <s v="Male"/>
    <s v="Normal"/>
    <s v="Credit card"/>
    <x v="4"/>
    <n v="5"/>
    <n v="66.55"/>
    <n v="6"/>
    <n v="24.94"/>
    <n v="173.40629999999999"/>
    <n v="490.26"/>
    <n v="3.8764546470000001"/>
    <n v="89.16"/>
  </r>
  <r>
    <x v="0"/>
    <x v="0"/>
    <x v="372"/>
    <s v="11:06:PM"/>
    <n v="355883067"/>
    <s v="Female"/>
    <s v="Member"/>
    <s v="Ewallet"/>
    <x v="3"/>
    <n v="10"/>
    <n v="80.5"/>
    <n v="5"/>
    <n v="39.81"/>
    <n v="112.94589999999999"/>
    <n v="457.05"/>
    <n v="3.8764546470000001"/>
    <n v="39.42"/>
  </r>
  <r>
    <x v="2"/>
    <x v="2"/>
    <x v="373"/>
    <s v="02:07:PM"/>
    <n v="968405399"/>
    <s v="Male"/>
    <s v="Normal"/>
    <s v="Credit card"/>
    <x v="5"/>
    <n v="9.6"/>
    <n v="33.96"/>
    <n v="4"/>
    <n v="51.87"/>
    <n v="168.7801"/>
    <n v="156.84"/>
    <n v="3.8764546470000001"/>
    <n v="10.438000000000001"/>
  </r>
  <r>
    <x v="2"/>
    <x v="2"/>
    <x v="374"/>
    <s v="12:29:PM"/>
    <n v="602778089"/>
    <s v="Male"/>
    <s v="Member"/>
    <s v="Ewallet"/>
    <x v="5"/>
    <n v="1.7"/>
    <n v="73.69"/>
    <n v="2"/>
    <n v="44.47"/>
    <n v="106.21380000000001"/>
    <n v="119.72"/>
    <n v="3.8764546470000001"/>
    <n v="38.732999999999997"/>
  </r>
  <r>
    <x v="2"/>
    <x v="2"/>
    <x v="375"/>
    <s v="01:39:PM"/>
    <n v="352133428"/>
    <s v="Female"/>
    <s v="Member"/>
    <s v="Credit card"/>
    <x v="4"/>
    <n v="2.5"/>
    <n v="52.88"/>
    <n v="10"/>
    <n v="78.98"/>
    <n v="168.72499999999999"/>
    <n v="543.6"/>
    <n v="3.8764546470000001"/>
    <n v="70.031999999999996"/>
  </r>
  <r>
    <x v="0"/>
    <x v="0"/>
    <x v="376"/>
    <s v="01:52:AM"/>
    <n v="275723754"/>
    <s v="Male"/>
    <s v="Normal"/>
    <s v="Cash"/>
    <x v="3"/>
    <n v="8.1999999999999993"/>
    <n v="27.23"/>
    <n v="9"/>
    <n v="74.28"/>
    <n v="107.3689"/>
    <n v="882.81"/>
    <n v="3.8764546470000001"/>
    <n v="29.51"/>
  </r>
  <r>
    <x v="0"/>
    <x v="0"/>
    <x v="377"/>
    <s v="09:48:AM"/>
    <n v="40231358"/>
    <s v="Male"/>
    <s v="Normal"/>
    <s v="Ewallet"/>
    <x v="0"/>
    <n v="2.8"/>
    <n v="90.29"/>
    <n v="6"/>
    <n v="95.69"/>
    <n v="137.7526"/>
    <n v="152.58000000000001"/>
    <n v="3.8764546470000001"/>
    <n v="73.025000000000006"/>
  </r>
  <r>
    <x v="0"/>
    <x v="0"/>
    <x v="378"/>
    <s v="06:11:AM"/>
    <n v="67482119"/>
    <s v="Male"/>
    <s v="Member"/>
    <s v="Credit card"/>
    <x v="5"/>
    <n v="9.9"/>
    <n v="35.15"/>
    <n v="8"/>
    <n v="53.34"/>
    <n v="148.4162"/>
    <n v="693.44"/>
    <n v="3.8764546470000001"/>
    <n v="86.26"/>
  </r>
  <r>
    <x v="2"/>
    <x v="2"/>
    <x v="271"/>
    <s v="07:50:PM"/>
    <n v="383706822"/>
    <s v="Male"/>
    <s v="Normal"/>
    <s v="Ewallet"/>
    <x v="1"/>
    <n v="6.1"/>
    <n v="15.42"/>
    <n v="10"/>
    <n v="43.6"/>
    <n v="158.53919999999999"/>
    <n v="229.5"/>
    <n v="3.8764546470000001"/>
    <n v="11.724"/>
  </r>
  <r>
    <x v="1"/>
    <x v="1"/>
    <x v="1"/>
    <s v="08:39:PM"/>
    <n v="464468075"/>
    <s v="Female"/>
    <s v="Normal"/>
    <s v="Ewallet"/>
    <x v="4"/>
    <n v="2"/>
    <n v="46.81"/>
    <n v="9"/>
    <n v="38.479999999999997"/>
    <n v="119.99850000000001"/>
    <n v="146.79"/>
    <n v="3.8764546470000001"/>
    <n v="43.198"/>
  </r>
  <r>
    <x v="0"/>
    <x v="0"/>
    <x v="98"/>
    <s v="12:42:AM"/>
    <n v="497394711"/>
    <s v="Female"/>
    <s v="Normal"/>
    <s v="Ewallet"/>
    <x v="2"/>
    <n v="9.1999999999999993"/>
    <n v="16.86"/>
    <n v="5"/>
    <n v="74.819999999999993"/>
    <n v="185.48990000000001"/>
    <n v="141.6"/>
    <n v="3.8764546470000001"/>
    <n v="99.08"/>
  </r>
  <r>
    <x v="1"/>
    <x v="1"/>
    <x v="355"/>
    <s v="04:12:AM"/>
    <n v="761633363"/>
    <s v="Male"/>
    <s v="Normal"/>
    <s v="Ewallet"/>
    <x v="2"/>
    <n v="5.9"/>
    <n v="70.209999999999994"/>
    <n v="7"/>
    <n v="53"/>
    <n v="179.22790000000001"/>
    <n v="116.69"/>
    <n v="3.8764546470000001"/>
    <n v="43.787999999999997"/>
  </r>
  <r>
    <x v="2"/>
    <x v="2"/>
    <x v="379"/>
    <s v="03:58:AM"/>
    <n v="585993062"/>
    <s v="Female"/>
    <s v="Member"/>
    <s v="Credit card"/>
    <x v="5"/>
    <n v="2"/>
    <n v="50.17"/>
    <n v="1"/>
    <n v="91.48"/>
    <n v="139.65889999999999"/>
    <n v="73.959999999999994"/>
    <n v="3.8764546470000001"/>
    <n v="60.87"/>
  </r>
  <r>
    <x v="0"/>
    <x v="0"/>
    <x v="3"/>
    <s v="09:35:PM"/>
    <n v="978915000"/>
    <s v="Male"/>
    <s v="Normal"/>
    <s v="Ewallet"/>
    <x v="2"/>
    <n v="9"/>
    <n v="46.018999999999998"/>
    <n v="1"/>
    <n v="22.05"/>
    <n v="133.14519999999999"/>
    <n v="97.94"/>
    <n v="3.8764546470000001"/>
    <n v="22.65"/>
  </r>
  <r>
    <x v="0"/>
    <x v="0"/>
    <x v="346"/>
    <s v="01:25:PM"/>
    <n v="918083510"/>
    <s v="Female"/>
    <s v="Normal"/>
    <s v="Credit card"/>
    <x v="5"/>
    <n v="6"/>
    <n v="42.91"/>
    <n v="4"/>
    <n v="17.52"/>
    <n v="137.92320000000001"/>
    <n v="292.2"/>
    <n v="3.8764546470000001"/>
    <n v="55.04"/>
  </r>
  <r>
    <x v="1"/>
    <x v="1"/>
    <x v="263"/>
    <s v="12:49:AM"/>
    <n v="904284357"/>
    <s v="Female"/>
    <s v="Member"/>
    <s v="Ewallet"/>
    <x v="4"/>
    <n v="3"/>
    <n v="87.495000000000005"/>
    <n v="6"/>
    <n v="43.26"/>
    <n v="161.5779"/>
    <n v="524.88"/>
    <n v="3.8764546470000001"/>
    <n v="56.25"/>
  </r>
  <r>
    <x v="0"/>
    <x v="0"/>
    <x v="380"/>
    <s v="06:32:AM"/>
    <n v="254142783"/>
    <s v="Male"/>
    <s v="Normal"/>
    <s v="Ewallet"/>
    <x v="2"/>
    <n v="4"/>
    <n v="27.957999999999998"/>
    <n v="3"/>
    <n v="57.74"/>
    <n v="177.99420000000001"/>
    <n v="92.04"/>
    <n v="3.8764546470000001"/>
    <n v="64.28"/>
  </r>
  <r>
    <x v="1"/>
    <x v="1"/>
    <x v="310"/>
    <s v="11:40:AM"/>
    <n v="280959172"/>
    <s v="Male"/>
    <s v="Member"/>
    <s v="Credit card"/>
    <x v="0"/>
    <n v="3"/>
    <n v="40.302"/>
    <n v="1"/>
    <n v="97.96"/>
    <n v="168.25020000000001"/>
    <n v="75.88"/>
    <n v="3.8764546470000001"/>
    <n v="73.28"/>
  </r>
  <r>
    <x v="2"/>
    <x v="2"/>
    <x v="381"/>
    <s v="10:58:AM"/>
    <n v="429858566"/>
    <s v="Female"/>
    <s v="Member"/>
    <s v="Credit card"/>
    <x v="3"/>
    <n v="7"/>
    <n v="33.573"/>
    <n v="4"/>
    <n v="24.89"/>
    <n v="180.5196"/>
    <n v="80.72"/>
    <n v="3.8764546470000001"/>
    <n v="68.251000000000005"/>
  </r>
  <r>
    <x v="1"/>
    <x v="1"/>
    <x v="120"/>
    <s v="10:03:PM"/>
    <n v="717057438"/>
    <s v="Male"/>
    <s v="Member"/>
    <s v="Credit card"/>
    <x v="1"/>
    <n v="8"/>
    <n v="34.28"/>
    <n v="6"/>
    <n v="77.94"/>
    <n v="110.23350000000001"/>
    <n v="112.62"/>
    <n v="3.8764546470000001"/>
    <n v="27.763000000000002"/>
  </r>
  <r>
    <x v="2"/>
    <x v="2"/>
    <x v="40"/>
    <s v="08:03:AM"/>
    <n v="211780918"/>
    <s v="Female"/>
    <s v="Normal"/>
    <s v="Credit card"/>
    <x v="4"/>
    <n v="6"/>
    <n v="18.920000000000002"/>
    <n v="1"/>
    <n v="32.43"/>
    <n v="133.83189999999999"/>
    <n v="71.2"/>
    <n v="3.8764546470000001"/>
    <n v="91.676000000000002"/>
  </r>
  <r>
    <x v="2"/>
    <x v="2"/>
    <x v="382"/>
    <s v="05:30:PM"/>
    <n v="353096862"/>
    <s v="Male"/>
    <s v="Member"/>
    <s v="Ewallet"/>
    <x v="2"/>
    <n v="3.4"/>
    <n v="88.852000000000004"/>
    <n v="4"/>
    <n v="49.3"/>
    <n v="121.4721"/>
    <n v="155.24"/>
    <n v="3.8764546470000001"/>
    <n v="39.840000000000003"/>
  </r>
  <r>
    <x v="0"/>
    <x v="0"/>
    <x v="92"/>
    <s v="09:42:PM"/>
    <n v="797764228"/>
    <s v="Female"/>
    <s v="Normal"/>
    <s v="Ewallet"/>
    <x v="5"/>
    <n v="9.1"/>
    <n v="10.49"/>
    <n v="10"/>
    <n v="88.01"/>
    <n v="130.20670000000001"/>
    <n v="294.2"/>
    <n v="3.8764546470000001"/>
    <n v="29.58"/>
  </r>
  <r>
    <x v="0"/>
    <x v="0"/>
    <x v="383"/>
    <s v="08:10:AM"/>
    <n v="997719005"/>
    <s v="Male"/>
    <s v="Normal"/>
    <s v="Credit card"/>
    <x v="3"/>
    <n v="8.9"/>
    <n v="93.18"/>
    <n v="9"/>
    <n v="72.38"/>
    <n v="183.2567"/>
    <n v="548.54999999999995"/>
    <n v="3.8764546470000001"/>
    <n v="82.71"/>
  </r>
  <r>
    <x v="2"/>
    <x v="2"/>
    <x v="384"/>
    <s v="08:53:PM"/>
    <n v="577082228"/>
    <s v="Female"/>
    <s v="Normal"/>
    <s v="Cash"/>
    <x v="3"/>
    <n v="1.9"/>
    <n v="47.81"/>
    <n v="5"/>
    <n v="49.68"/>
    <n v="130.63409999999999"/>
    <n v="257.7"/>
    <n v="3.8764546470000001"/>
    <n v="18.55"/>
  </r>
  <r>
    <x v="0"/>
    <x v="0"/>
    <x v="385"/>
    <s v="11:13:PM"/>
    <n v="954741323"/>
    <s v="Female"/>
    <s v="Normal"/>
    <s v="Cash"/>
    <x v="1"/>
    <n v="9"/>
    <n v="38.26"/>
    <n v="6"/>
    <n v="46.58"/>
    <n v="164.22649999999999"/>
    <n v="396.36"/>
    <n v="3.8764546470000001"/>
    <n v="50.83"/>
  </r>
  <r>
    <x v="2"/>
    <x v="2"/>
    <x v="353"/>
    <s v="11:33:AM"/>
    <n v="917253435"/>
    <s v="Male"/>
    <s v="Normal"/>
    <s v="Ewallet"/>
    <x v="5"/>
    <n v="4.3"/>
    <n v="41.46"/>
    <n v="3"/>
    <n v="92.4"/>
    <n v="119.3219"/>
    <n v="171.81"/>
    <n v="3.8764546470000001"/>
    <n v="44.35"/>
  </r>
  <r>
    <x v="2"/>
    <x v="2"/>
    <x v="386"/>
    <s v="03:37:AM"/>
    <n v="405037240"/>
    <s v="Female"/>
    <s v="Normal"/>
    <s v="Cash"/>
    <x v="5"/>
    <n v="5.4"/>
    <n v="84.001000000000005"/>
    <n v="9"/>
    <n v="67.16"/>
    <n v="146.24109999999999"/>
    <n v="488.79"/>
    <n v="3.8764546470000001"/>
    <n v="54.572000000000003"/>
  </r>
  <r>
    <x v="2"/>
    <x v="2"/>
    <x v="387"/>
    <s v="05:37:PM"/>
    <n v="183642673"/>
    <s v="Female"/>
    <s v="Normal"/>
    <s v="Cash"/>
    <x v="0"/>
    <n v="6.5"/>
    <n v="13.743"/>
    <n v="9"/>
    <n v="94.48"/>
    <n v="135.7251"/>
    <n v="524.16"/>
    <n v="3.8764546470000001"/>
    <n v="23.722999999999999"/>
  </r>
  <r>
    <x v="1"/>
    <x v="1"/>
    <x v="240"/>
    <s v="02:48:AM"/>
    <n v="446871760"/>
    <s v="Male"/>
    <s v="Normal"/>
    <s v="Credit card"/>
    <x v="1"/>
    <n v="7.4"/>
    <n v="14.962999999999999"/>
    <n v="6"/>
    <n v="98.25"/>
    <n v="101.54989999999999"/>
    <n v="133.26"/>
    <n v="3.8764546470000001"/>
    <n v="52.406999999999996"/>
  </r>
  <r>
    <x v="0"/>
    <x v="0"/>
    <x v="388"/>
    <s v="05:15:AM"/>
    <n v="513663129"/>
    <s v="Male"/>
    <s v="Member"/>
    <s v="Cash"/>
    <x v="1"/>
    <n v="3.9"/>
    <n v="50.023000000000003"/>
    <n v="7"/>
    <n v="54.8"/>
    <n v="188.01490000000001"/>
    <n v="135.24"/>
    <n v="3.8764546470000001"/>
    <n v="44.884999999999998"/>
  </r>
  <r>
    <x v="2"/>
    <x v="2"/>
    <x v="0"/>
    <s v="04:06:PM"/>
    <n v="385366424"/>
    <s v="Male"/>
    <s v="Normal"/>
    <s v="Credit card"/>
    <x v="2"/>
    <n v="9.1"/>
    <n v="36.369999999999997"/>
    <n v="3"/>
    <n v="21.97"/>
    <n v="123.02119999999999"/>
    <n v="112.44"/>
    <n v="3.8764546470000001"/>
    <n v="78.27"/>
  </r>
  <r>
    <x v="2"/>
    <x v="2"/>
    <x v="295"/>
    <s v="09:28:PM"/>
    <n v="46228067"/>
    <s v="Female"/>
    <s v="Member"/>
    <s v="Cash"/>
    <x v="5"/>
    <n v="8.6999999999999993"/>
    <n v="75.45"/>
    <n v="2"/>
    <n v="99.87"/>
    <n v="154.09030000000001"/>
    <n v="144.08000000000001"/>
    <n v="3.8764546470000001"/>
    <n v="93.97"/>
  </r>
  <r>
    <x v="1"/>
    <x v="1"/>
    <x v="149"/>
    <s v="04:13:PM"/>
    <n v="425887907"/>
    <s v="Female"/>
    <s v="Member"/>
    <s v="Ewallet"/>
    <x v="4"/>
    <n v="2.5"/>
    <n v="95.82"/>
    <n v="10"/>
    <n v="89.43"/>
    <n v="115.1062"/>
    <n v="985.2"/>
    <n v="3.8764546470000001"/>
    <n v="42.55"/>
  </r>
  <r>
    <x v="0"/>
    <x v="0"/>
    <x v="389"/>
    <s v="11:33:AM"/>
    <n v="632940628"/>
    <s v="Male"/>
    <s v="Member"/>
    <s v="Ewallet"/>
    <x v="4"/>
    <n v="4.9000000000000004"/>
    <n v="41.08"/>
    <n v="6"/>
    <n v="39.380000000000003"/>
    <n v="127.206"/>
    <n v="249.96"/>
    <n v="3.8764546470000001"/>
    <n v="32.049999999999997"/>
  </r>
  <r>
    <x v="0"/>
    <x v="0"/>
    <x v="382"/>
    <s v="11:05:AM"/>
    <n v="606043130"/>
    <s v="Female"/>
    <s v="Member"/>
    <s v="Ewallet"/>
    <x v="2"/>
    <n v="9"/>
    <n v="85.34"/>
    <n v="3"/>
    <n v="53.42"/>
    <n v="119.8306"/>
    <n v="217.26"/>
    <n v="3.8764546470000001"/>
    <n v="81.091999999999999"/>
  </r>
  <r>
    <x v="2"/>
    <x v="2"/>
    <x v="136"/>
    <s v="07:50:PM"/>
    <n v="609092142"/>
    <s v="Male"/>
    <s v="Normal"/>
    <s v="Cash"/>
    <x v="1"/>
    <n v="8"/>
    <n v="35.01"/>
    <n v="9"/>
    <n v="100"/>
    <n v="178.86490000000001"/>
    <n v="194.22"/>
    <n v="3.8764546470000001"/>
    <n v="22.975999999999999"/>
  </r>
  <r>
    <x v="1"/>
    <x v="1"/>
    <x v="362"/>
    <s v="09:34:AM"/>
    <n v="460688069"/>
    <s v="Male"/>
    <s v="Normal"/>
    <s v="Credit card"/>
    <x v="4"/>
    <n v="9"/>
    <n v="68.319999999999993"/>
    <n v="10"/>
    <n v="68.430000000000007"/>
    <n v="147.87729999999999"/>
    <n v="892"/>
    <n v="3.8764546470000001"/>
    <n v="92.820999999999998"/>
  </r>
  <r>
    <x v="2"/>
    <x v="2"/>
    <x v="184"/>
    <s v="06:33:PM"/>
    <n v="105658956"/>
    <s v="Female"/>
    <s v="Normal"/>
    <s v="Ewallet"/>
    <x v="1"/>
    <n v="2"/>
    <n v="19.196000000000002"/>
    <n v="8"/>
    <n v="72.849999999999994"/>
    <n v="133.56219999999999"/>
    <n v="339.36"/>
    <n v="3.8764546470000001"/>
    <n v="72.456999999999994"/>
  </r>
  <r>
    <x v="0"/>
    <x v="0"/>
    <x v="231"/>
    <s v="04:34:PM"/>
    <n v="622934038"/>
    <s v="Male"/>
    <s v="Member"/>
    <s v="Ewallet"/>
    <x v="1"/>
    <n v="4"/>
    <n v="26.38"/>
    <n v="6"/>
    <n v="75.58"/>
    <n v="114.931"/>
    <n v="447.06"/>
    <n v="3.8764546470000001"/>
    <n v="25.06"/>
  </r>
  <r>
    <x v="2"/>
    <x v="2"/>
    <x v="390"/>
    <s v="06:40:PM"/>
    <n v="778042937"/>
    <s v="Male"/>
    <s v="Normal"/>
    <s v="Cash"/>
    <x v="5"/>
    <n v="1"/>
    <n v="68.19"/>
    <n v="2"/>
    <n v="85.01"/>
    <n v="120.2705"/>
    <n v="198.5"/>
    <n v="3.8764546470000001"/>
    <n v="93.733999999999995"/>
  </r>
  <r>
    <x v="0"/>
    <x v="0"/>
    <x v="254"/>
    <s v="03:23:AM"/>
    <n v="302117224"/>
    <s v="Female"/>
    <s v="Normal"/>
    <s v="Credit card"/>
    <x v="4"/>
    <n v="1"/>
    <n v="26.33"/>
    <n v="10"/>
    <n v="57.27"/>
    <n v="129.35130000000001"/>
    <n v="812.1"/>
    <n v="3.8764546470000001"/>
    <n v="89.897999999999996"/>
  </r>
  <r>
    <x v="1"/>
    <x v="1"/>
    <x v="391"/>
    <s v="05:02:PM"/>
    <n v="293456039"/>
    <s v="Female"/>
    <s v="Normal"/>
    <s v="Credit card"/>
    <x v="3"/>
    <n v="8.6"/>
    <n v="40.47"/>
    <n v="10"/>
    <n v="73.61"/>
    <n v="138.9752"/>
    <n v="493.3"/>
    <n v="3.8764546470000001"/>
    <n v="31.77"/>
  </r>
  <r>
    <x v="0"/>
    <x v="0"/>
    <x v="385"/>
    <s v="03:23:AM"/>
    <n v="41965844"/>
    <s v="Female"/>
    <s v="Normal"/>
    <s v="Cash"/>
    <x v="5"/>
    <n v="6.2"/>
    <n v="23.391999999999999"/>
    <n v="9"/>
    <n v="79.62"/>
    <n v="140.64439999999999"/>
    <n v="591.66"/>
    <n v="3.8764546470000001"/>
    <n v="22.31"/>
  </r>
  <r>
    <x v="2"/>
    <x v="2"/>
    <x v="392"/>
    <s v="10:23:AM"/>
    <n v="146751126"/>
    <s v="Female"/>
    <s v="Normal"/>
    <s v="Credit card"/>
    <x v="5"/>
    <n v="1.2"/>
    <n v="56.11"/>
    <n v="7"/>
    <n v="39.869999999999997"/>
    <n v="143.34819999999999"/>
    <n v="559.02"/>
    <n v="3.8764546470000001"/>
    <n v="40.880000000000003"/>
  </r>
  <r>
    <x v="1"/>
    <x v="1"/>
    <x v="393"/>
    <s v="05:16:PM"/>
    <n v="189227481"/>
    <s v="Female"/>
    <s v="Normal"/>
    <s v="Ewallet"/>
    <x v="3"/>
    <n v="9.1999999999999993"/>
    <n v="39.817999999999998"/>
    <n v="7"/>
    <n v="90.97"/>
    <n v="136.44499999999999"/>
    <n v="517.86"/>
    <n v="3.8764546470000001"/>
    <n v="60.06"/>
  </r>
  <r>
    <x v="2"/>
    <x v="2"/>
    <x v="80"/>
    <s v="05:51:PM"/>
    <n v="763276630"/>
    <s v="Female"/>
    <s v="Member"/>
    <s v="Credit card"/>
    <x v="2"/>
    <n v="1.3"/>
    <n v="80.61"/>
    <n v="5"/>
    <n v="52.98"/>
    <n v="154.00960000000001"/>
    <n v="410.2"/>
    <n v="3.8764546470000001"/>
    <n v="45.16"/>
  </r>
  <r>
    <x v="2"/>
    <x v="2"/>
    <x v="394"/>
    <s v="05:01:AM"/>
    <n v="729480285"/>
    <s v="Male"/>
    <s v="Member"/>
    <s v="Cash"/>
    <x v="3"/>
    <n v="4.7"/>
    <n v="85.3"/>
    <n v="10"/>
    <n v="16.84"/>
    <n v="121.0536"/>
    <n v="266.7"/>
    <n v="3.8764546470000001"/>
    <n v="78.947999999999993"/>
  </r>
  <r>
    <x v="0"/>
    <x v="0"/>
    <x v="395"/>
    <s v="10:45:PM"/>
    <n v="825539202"/>
    <s v="Male"/>
    <s v="Member"/>
    <s v="Ewallet"/>
    <x v="4"/>
    <n v="6"/>
    <n v="42.69"/>
    <n v="7"/>
    <n v="71.72"/>
    <n v="148.5266"/>
    <n v="70.91"/>
    <n v="3.8764546470000001"/>
    <n v="88.424999999999997"/>
  </r>
  <r>
    <x v="2"/>
    <x v="2"/>
    <x v="137"/>
    <s v="08:39:PM"/>
    <n v="26242490"/>
    <s v="Male"/>
    <s v="Normal"/>
    <s v="Credit card"/>
    <x v="4"/>
    <n v="4"/>
    <n v="30.08"/>
    <n v="2"/>
    <n v="63.05"/>
    <n v="160.76609999999999"/>
    <n v="144.78"/>
    <n v="3.8764546470000001"/>
    <n v="45.116999999999997"/>
  </r>
  <r>
    <x v="0"/>
    <x v="0"/>
    <x v="334"/>
    <s v="01:04:PM"/>
    <n v="203322720"/>
    <s v="Male"/>
    <s v="Normal"/>
    <s v="Credit card"/>
    <x v="3"/>
    <n v="2"/>
    <n v="85.73"/>
    <n v="5"/>
    <n v="74.209999999999994"/>
    <n v="111.818"/>
    <n v="429.55"/>
    <n v="3.8764546470000001"/>
    <n v="91.591999999999999"/>
  </r>
  <r>
    <x v="2"/>
    <x v="2"/>
    <x v="396"/>
    <s v="03:24:PM"/>
    <n v="61777703"/>
    <s v="Male"/>
    <s v="Member"/>
    <s v="Ewallet"/>
    <x v="5"/>
    <n v="6"/>
    <n v="54.82"/>
    <n v="7"/>
    <n v="56.66"/>
    <n v="114.6844"/>
    <n v="569.16999999999996"/>
    <n v="3.8764546470000001"/>
    <n v="83.388999999999996"/>
  </r>
  <r>
    <x v="2"/>
    <x v="2"/>
    <x v="43"/>
    <s v="06:47:PM"/>
    <n v="467501500"/>
    <s v="Male"/>
    <s v="Normal"/>
    <s v="Cash"/>
    <x v="4"/>
    <n v="8"/>
    <n v="19.690000000000001"/>
    <n v="4"/>
    <n v="54.13"/>
    <n v="116.1444"/>
    <n v="241.2"/>
    <n v="3.8764546470000001"/>
    <n v="58.283000000000001"/>
  </r>
  <r>
    <x v="1"/>
    <x v="1"/>
    <x v="397"/>
    <s v="11:47:AM"/>
    <n v="531121352"/>
    <s v="Male"/>
    <s v="Normal"/>
    <s v="Ewallet"/>
    <x v="4"/>
    <n v="9"/>
    <n v="13.35"/>
    <n v="4"/>
    <n v="74.599999999999994"/>
    <n v="118.4068"/>
    <n v="127.08"/>
    <n v="3.8764546470000001"/>
    <n v="60.414999999999999"/>
  </r>
  <r>
    <x v="0"/>
    <x v="0"/>
    <x v="267"/>
    <s v="07:07:AM"/>
    <n v="49762915"/>
    <s v="Female"/>
    <s v="Normal"/>
    <s v="Cash"/>
    <x v="0"/>
    <n v="6"/>
    <n v="62.47"/>
    <n v="4"/>
    <n v="91.35"/>
    <n v="178.81059999999999"/>
    <n v="257.08"/>
    <n v="3.8764546470000001"/>
    <n v="90.152000000000001"/>
  </r>
  <r>
    <x v="2"/>
    <x v="2"/>
    <x v="305"/>
    <s v="05:15:AM"/>
    <n v="955016082"/>
    <s v="Male"/>
    <s v="Normal"/>
    <s v="Ewallet"/>
    <x v="0"/>
    <n v="4.4000000000000004"/>
    <n v="13.73"/>
    <n v="2"/>
    <n v="48.63"/>
    <n v="152.27979999999999"/>
    <n v="139.02000000000001"/>
    <n v="3.8764546470000001"/>
    <n v="78.730999999999995"/>
  </r>
  <r>
    <x v="1"/>
    <x v="1"/>
    <x v="398"/>
    <s v="08:38:AM"/>
    <n v="788192973"/>
    <s v="Male"/>
    <s v="Normal"/>
    <s v="Cash"/>
    <x v="4"/>
    <n v="5.7"/>
    <n v="82.156999999999996"/>
    <n v="3"/>
    <n v="61.78"/>
    <n v="149.6523"/>
    <n v="81.66"/>
    <n v="3.8764546470000001"/>
    <n v="36.17"/>
  </r>
  <r>
    <x v="0"/>
    <x v="0"/>
    <x v="399"/>
    <s v="05:01:AM"/>
    <n v="356350431"/>
    <s v="Female"/>
    <s v="Member"/>
    <s v="Cash"/>
    <x v="0"/>
    <n v="2.6"/>
    <n v="41.378"/>
    <n v="4"/>
    <n v="96.46"/>
    <n v="136.13999999999999"/>
    <n v="310.72000000000003"/>
    <n v="3.8764546470000001"/>
    <n v="10.02"/>
  </r>
  <r>
    <x v="1"/>
    <x v="1"/>
    <x v="400"/>
    <s v="03:59:PM"/>
    <n v="692156283"/>
    <s v="Female"/>
    <s v="Member"/>
    <s v="Credit card"/>
    <x v="5"/>
    <n v="3.2"/>
    <n v="34.537999999999997"/>
    <n v="2"/>
    <n v="68.95"/>
    <n v="139.6892"/>
    <n v="185.96"/>
    <n v="3.8764546470000001"/>
    <n v="60.06"/>
  </r>
  <r>
    <x v="2"/>
    <x v="2"/>
    <x v="231"/>
    <s v="01:03:AM"/>
    <n v="369667308"/>
    <s v="Female"/>
    <s v="Member"/>
    <s v="Credit card"/>
    <x v="5"/>
    <n v="1.7"/>
    <n v="72.03"/>
    <n v="4"/>
    <n v="91.44"/>
    <n v="148.0264"/>
    <n v="72.319999999999993"/>
    <n v="3.8764546470000001"/>
    <n v="83.2"/>
  </r>
  <r>
    <x v="2"/>
    <x v="2"/>
    <x v="382"/>
    <s v="12:15:PM"/>
    <n v="357062624"/>
    <s v="Male"/>
    <s v="Normal"/>
    <s v="Ewallet"/>
    <x v="3"/>
    <n v="8.5"/>
    <n v="83.76"/>
    <n v="3"/>
    <n v="38.299999999999997"/>
    <n v="155.47669999999999"/>
    <n v="189.18"/>
    <n v="3.8764546470000001"/>
    <n v="82.75"/>
  </r>
  <r>
    <x v="0"/>
    <x v="0"/>
    <x v="401"/>
    <s v="05:44:PM"/>
    <n v="178384407"/>
    <s v="Male"/>
    <s v="Normal"/>
    <s v="Credit card"/>
    <x v="0"/>
    <n v="6"/>
    <n v="84.38"/>
    <n v="4"/>
    <n v="87.25"/>
    <n v="107.94199999999999"/>
    <n v="206.84"/>
    <n v="3.8764546470000001"/>
    <n v="54.96"/>
  </r>
  <r>
    <x v="0"/>
    <x v="0"/>
    <x v="402"/>
    <s v="03:37:AM"/>
    <n v="338640010"/>
    <s v="Female"/>
    <s v="Normal"/>
    <s v="Cash"/>
    <x v="4"/>
    <n v="2.8"/>
    <n v="29.47"/>
    <n v="3"/>
    <n v="29.5"/>
    <n v="161.44579999999999"/>
    <n v="157.02000000000001"/>
    <n v="3.8764546470000001"/>
    <n v="69.959999999999994"/>
  </r>
  <r>
    <x v="0"/>
    <x v="0"/>
    <x v="40"/>
    <s v="07:36:PM"/>
    <n v="229065859"/>
    <s v="Female"/>
    <s v="Normal"/>
    <s v="Ewallet"/>
    <x v="3"/>
    <n v="9.9"/>
    <n v="93.46"/>
    <n v="5"/>
    <n v="41.4"/>
    <n v="138.9211"/>
    <n v="215.3"/>
    <n v="3.8764546470000001"/>
    <n v="79.650000000000006"/>
  </r>
  <r>
    <x v="1"/>
    <x v="1"/>
    <x v="403"/>
    <s v="08:38:AM"/>
    <n v="699660890"/>
    <s v="Male"/>
    <s v="Normal"/>
    <s v="Cash"/>
    <x v="5"/>
    <n v="1.5"/>
    <n v="87.7"/>
    <n v="10"/>
    <n v="31.54"/>
    <n v="175.4847"/>
    <n v="596.1"/>
    <n v="3.8764546470000001"/>
    <n v="50.311"/>
  </r>
  <r>
    <x v="0"/>
    <x v="0"/>
    <x v="404"/>
    <s v="12:00:AM"/>
    <n v="475903306"/>
    <s v="Male"/>
    <s v="Normal"/>
    <s v="Cash"/>
    <x v="0"/>
    <n v="1.1000000000000001"/>
    <n v="40.92"/>
    <n v="5"/>
    <n v="96.45"/>
    <n v="175.30459999999999"/>
    <n v="73.099999999999994"/>
    <n v="3.8764546470000001"/>
    <n v="94.864999999999995"/>
  </r>
  <r>
    <x v="1"/>
    <x v="1"/>
    <x v="394"/>
    <s v="07:42:AM"/>
    <n v="48222594"/>
    <s v="Male"/>
    <s v="Member"/>
    <s v="Credit card"/>
    <x v="0"/>
    <n v="7"/>
    <n v="28.14"/>
    <n v="6"/>
    <n v="75.150000000000006"/>
    <n v="107.7501"/>
    <n v="279.18"/>
    <n v="3.8764546470000001"/>
    <n v="53.381999999999998"/>
  </r>
  <r>
    <x v="1"/>
    <x v="1"/>
    <x v="194"/>
    <s v="07:08:PM"/>
    <n v="950406098"/>
    <s v="Female"/>
    <s v="Member"/>
    <s v="Ewallet"/>
    <x v="2"/>
    <n v="2"/>
    <n v="19.23"/>
    <n v="7"/>
    <n v="74.12"/>
    <n v="133.84479999999999"/>
    <n v="169.68"/>
    <n v="3.8764546470000001"/>
    <n v="53.738999999999997"/>
  </r>
  <r>
    <x v="0"/>
    <x v="0"/>
    <x v="405"/>
    <s v="01:31:AM"/>
    <n v="705045152"/>
    <s v="Female"/>
    <s v="Member"/>
    <s v="Cash"/>
    <x v="3"/>
    <n v="6"/>
    <n v="43.97"/>
    <n v="1"/>
    <n v="45.25"/>
    <n v="126.75660000000001"/>
    <n v="45.58"/>
    <n v="3.8764546470000001"/>
    <n v="96.638000000000005"/>
  </r>
  <r>
    <x v="0"/>
    <x v="0"/>
    <x v="33"/>
    <s v="06:53:AM"/>
    <n v="894319989"/>
    <s v="Female"/>
    <s v="Member"/>
    <s v="Ewallet"/>
    <x v="3"/>
    <n v="5"/>
    <n v="28.96"/>
    <n v="3"/>
    <n v="39.9"/>
    <n v="182.49109999999999"/>
    <n v="225.6"/>
    <n v="3.8764546470000001"/>
    <n v="41.634999999999998"/>
  </r>
  <r>
    <x v="2"/>
    <x v="2"/>
    <x v="286"/>
    <s v="08:52:AM"/>
    <n v="525893836"/>
    <s v="Male"/>
    <s v="Member"/>
    <s v="Cash"/>
    <x v="3"/>
    <n v="1"/>
    <n v="94.421999999999997"/>
    <n v="3"/>
    <n v="30.67"/>
    <n v="130.6146"/>
    <n v="290.39999999999998"/>
    <n v="3.8764546470000001"/>
    <n v="82.828999999999994"/>
  </r>
  <r>
    <x v="2"/>
    <x v="2"/>
    <x v="165"/>
    <s v="11:19:AM"/>
    <n v="24282435"/>
    <s v="Male"/>
    <s v="Normal"/>
    <s v="Credit card"/>
    <x v="0"/>
    <n v="5.9"/>
    <n v="47.31"/>
    <n v="3"/>
    <n v="28"/>
    <n v="104.02"/>
    <n v="44.46"/>
    <n v="3.8764546470000001"/>
    <n v="35.494"/>
  </r>
  <r>
    <x v="0"/>
    <x v="0"/>
    <x v="11"/>
    <s v="10:37:AM"/>
    <n v="966696646"/>
    <s v="Male"/>
    <s v="Normal"/>
    <s v="Credit card"/>
    <x v="4"/>
    <n v="7.4"/>
    <n v="51.41"/>
    <n v="3"/>
    <n v="83.99"/>
    <n v="110.13379999999999"/>
    <n v="156.6"/>
    <n v="3.8764546470000001"/>
    <n v="55.14"/>
  </r>
  <r>
    <x v="1"/>
    <x v="1"/>
    <x v="223"/>
    <s v="06:25:AM"/>
    <n v="531470453"/>
    <s v="Female"/>
    <s v="Normal"/>
    <s v="Ewallet"/>
    <x v="3"/>
    <n v="6.3"/>
    <n v="62.81"/>
    <n v="9"/>
    <n v="23.08"/>
    <n v="183.35570000000001"/>
    <n v="419.94"/>
    <n v="3.8764546470000001"/>
    <n v="88.15"/>
  </r>
  <r>
    <x v="1"/>
    <x v="1"/>
    <x v="353"/>
    <s v="06:04:AM"/>
    <n v="741752260"/>
    <s v="Female"/>
    <s v="Normal"/>
    <s v="Cash"/>
    <x v="5"/>
    <n v="8.4"/>
    <n v="18.46"/>
    <n v="5"/>
    <n v="13.48"/>
    <n v="134.47739999999999"/>
    <n v="184.25"/>
    <n v="3.8764546470000001"/>
    <n v="40.451000000000001"/>
  </r>
  <r>
    <x v="0"/>
    <x v="0"/>
    <x v="208"/>
    <s v="02:20:AM"/>
    <n v="311166911"/>
    <s v="Female"/>
    <s v="Member"/>
    <s v="Ewallet"/>
    <x v="2"/>
    <n v="2.9"/>
    <n v="13.9"/>
    <n v="2"/>
    <n v="89.11"/>
    <n v="103.2863"/>
    <n v="140.63999999999999"/>
    <n v="3.8764546470000001"/>
    <n v="56.637"/>
  </r>
  <r>
    <x v="1"/>
    <x v="1"/>
    <x v="187"/>
    <s v="01:46:PM"/>
    <n v="404489167"/>
    <s v="Male"/>
    <s v="Normal"/>
    <s v="Ewallet"/>
    <x v="1"/>
    <n v="3"/>
    <n v="54.59"/>
    <n v="1"/>
    <n v="65.099999999999994"/>
    <n v="150.66300000000001"/>
    <n v="83.08"/>
    <n v="3.8764546470000001"/>
    <n v="99.68"/>
  </r>
  <r>
    <x v="1"/>
    <x v="1"/>
    <x v="406"/>
    <s v="11:55:PM"/>
    <n v="601253394"/>
    <s v="Female"/>
    <s v="Normal"/>
    <s v="Credit card"/>
    <x v="5"/>
    <n v="2"/>
    <n v="20.376000000000001"/>
    <n v="1"/>
    <n v="94.37"/>
    <n v="161.66409999999999"/>
    <n v="64.989999999999995"/>
    <n v="3.8764546470000001"/>
    <n v="73.188000000000002"/>
  </r>
  <r>
    <x v="1"/>
    <x v="1"/>
    <x v="407"/>
    <s v="03:45:PM"/>
    <n v="278046105"/>
    <s v="Male"/>
    <s v="Normal"/>
    <s v="Ewallet"/>
    <x v="4"/>
    <n v="3"/>
    <n v="92.944999999999993"/>
    <n v="10"/>
    <n v="45.65"/>
    <n v="178.9752"/>
    <n v="775.6"/>
    <n v="3.8764546470000001"/>
    <n v="27.335999999999999"/>
  </r>
  <r>
    <x v="2"/>
    <x v="2"/>
    <x v="246"/>
    <s v="02:14:PM"/>
    <n v="425547522"/>
    <s v="Female"/>
    <s v="Normal"/>
    <s v="Ewallet"/>
    <x v="3"/>
    <n v="7.9"/>
    <n v="53.997"/>
    <n v="6"/>
    <n v="70.73"/>
    <n v="167.4444"/>
    <n v="327.06"/>
    <n v="3.8764546470000001"/>
    <n v="29.867000000000001"/>
  </r>
  <r>
    <x v="1"/>
    <x v="1"/>
    <x v="28"/>
    <s v="02:21:PM"/>
    <n v="258773957"/>
    <s v="Female"/>
    <s v="Member"/>
    <s v="Cash"/>
    <x v="5"/>
    <n v="7"/>
    <n v="81.379000000000005"/>
    <n v="7"/>
    <n v="57.7"/>
    <n v="115.80240000000001"/>
    <n v="363.23"/>
    <n v="3.8764546470000001"/>
    <n v="27.231999999999999"/>
  </r>
  <r>
    <x v="2"/>
    <x v="2"/>
    <x v="242"/>
    <s v="02:07:PM"/>
    <n v="306168911"/>
    <s v="Male"/>
    <s v="Normal"/>
    <s v="Cash"/>
    <x v="2"/>
    <n v="7.1"/>
    <n v="61.404000000000003"/>
    <n v="4"/>
    <n v="29.85"/>
    <n v="151.6858"/>
    <n v="127"/>
    <n v="3.8764546470000001"/>
    <n v="61.423999999999999"/>
  </r>
  <r>
    <x v="0"/>
    <x v="0"/>
    <x v="150"/>
    <s v="02:20:AM"/>
    <n v="335303165"/>
    <s v="Female"/>
    <s v="Member"/>
    <s v="Ewallet"/>
    <x v="5"/>
    <n v="7.8"/>
    <n v="50.18"/>
    <n v="7"/>
    <n v="10.89"/>
    <n v="151.53479999999999"/>
    <n v="375.55"/>
    <n v="3.8764546470000001"/>
    <n v="55.35"/>
  </r>
  <r>
    <x v="1"/>
    <x v="1"/>
    <x v="408"/>
    <s v="04:20:PM"/>
    <n v="732298978"/>
    <s v="Female"/>
    <s v="Member"/>
    <s v="Credit card"/>
    <x v="4"/>
    <n v="8"/>
    <n v="38.85"/>
    <n v="4"/>
    <n v="59.78"/>
    <n v="130.25069999999999"/>
    <n v="199.16"/>
    <n v="3.8764546470000001"/>
    <n v="65.569999999999993"/>
  </r>
  <r>
    <x v="0"/>
    <x v="0"/>
    <x v="247"/>
    <s v="10:31:PM"/>
    <n v="217906599"/>
    <s v="Male"/>
    <s v="Normal"/>
    <s v="Ewallet"/>
    <x v="5"/>
    <n v="8"/>
    <n v="87.49"/>
    <n v="1"/>
    <n v="91.8"/>
    <n v="119.45910000000001"/>
    <n v="30.61"/>
    <n v="3.8764546470000001"/>
    <n v="59.58"/>
  </r>
  <r>
    <x v="2"/>
    <x v="2"/>
    <x v="118"/>
    <s v="09:06:AM"/>
    <n v="971438399"/>
    <s v="Male"/>
    <s v="Member"/>
    <s v="Ewallet"/>
    <x v="4"/>
    <n v="9"/>
    <n v="10.01"/>
    <n v="2"/>
    <n v="12.7"/>
    <n v="166.26589999999999"/>
    <n v="115.78"/>
    <n v="3.8764546470000001"/>
    <n v="76.53"/>
  </r>
  <r>
    <x v="0"/>
    <x v="0"/>
    <x v="380"/>
    <s v="03:09:AM"/>
    <n v="345186818"/>
    <s v="Female"/>
    <s v="Normal"/>
    <s v="Credit card"/>
    <x v="1"/>
    <n v="8.3000000000000007"/>
    <n v="88.11"/>
    <n v="1"/>
    <n v="85.45"/>
    <n v="112.4396"/>
    <n v="28.96"/>
    <n v="3.8764546470000001"/>
    <n v="95.298000000000002"/>
  </r>
  <r>
    <x v="1"/>
    <x v="1"/>
    <x v="175"/>
    <s v="11:13:PM"/>
    <n v="920442587"/>
    <s v="Female"/>
    <s v="Member"/>
    <s v="Cash"/>
    <x v="4"/>
    <n v="5.5"/>
    <n v="40.700000000000003"/>
    <n v="9"/>
    <n v="10.76"/>
    <n v="125.4205"/>
    <n v="890.73"/>
    <n v="3.8764546470000001"/>
    <n v="40.619999999999997"/>
  </r>
  <r>
    <x v="2"/>
    <x v="2"/>
    <x v="203"/>
    <s v="11:33:AM"/>
    <n v="45061474"/>
    <s v="Male"/>
    <s v="Member"/>
    <s v="Cash"/>
    <x v="5"/>
    <n v="1.6"/>
    <n v="73.09"/>
    <n v="3"/>
    <n v="97.06"/>
    <n v="176.73939999999999"/>
    <n v="279.66000000000003"/>
    <n v="3.8764546470000001"/>
    <n v="14.045999999999999"/>
  </r>
  <r>
    <x v="1"/>
    <x v="1"/>
    <x v="136"/>
    <s v="12:21:AM"/>
    <n v="802685071"/>
    <s v="Male"/>
    <s v="Member"/>
    <s v="Credit card"/>
    <x v="3"/>
    <n v="4.4000000000000004"/>
    <n v="50.933"/>
    <n v="1"/>
    <n v="37.299999999999997"/>
    <n v="100.53660000000001"/>
    <n v="80.930000000000007"/>
    <n v="3.8764546470000001"/>
    <n v="99.813000000000002"/>
  </r>
  <r>
    <x v="0"/>
    <x v="0"/>
    <x v="409"/>
    <s v="10:24:PM"/>
    <n v="465424860"/>
    <s v="Male"/>
    <s v="Member"/>
    <s v="Ewallet"/>
    <x v="4"/>
    <n v="3.1"/>
    <n v="48.972999999999999"/>
    <n v="10"/>
    <n v="45.65"/>
    <n v="171.09010000000001"/>
    <n v="674.5"/>
    <n v="3.8764546470000001"/>
    <n v="18.3"/>
  </r>
  <r>
    <x v="0"/>
    <x v="0"/>
    <x v="224"/>
    <s v="12:21:AM"/>
    <n v="174908803"/>
    <s v="Female"/>
    <s v="Member"/>
    <s v="Ewallet"/>
    <x v="3"/>
    <n v="3.9"/>
    <n v="26.103000000000002"/>
    <n v="9"/>
    <n v="85.28"/>
    <n v="171.02269999999999"/>
    <n v="348.48"/>
    <n v="3.8764546470000001"/>
    <n v="25.844999999999999"/>
  </r>
  <r>
    <x v="2"/>
    <x v="2"/>
    <x v="43"/>
    <s v="02:27:AM"/>
    <n v="885606498"/>
    <s v="Male"/>
    <s v="Member"/>
    <s v="Cash"/>
    <x v="3"/>
    <n v="2.8"/>
    <n v="56.643000000000001"/>
    <n v="6"/>
    <n v="16.04"/>
    <n v="172.2166"/>
    <n v="435.6"/>
    <n v="3.8764546470000001"/>
    <n v="91.646000000000001"/>
  </r>
  <r>
    <x v="1"/>
    <x v="1"/>
    <x v="268"/>
    <s v="12:29:PM"/>
    <n v="843619464"/>
    <s v="Male"/>
    <s v="Member"/>
    <s v="Ewallet"/>
    <x v="1"/>
    <n v="1.7"/>
    <n v="48.75"/>
    <n v="5"/>
    <n v="51.94"/>
    <n v="117.3981"/>
    <n v="439.55"/>
    <n v="3.8764546470000001"/>
    <n v="76.44"/>
  </r>
  <r>
    <x v="0"/>
    <x v="0"/>
    <x v="410"/>
    <s v="04:34:PM"/>
    <n v="563523731"/>
    <s v="Male"/>
    <s v="Member"/>
    <s v="Credit card"/>
    <x v="4"/>
    <n v="4"/>
    <n v="88.85"/>
    <n v="6"/>
    <n v="37.049999999999997"/>
    <n v="185.99770000000001"/>
    <n v="591.17999999999995"/>
    <n v="3.8764546470000001"/>
    <n v="65.814999999999998"/>
  </r>
  <r>
    <x v="1"/>
    <x v="1"/>
    <x v="411"/>
    <s v="10:51:AM"/>
    <n v="364010331"/>
    <s v="Female"/>
    <s v="Member"/>
    <s v="Ewallet"/>
    <x v="5"/>
    <n v="9"/>
    <n v="90.84"/>
    <n v="6"/>
    <n v="96.68"/>
    <n v="120.5324"/>
    <n v="260.76"/>
    <n v="3.8764546470000001"/>
    <n v="96.941000000000003"/>
  </r>
  <r>
    <x v="0"/>
    <x v="0"/>
    <x v="371"/>
    <s v="04:41:PM"/>
    <n v="311281746"/>
    <s v="Female"/>
    <s v="Normal"/>
    <s v="Credit card"/>
    <x v="4"/>
    <n v="4"/>
    <n v="42.06"/>
    <n v="3"/>
    <n v="50.05"/>
    <n v="119.82470000000001"/>
    <n v="215.04"/>
    <n v="3.8764546470000001"/>
    <n v="91.67"/>
  </r>
  <r>
    <x v="0"/>
    <x v="0"/>
    <x v="375"/>
    <s v="12:00:AM"/>
    <n v="205078280"/>
    <s v="Female"/>
    <s v="Member"/>
    <s v="Cash"/>
    <x v="4"/>
    <n v="9"/>
    <n v="88.18"/>
    <n v="1"/>
    <n v="71.48"/>
    <n v="124.6"/>
    <n v="91.61"/>
    <n v="3.8764546470000001"/>
    <n v="87.879000000000005"/>
  </r>
  <r>
    <x v="2"/>
    <x v="2"/>
    <x v="412"/>
    <s v="09:28:PM"/>
    <n v="114974040"/>
    <s v="Female"/>
    <s v="Member"/>
    <s v="Credit card"/>
    <x v="2"/>
    <n v="8"/>
    <n v="57.24"/>
    <n v="7"/>
    <n v="50.55"/>
    <n v="121.10250000000001"/>
    <n v="662.13"/>
    <n v="3.8764546470000001"/>
    <n v="79.62"/>
  </r>
  <r>
    <x v="2"/>
    <x v="2"/>
    <x v="413"/>
    <s v="02:14:PM"/>
    <n v="891100308"/>
    <s v="Female"/>
    <s v="Normal"/>
    <s v="Credit card"/>
    <x v="5"/>
    <n v="7"/>
    <n v="97.29"/>
    <n v="10"/>
    <n v="27.29"/>
    <n v="101.6935"/>
    <n v="832.5"/>
    <n v="3.8764546470000001"/>
    <n v="22.343"/>
  </r>
  <r>
    <x v="2"/>
    <x v="2"/>
    <x v="414"/>
    <s v="05:50:AM"/>
    <n v="186389949"/>
    <s v="Male"/>
    <s v="Member"/>
    <s v="Cash"/>
    <x v="5"/>
    <n v="7.2"/>
    <n v="30.84"/>
    <n v="1"/>
    <n v="35.26"/>
    <n v="131.99340000000001"/>
    <n v="91.35"/>
    <n v="3.8764546470000001"/>
    <n v="89.628"/>
  </r>
  <r>
    <x v="2"/>
    <x v="2"/>
    <x v="341"/>
    <s v="10:37:AM"/>
    <n v="963110265"/>
    <s v="Female"/>
    <s v="Member"/>
    <s v="Cash"/>
    <x v="4"/>
    <n v="4.5"/>
    <n v="46.168999999999997"/>
    <n v="2"/>
    <n v="92.08"/>
    <n v="170.83799999999999"/>
    <n v="157.76"/>
    <n v="3.8764546470000001"/>
    <n v="40"/>
  </r>
  <r>
    <x v="0"/>
    <x v="0"/>
    <x v="415"/>
    <s v="09:56:PM"/>
    <n v="981601201"/>
    <s v="Male"/>
    <s v="Normal"/>
    <s v="Ewallet"/>
    <x v="3"/>
    <n v="4.2"/>
    <n v="23.4"/>
    <n v="2"/>
    <n v="76.510000000000005"/>
    <n v="172.54400000000001"/>
    <n v="121.74"/>
    <n v="3.8764546470000001"/>
    <n v="89.59"/>
  </r>
  <r>
    <x v="2"/>
    <x v="2"/>
    <x v="416"/>
    <s v="07:15:PM"/>
    <n v="439222794"/>
    <s v="Male"/>
    <s v="Member"/>
    <s v="Cash"/>
    <x v="0"/>
    <n v="9.8000000000000007"/>
    <n v="39.26"/>
    <n v="10"/>
    <n v="32.57"/>
    <n v="168.91829999999999"/>
    <n v="825.8"/>
    <n v="3.8764546470000001"/>
    <n v="77.22"/>
  </r>
  <r>
    <x v="0"/>
    <x v="0"/>
    <x v="417"/>
    <s v="04:54:AM"/>
    <n v="525880717"/>
    <s v="Male"/>
    <s v="Member"/>
    <s v="Ewallet"/>
    <x v="2"/>
    <n v="9.9"/>
    <n v="97.29"/>
    <n v="3"/>
    <n v="90.61"/>
    <n v="154.0095"/>
    <n v="159.9"/>
    <n v="3.8764546470000001"/>
    <n v="59.8"/>
  </r>
  <r>
    <x v="0"/>
    <x v="0"/>
    <x v="183"/>
    <s v="03:23:AM"/>
    <n v="279616341"/>
    <s v="Female"/>
    <s v="Normal"/>
    <s v="Credit card"/>
    <x v="5"/>
    <n v="5.0999999999999996"/>
    <n v="98.75"/>
    <n v="1"/>
    <n v="51.51"/>
    <n v="173.93719999999999"/>
    <n v="12.09"/>
    <n v="3.8764546470000001"/>
    <n v="22.544"/>
  </r>
  <r>
    <x v="0"/>
    <x v="0"/>
    <x v="418"/>
    <s v="03:51:AM"/>
    <n v="540282534"/>
    <s v="Male"/>
    <s v="Normal"/>
    <s v="Credit card"/>
    <x v="3"/>
    <n v="9"/>
    <n v="90.847999999999999"/>
    <n v="10"/>
    <n v="75.67"/>
    <n v="178.2422"/>
    <n v="641.9"/>
    <n v="3.8764546470000001"/>
    <n v="52.366"/>
  </r>
  <r>
    <x v="0"/>
    <x v="0"/>
    <x v="419"/>
    <s v="02:13:AM"/>
    <n v="381407134"/>
    <s v="Male"/>
    <s v="Normal"/>
    <s v="Ewallet"/>
    <x v="1"/>
    <n v="1.5"/>
    <n v="20.81"/>
    <n v="3"/>
    <n v="46.67"/>
    <n v="142.8143"/>
    <n v="234.93"/>
    <n v="3.8764546470000001"/>
    <n v="12.18"/>
  </r>
  <r>
    <x v="0"/>
    <x v="0"/>
    <x v="32"/>
    <s v="06:54:PM"/>
    <n v="80650156"/>
    <s v="Male"/>
    <s v="Member"/>
    <s v="Credit card"/>
    <x v="4"/>
    <n v="5"/>
    <n v="65.47"/>
    <n v="2"/>
    <n v="65.400000000000006"/>
    <n v="167.32759999999999"/>
    <n v="167.54"/>
    <n v="3.8764546470000001"/>
    <n v="52.694000000000003"/>
  </r>
  <r>
    <x v="2"/>
    <x v="2"/>
    <x v="420"/>
    <s v="08:32:PM"/>
    <n v="250135919"/>
    <s v="Male"/>
    <s v="Normal"/>
    <s v="Ewallet"/>
    <x v="2"/>
    <n v="3"/>
    <n v="64.08"/>
    <n v="3"/>
    <n v="47.67"/>
    <n v="132.66730000000001"/>
    <n v="299.10000000000002"/>
    <n v="3.8764546470000001"/>
    <n v="63.156999999999996"/>
  </r>
  <r>
    <x v="2"/>
    <x v="2"/>
    <x v="421"/>
    <s v="08:59:AM"/>
    <n v="889299648"/>
    <s v="Male"/>
    <s v="Member"/>
    <s v="Credit card"/>
    <x v="4"/>
    <n v="4"/>
    <n v="73.5"/>
    <n v="3"/>
    <n v="40.72"/>
    <n v="172.56180000000001"/>
    <n v="239.73"/>
    <n v="3.8764546470000001"/>
    <n v="22.463999999999999"/>
  </r>
  <r>
    <x v="2"/>
    <x v="2"/>
    <x v="285"/>
    <s v="01:03:AM"/>
    <n v="561879663"/>
    <s v="Male"/>
    <s v="Member"/>
    <s v="Credit card"/>
    <x v="0"/>
    <n v="6"/>
    <n v="87.79"/>
    <n v="10"/>
    <n v="72.11"/>
    <n v="105.5073"/>
    <n v="664.7"/>
    <n v="3.8764546470000001"/>
    <n v="63.78"/>
  </r>
  <r>
    <x v="0"/>
    <x v="0"/>
    <x v="422"/>
    <s v="06:05:PM"/>
    <n v="694112518"/>
    <s v="Male"/>
    <s v="Normal"/>
    <s v="Credit card"/>
    <x v="0"/>
    <n v="8"/>
    <n v="84.180999999999997"/>
    <n v="7"/>
    <n v="35.869999999999997"/>
    <n v="124.38979999999999"/>
    <n v="202.65"/>
    <n v="3.8764546470000001"/>
    <n v="71.099999999999994"/>
  </r>
  <r>
    <x v="1"/>
    <x v="1"/>
    <x v="389"/>
    <s v="04:34:PM"/>
    <n v="224299969"/>
    <s v="Female"/>
    <s v="Normal"/>
    <s v="Cash"/>
    <x v="1"/>
    <n v="9"/>
    <n v="25.31"/>
    <n v="1"/>
    <n v="65.680000000000007"/>
    <n v="140.53829999999999"/>
    <n v="46.2"/>
    <n v="3.8764546470000001"/>
    <n v="42.2"/>
  </r>
  <r>
    <x v="2"/>
    <x v="2"/>
    <x v="127"/>
    <s v="02:21:PM"/>
    <n v="113423307"/>
    <s v="Female"/>
    <s v="Member"/>
    <s v="Cash"/>
    <x v="4"/>
    <n v="7"/>
    <n v="28.273"/>
    <n v="5"/>
    <n v="44.16"/>
    <n v="154.9941"/>
    <n v="88.15"/>
    <n v="3.8764546470000001"/>
    <n v="71.869"/>
  </r>
  <r>
    <x v="2"/>
    <x v="2"/>
    <x v="423"/>
    <s v="01:17:AM"/>
    <n v="971325317"/>
    <s v="Male"/>
    <s v="Normal"/>
    <s v="Ewallet"/>
    <x v="5"/>
    <n v="9.8000000000000007"/>
    <n v="67.966999999999999"/>
    <n v="3"/>
    <n v="57.12"/>
    <n v="188.70650000000001"/>
    <n v="157.26"/>
    <n v="3.8764546470000001"/>
    <n v="37.17"/>
  </r>
  <r>
    <x v="2"/>
    <x v="2"/>
    <x v="56"/>
    <s v="10:09:AM"/>
    <n v="627707224"/>
    <s v="Female"/>
    <s v="Member"/>
    <s v="Ewallet"/>
    <x v="4"/>
    <n v="1.8"/>
    <n v="23.905000000000001"/>
    <n v="3"/>
    <n v="23.42"/>
    <n v="148.2929"/>
    <n v="296.37"/>
    <n v="3.8764546470000001"/>
    <n v="36.994"/>
  </r>
  <r>
    <x v="1"/>
    <x v="1"/>
    <x v="424"/>
    <s v="02:49:PM"/>
    <n v="960940012"/>
    <s v="Female"/>
    <s v="Member"/>
    <s v="Ewallet"/>
    <x v="1"/>
    <n v="9.8000000000000007"/>
    <n v="66.897999999999996"/>
    <n v="8"/>
    <n v="38.97"/>
    <n v="112.9753"/>
    <n v="708.4"/>
    <n v="3.8764546470000001"/>
    <n v="26.04"/>
  </r>
  <r>
    <x v="2"/>
    <x v="2"/>
    <x v="51"/>
    <s v="03:23:AM"/>
    <n v="349429145"/>
    <s v="Male"/>
    <s v="Member"/>
    <s v="Ewallet"/>
    <x v="1"/>
    <n v="9.4"/>
    <n v="94.93"/>
    <n v="2"/>
    <n v="64.22"/>
    <n v="157.25450000000001"/>
    <n v="111.34"/>
    <n v="3.8764546470000001"/>
    <n v="92.361000000000004"/>
  </r>
  <r>
    <x v="1"/>
    <x v="1"/>
    <x v="69"/>
    <s v="03:51:AM"/>
    <n v="162259318"/>
    <s v="Female"/>
    <s v="Member"/>
    <s v="Credit card"/>
    <x v="4"/>
    <n v="7.1"/>
    <n v="19.66"/>
    <n v="8"/>
    <n v="25.85"/>
    <n v="100.1407"/>
    <n v="580.16"/>
    <n v="3.8764546470000001"/>
    <n v="95.819000000000003"/>
  </r>
  <r>
    <x v="1"/>
    <x v="1"/>
    <x v="425"/>
    <s v="01:10:AM"/>
    <n v="836570357"/>
    <s v="Male"/>
    <s v="Member"/>
    <s v="Ewallet"/>
    <x v="1"/>
    <n v="3.4"/>
    <n v="84.37"/>
    <n v="5"/>
    <n v="67.16"/>
    <n v="155.37780000000001"/>
    <n v="60.25"/>
    <n v="3.8764546470000001"/>
    <n v="54.09"/>
  </r>
  <r>
    <x v="0"/>
    <x v="0"/>
    <x v="426"/>
    <s v="05:15:AM"/>
    <n v="555772263"/>
    <s v="Male"/>
    <s v="Member"/>
    <s v="Ewallet"/>
    <x v="2"/>
    <n v="7.1"/>
    <n v="24.417000000000002"/>
    <n v="9"/>
    <n v="78.680000000000007"/>
    <n v="127.8419"/>
    <n v="174.24"/>
    <n v="3.8764546470000001"/>
    <n v="91.793999999999997"/>
  </r>
  <r>
    <x v="1"/>
    <x v="1"/>
    <x v="427"/>
    <s v="06:39:AM"/>
    <n v="525280730"/>
    <s v="Male"/>
    <s v="Normal"/>
    <s v="Cash"/>
    <x v="0"/>
    <n v="1.7"/>
    <n v="22.69"/>
    <n v="6"/>
    <n v="32.57"/>
    <n v="159.536"/>
    <n v="421.26"/>
    <n v="3.8764546470000001"/>
    <n v="49.892000000000003"/>
  </r>
  <r>
    <x v="2"/>
    <x v="2"/>
    <x v="428"/>
    <s v="01:59:AM"/>
    <n v="26855131"/>
    <s v="Male"/>
    <s v="Member"/>
    <s v="Cash"/>
    <x v="5"/>
    <n v="4.2"/>
    <n v="65.16"/>
    <n v="1"/>
    <n v="16.32"/>
    <n v="152.4905"/>
    <n v="33.630000000000003"/>
    <n v="3.8764546470000001"/>
    <n v="35.034999999999997"/>
  </r>
  <r>
    <x v="1"/>
    <x v="1"/>
    <x v="391"/>
    <s v="05:01:AM"/>
    <n v="17548163"/>
    <s v="Female"/>
    <s v="Member"/>
    <s v="Cash"/>
    <x v="3"/>
    <n v="3"/>
    <n v="91.9"/>
    <n v="2"/>
    <n v="37.619999999999997"/>
    <n v="178.18"/>
    <n v="30.98"/>
    <n v="3.8764546470000001"/>
    <n v="24.751000000000001"/>
  </r>
  <r>
    <x v="1"/>
    <x v="1"/>
    <x v="395"/>
    <s v="08:31:AM"/>
    <n v="329445766"/>
    <s v="Male"/>
    <s v="Normal"/>
    <s v="Cash"/>
    <x v="1"/>
    <n v="8"/>
    <n v="24.28"/>
    <n v="10"/>
    <n v="92.36"/>
    <n v="122.8023"/>
    <n v="247.4"/>
    <n v="3.8764546470000001"/>
    <n v="21.7"/>
  </r>
  <r>
    <x v="2"/>
    <x v="2"/>
    <x v="279"/>
    <s v="11:06:PM"/>
    <n v="397068132"/>
    <s v="Male"/>
    <s v="Normal"/>
    <s v="Ewallet"/>
    <x v="1"/>
    <n v="3"/>
    <n v="56.93"/>
    <n v="5"/>
    <n v="17.399999999999999"/>
    <n v="162.59710000000001"/>
    <n v="378.3"/>
    <n v="3.8764546470000001"/>
    <n v="30.12"/>
  </r>
  <r>
    <x v="2"/>
    <x v="2"/>
    <x v="429"/>
    <s v="09:34:AM"/>
    <n v="609899287"/>
    <s v="Female"/>
    <s v="Normal"/>
    <s v="Cash"/>
    <x v="0"/>
    <n v="5"/>
    <n v="36.659999999999997"/>
    <n v="6"/>
    <n v="10.11"/>
    <n v="186.9615"/>
    <n v="334.86"/>
    <n v="3.8764546470000001"/>
    <n v="95.218999999999994"/>
  </r>
  <r>
    <x v="0"/>
    <x v="0"/>
    <x v="430"/>
    <s v="09:07:PM"/>
    <n v="263910427"/>
    <s v="Male"/>
    <s v="Member"/>
    <s v="Cash"/>
    <x v="2"/>
    <n v="9"/>
    <n v="52.357999999999997"/>
    <n v="10"/>
    <n v="46.55"/>
    <n v="184.54849999999999"/>
    <n v="727.8"/>
    <n v="3.8764546470000001"/>
    <n v="45.918999999999997"/>
  </r>
  <r>
    <x v="2"/>
    <x v="2"/>
    <x v="196"/>
    <s v="04:47:AM"/>
    <n v="496845852"/>
    <s v="Male"/>
    <s v="Member"/>
    <s v="Ewallet"/>
    <x v="3"/>
    <n v="6.6"/>
    <n v="21.986000000000001"/>
    <n v="9"/>
    <n v="87.52"/>
    <n v="133.24160000000001"/>
    <n v="335.88"/>
    <n v="3.8764546470000001"/>
    <n v="66.641000000000005"/>
  </r>
  <r>
    <x v="2"/>
    <x v="2"/>
    <x v="321"/>
    <s v="02:55:AM"/>
    <n v="846252231"/>
    <s v="Male"/>
    <s v="Member"/>
    <s v="Credit card"/>
    <x v="5"/>
    <n v="2.5"/>
    <n v="53.04"/>
    <n v="4"/>
    <n v="78.349999999999994"/>
    <n v="134.20699999999999"/>
    <n v="240.72"/>
    <n v="3.8764546470000001"/>
    <n v="98.85"/>
  </r>
  <r>
    <x v="0"/>
    <x v="0"/>
    <x v="331"/>
    <s v="10:24:PM"/>
    <n v="592373733"/>
    <s v="Female"/>
    <s v="Normal"/>
    <s v="Credit card"/>
    <x v="1"/>
    <n v="3.9"/>
    <n v="65.819999999999993"/>
    <n v="3"/>
    <n v="48.99"/>
    <n v="110.7878"/>
    <n v="47.07"/>
    <n v="3.8764546470000001"/>
    <n v="70.98"/>
  </r>
  <r>
    <x v="1"/>
    <x v="1"/>
    <x v="431"/>
    <s v="05:16:PM"/>
    <n v="928123929"/>
    <s v="Female"/>
    <s v="Normal"/>
    <s v="Credit card"/>
    <x v="1"/>
    <n v="4.7"/>
    <n v="46.19"/>
    <n v="1"/>
    <n v="82.11"/>
    <n v="175.7885"/>
    <n v="99.69"/>
    <n v="3.8764546470000001"/>
    <n v="17.059999999999999"/>
  </r>
  <r>
    <x v="0"/>
    <x v="0"/>
    <x v="432"/>
    <s v="02:27:AM"/>
    <n v="752385178"/>
    <s v="Female"/>
    <s v="Member"/>
    <s v="Ewallet"/>
    <x v="5"/>
    <n v="3"/>
    <n v="26.56"/>
    <n v="3"/>
    <n v="29.89"/>
    <n v="178.6045"/>
    <n v="264.45"/>
    <n v="3.8764546470000001"/>
    <n v="98.24"/>
  </r>
  <r>
    <x v="0"/>
    <x v="0"/>
    <x v="136"/>
    <s v="11:27:PM"/>
    <n v="135192382"/>
    <s v="Female"/>
    <s v="Member"/>
    <s v="Cash"/>
    <x v="3"/>
    <n v="10"/>
    <n v="15.65"/>
    <n v="5"/>
    <n v="86.98"/>
    <n v="108.85250000000001"/>
    <n v="139.65"/>
    <n v="3.8764546470000001"/>
    <n v="34.56"/>
  </r>
  <r>
    <x v="0"/>
    <x v="0"/>
    <x v="404"/>
    <s v="11:41:PM"/>
    <n v="70373976"/>
    <s v="Male"/>
    <s v="Member"/>
    <s v="Credit card"/>
    <x v="5"/>
    <n v="5.5"/>
    <n v="23.094000000000001"/>
    <n v="1"/>
    <n v="12.66"/>
    <n v="112.8044"/>
    <n v="55.45"/>
    <n v="3.8764546470000001"/>
    <n v="25.52"/>
  </r>
  <r>
    <x v="2"/>
    <x v="2"/>
    <x v="425"/>
    <s v="03:02:AM"/>
    <n v="923566754"/>
    <s v="Female"/>
    <s v="Normal"/>
    <s v="Cash"/>
    <x v="3"/>
    <n v="8.4"/>
    <n v="69.739999999999995"/>
    <n v="3"/>
    <n v="51.77"/>
    <n v="176.68430000000001"/>
    <n v="128.91"/>
    <n v="3.8764546470000001"/>
    <n v="23.1"/>
  </r>
  <r>
    <x v="1"/>
    <x v="1"/>
    <x v="137"/>
    <s v="02:27:AM"/>
    <n v="630942492"/>
    <s v="Male"/>
    <s v="Member"/>
    <s v="Credit card"/>
    <x v="3"/>
    <n v="9.8000000000000007"/>
    <n v="79.19"/>
    <n v="7"/>
    <n v="48.57"/>
    <n v="105.834"/>
    <n v="119.98"/>
    <n v="3.8764546470000001"/>
    <n v="13.436"/>
  </r>
  <r>
    <x v="2"/>
    <x v="2"/>
    <x v="213"/>
    <s v="03:51:AM"/>
    <n v="931610038"/>
    <s v="Female"/>
    <s v="Member"/>
    <s v="Credit card"/>
    <x v="5"/>
    <n v="8.6999999999999993"/>
    <n v="62.44"/>
    <n v="6"/>
    <n v="22.5"/>
    <n v="104.1781"/>
    <n v="352.5"/>
    <n v="3.8764546470000001"/>
    <n v="18.401"/>
  </r>
  <r>
    <x v="1"/>
    <x v="1"/>
    <x v="34"/>
    <s v="03:30:AM"/>
    <n v="727481849"/>
    <s v="Female"/>
    <s v="Member"/>
    <s v="Credit card"/>
    <x v="4"/>
    <n v="6.5"/>
    <n v="16.91"/>
    <n v="10"/>
    <n v="10.95"/>
    <n v="188.44829999999999"/>
    <n v="871"/>
    <n v="3.8764546470000001"/>
    <n v="62.277999999999999"/>
  </r>
  <r>
    <x v="1"/>
    <x v="1"/>
    <x v="95"/>
    <s v="08:24:AM"/>
    <n v="485757880"/>
    <s v="Female"/>
    <s v="Normal"/>
    <s v="Cash"/>
    <x v="3"/>
    <n v="3"/>
    <n v="47.442"/>
    <n v="2"/>
    <n v="67.63"/>
    <n v="110.0992"/>
    <n v="197.6"/>
    <n v="3.8764546470000001"/>
    <n v="41.628"/>
  </r>
  <r>
    <x v="0"/>
    <x v="0"/>
    <x v="433"/>
    <s v="11:06:PM"/>
    <n v="891402004"/>
    <s v="Female"/>
    <s v="Normal"/>
    <s v="Ewallet"/>
    <x v="5"/>
    <n v="9.9"/>
    <n v="95.394000000000005"/>
    <n v="4"/>
    <n v="55.94"/>
    <n v="157.77449999999999"/>
    <n v="194.52"/>
    <n v="3.8764546470000001"/>
    <n v="82.311000000000007"/>
  </r>
  <r>
    <x v="2"/>
    <x v="2"/>
    <x v="434"/>
    <s v="03:45:PM"/>
    <n v="870822358"/>
    <s v="Male"/>
    <s v="Member"/>
    <s v="Ewallet"/>
    <x v="4"/>
    <n v="3.8"/>
    <n v="74.100999999999999"/>
    <n v="3"/>
    <n v="91.97"/>
    <n v="127.3995"/>
    <n v="173.22"/>
    <n v="3.8764546470000001"/>
    <n v="58.7"/>
  </r>
  <r>
    <x v="2"/>
    <x v="2"/>
    <x v="435"/>
    <s v="08:25:PM"/>
    <n v="257055814"/>
    <s v="Female"/>
    <s v="Normal"/>
    <s v="Ewallet"/>
    <x v="0"/>
    <n v="2.2999999999999998"/>
    <n v="61.113999999999997"/>
    <n v="4"/>
    <n v="63.58"/>
    <n v="174.6267"/>
    <n v="71.88"/>
    <n v="3.8764546470000001"/>
    <n v="32.15"/>
  </r>
  <r>
    <x v="1"/>
    <x v="1"/>
    <x v="38"/>
    <s v="10:10:PM"/>
    <n v="892402418"/>
    <s v="Female"/>
    <s v="Member"/>
    <s v="Ewallet"/>
    <x v="0"/>
    <n v="1.2"/>
    <n v="59.51"/>
    <n v="6"/>
    <n v="38.79"/>
    <n v="122.72709999999999"/>
    <n v="286.26"/>
    <n v="3.8764546470000001"/>
    <n v="60.33"/>
  </r>
  <r>
    <x v="2"/>
    <x v="2"/>
    <x v="436"/>
    <s v="03:52:PM"/>
    <n v="758299040"/>
    <s v="Female"/>
    <s v="Normal"/>
    <s v="Credit card"/>
    <x v="3"/>
    <n v="5"/>
    <n v="72.959999999999994"/>
    <n v="2"/>
    <n v="62.46"/>
    <n v="162.90199999999999"/>
    <n v="81.239999999999995"/>
    <n v="3.8764546470000001"/>
    <n v="30.34"/>
  </r>
  <r>
    <x v="0"/>
    <x v="0"/>
    <x v="125"/>
    <s v="10:52:PM"/>
    <n v="97348109"/>
    <s v="Male"/>
    <s v="Member"/>
    <s v="Ewallet"/>
    <x v="5"/>
    <n v="3"/>
    <n v="39.159999999999997"/>
    <n v="10"/>
    <n v="17.46"/>
    <n v="164.33680000000001"/>
    <n v="560.4"/>
    <n v="3.8764546470000001"/>
    <n v="40.659999999999997"/>
  </r>
  <r>
    <x v="2"/>
    <x v="2"/>
    <x v="101"/>
    <s v="05:01:AM"/>
    <n v="593886636"/>
    <s v="Male"/>
    <s v="Member"/>
    <s v="Cash"/>
    <x v="4"/>
    <n v="3"/>
    <n v="99.686000000000007"/>
    <n v="2"/>
    <n v="14.74"/>
    <n v="177.4"/>
    <n v="186.8"/>
    <n v="3.8764546470000001"/>
    <n v="99.33"/>
  </r>
  <r>
    <x v="2"/>
    <x v="2"/>
    <x v="437"/>
    <s v="08:11:PM"/>
    <n v="655291584"/>
    <s v="Female"/>
    <s v="Normal"/>
    <s v="Ewallet"/>
    <x v="0"/>
    <n v="2"/>
    <n v="21.91"/>
    <n v="3"/>
    <n v="51.14"/>
    <n v="115.7"/>
    <n v="220.23"/>
    <n v="3.8764546470000001"/>
    <n v="44.35"/>
  </r>
  <r>
    <x v="1"/>
    <x v="1"/>
    <x v="211"/>
    <s v="05:08:AM"/>
    <n v="555835078"/>
    <s v="Male"/>
    <s v="Normal"/>
    <s v="Credit card"/>
    <x v="0"/>
    <n v="6"/>
    <n v="35.085000000000001"/>
    <n v="8"/>
    <n v="28.95"/>
    <n v="176"/>
    <n v="269.12"/>
    <n v="3.8764546470000001"/>
    <n v="13.76"/>
  </r>
  <r>
    <x v="0"/>
    <x v="0"/>
    <x v="151"/>
    <s v="08:53:PM"/>
    <n v="645680177"/>
    <s v="Female"/>
    <s v="Normal"/>
    <s v="Credit card"/>
    <x v="1"/>
    <n v="3.5"/>
    <n v="35.14"/>
    <n v="10"/>
    <n v="40.94"/>
    <n v="174.9"/>
    <n v="454.8"/>
    <n v="3.8764546470000001"/>
    <n v="14.2"/>
  </r>
  <r>
    <x v="2"/>
    <x v="2"/>
    <x v="85"/>
    <s v="02:35:PM"/>
    <n v="446018745"/>
    <s v="Male"/>
    <s v="Member"/>
    <s v="Cash"/>
    <x v="5"/>
    <n v="5.5"/>
    <n v="23.602"/>
    <n v="2"/>
    <n v="23.14"/>
    <n v="176.0566"/>
    <n v="167.54"/>
    <n v="3.8764546470000001"/>
    <n v="90.457999999999998"/>
  </r>
  <r>
    <x v="2"/>
    <x v="2"/>
    <x v="250"/>
    <s v="10:52:PM"/>
    <n v="328195368"/>
    <s v="Female"/>
    <s v="Member"/>
    <s v="Credit card"/>
    <x v="3"/>
    <n v="4.8"/>
    <n v="68.08"/>
    <n v="7"/>
    <n v="56.71"/>
    <n v="147.3074"/>
    <n v="448.56"/>
    <n v="3.8764546470000001"/>
    <n v="50.274000000000001"/>
  </r>
  <r>
    <x v="0"/>
    <x v="0"/>
    <x v="438"/>
    <s v="01:38:AM"/>
    <n v="520044145"/>
    <s v="Female"/>
    <s v="Member"/>
    <s v="Cash"/>
    <x v="4"/>
    <n v="10"/>
    <n v="40.404000000000003"/>
    <n v="4"/>
    <n v="29.27"/>
    <n v="113.1639"/>
    <n v="293.88"/>
    <n v="3.8764546470000001"/>
    <n v="26.952999999999999"/>
  </r>
  <r>
    <x v="1"/>
    <x v="1"/>
    <x v="439"/>
    <s v="04:55:PM"/>
    <n v="683148176"/>
    <s v="Male"/>
    <s v="Normal"/>
    <s v="Ewallet"/>
    <x v="0"/>
    <n v="5"/>
    <n v="37.270000000000003"/>
    <n v="10"/>
    <n v="46.52"/>
    <n v="110.4372"/>
    <n v="589.5"/>
    <n v="3.8764546470000001"/>
    <n v="30.210999999999999"/>
  </r>
  <r>
    <x v="0"/>
    <x v="0"/>
    <x v="277"/>
    <s v="10:02:AM"/>
    <n v="409877836"/>
    <s v="Male"/>
    <s v="Member"/>
    <s v="Ewallet"/>
    <x v="4"/>
    <n v="6"/>
    <n v="92.14"/>
    <n v="6"/>
    <n v="83.3"/>
    <n v="165.28630000000001"/>
    <n v="291"/>
    <n v="3.8764546470000001"/>
    <n v="38.953000000000003"/>
  </r>
  <r>
    <x v="2"/>
    <x v="2"/>
    <x v="440"/>
    <s v="09:07:PM"/>
    <n v="769350849"/>
    <s v="Female"/>
    <s v="Member"/>
    <s v="Cash"/>
    <x v="1"/>
    <n v="9"/>
    <n v="12.529"/>
    <n v="1"/>
    <n v="98.72"/>
    <n v="151.79480000000001"/>
    <n v="39.479999999999997"/>
    <n v="3.8764546470000001"/>
    <n v="61.256999999999998"/>
  </r>
  <r>
    <x v="2"/>
    <x v="2"/>
    <x v="26"/>
    <s v="11:20:PM"/>
    <n v="283475561"/>
    <s v="Female"/>
    <s v="Normal"/>
    <s v="Credit card"/>
    <x v="3"/>
    <n v="4"/>
    <n v="39.014000000000003"/>
    <n v="1"/>
    <n v="77.58"/>
    <n v="158.0265"/>
    <n v="34.81"/>
    <n v="3.8764546470000001"/>
    <n v="84.102999999999994"/>
  </r>
  <r>
    <x v="1"/>
    <x v="1"/>
    <x v="441"/>
    <s v="07:00:AM"/>
    <n v="406851650"/>
    <s v="Female"/>
    <s v="Normal"/>
    <s v="Ewallet"/>
    <x v="5"/>
    <n v="7.4"/>
    <n v="24.286999999999999"/>
    <n v="6"/>
    <n v="38.42"/>
    <n v="113.2664"/>
    <n v="295.92"/>
    <n v="3.8764546470000001"/>
    <n v="24.006"/>
  </r>
  <r>
    <x v="0"/>
    <x v="0"/>
    <x v="195"/>
    <s v="10:51:AM"/>
    <n v="160333752"/>
    <s v="Male"/>
    <s v="Member"/>
    <s v="Ewallet"/>
    <x v="5"/>
    <n v="4.9000000000000004"/>
    <n v="96.53"/>
    <n v="2"/>
    <n v="92.34"/>
    <n v="103.13930000000001"/>
    <n v="42.96"/>
    <n v="3.8764546470000001"/>
    <n v="32.716999999999999"/>
  </r>
  <r>
    <x v="2"/>
    <x v="2"/>
    <x v="442"/>
    <s v="10:23:AM"/>
    <n v="761633683"/>
    <s v="Female"/>
    <s v="Member"/>
    <s v="Ewallet"/>
    <x v="3"/>
    <n v="5"/>
    <n v="40.481999999999999"/>
    <n v="6"/>
    <n v="68.72"/>
    <n v="176.17429999999999"/>
    <n v="138.47999999999999"/>
    <n v="3.8764546470000001"/>
    <n v="50.741999999999997"/>
  </r>
  <r>
    <x v="2"/>
    <x v="2"/>
    <x v="84"/>
    <s v="07:50:PM"/>
    <n v="668325138"/>
    <s v="Female"/>
    <s v="Member"/>
    <s v="Credit card"/>
    <x v="2"/>
    <n v="4"/>
    <n v="44.5"/>
    <n v="2"/>
    <n v="76.66"/>
    <n v="184.11850000000001"/>
    <n v="98.2"/>
    <n v="3.8764546470000001"/>
    <n v="67.834999999999994"/>
  </r>
  <r>
    <x v="2"/>
    <x v="2"/>
    <x v="443"/>
    <s v="02:28:PM"/>
    <n v="445355082"/>
    <s v="Female"/>
    <s v="Member"/>
    <s v="Credit card"/>
    <x v="3"/>
    <n v="1"/>
    <n v="35.119999999999997"/>
    <n v="2"/>
    <n v="29.18"/>
    <n v="153.33240000000001"/>
    <n v="129.66"/>
    <n v="3.8764546470000001"/>
    <n v="23.1"/>
  </r>
  <r>
    <x v="0"/>
    <x v="0"/>
    <x v="444"/>
    <s v="05:08:AM"/>
    <n v="647044841"/>
    <s v="Male"/>
    <s v="Member"/>
    <s v="Cash"/>
    <x v="2"/>
    <n v="4"/>
    <n v="65.59"/>
    <n v="10"/>
    <n v="34.56"/>
    <n v="174.38630000000001"/>
    <n v="635.6"/>
    <n v="3.8764546470000001"/>
    <n v="85.15"/>
  </r>
  <r>
    <x v="1"/>
    <x v="1"/>
    <x v="445"/>
    <s v="03:30:AM"/>
    <n v="492474425"/>
    <s v="Male"/>
    <s v="Member"/>
    <s v="Cash"/>
    <x v="3"/>
    <n v="4"/>
    <n v="72.42"/>
    <n v="2"/>
    <n v="64.25"/>
    <n v="114.3686"/>
    <n v="145.76"/>
    <n v="3.8764546470000001"/>
    <n v="19.420000000000002"/>
  </r>
  <r>
    <x v="0"/>
    <x v="0"/>
    <x v="396"/>
    <s v="05:16:PM"/>
    <n v="465137323"/>
    <s v="Female"/>
    <s v="Normal"/>
    <s v="Cash"/>
    <x v="4"/>
    <n v="5.0999999999999996"/>
    <n v="72.010000000000005"/>
    <n v="3"/>
    <n v="89.71"/>
    <n v="181.42519999999999"/>
    <n v="201.3"/>
    <n v="3.8764546470000001"/>
    <n v="48.27"/>
  </r>
  <r>
    <x v="1"/>
    <x v="1"/>
    <x v="446"/>
    <s v="04:48:PM"/>
    <n v="721063788"/>
    <s v="Female"/>
    <s v="Member"/>
    <s v="Cash"/>
    <x v="3"/>
    <n v="2"/>
    <n v="42.82"/>
    <n v="9"/>
    <n v="63.01"/>
    <n v="189.9494"/>
    <n v="631.71"/>
    <n v="3.8764546470000001"/>
    <n v="42.85"/>
  </r>
  <r>
    <x v="1"/>
    <x v="1"/>
    <x v="447"/>
    <s v="09:42:PM"/>
    <n v="458996125"/>
    <s v="Male"/>
    <s v="Member"/>
    <s v="Ewallet"/>
    <x v="4"/>
    <n v="7.3"/>
    <n v="18.18"/>
    <n v="7"/>
    <n v="98.01"/>
    <n v="164.4"/>
    <n v="385.28"/>
    <n v="3.8764546470000001"/>
    <n v="62.212000000000003"/>
  </r>
  <r>
    <x v="0"/>
    <x v="0"/>
    <x v="448"/>
    <s v="08:39:PM"/>
    <n v="81997557"/>
    <s v="Male"/>
    <s v="Member"/>
    <s v="Cash"/>
    <x v="0"/>
    <n v="6.1"/>
    <n v="21.012"/>
    <n v="10"/>
    <n v="35"/>
    <n v="107"/>
    <n v="486.3"/>
    <n v="3.8764546470000001"/>
    <n v="49.238"/>
  </r>
  <r>
    <x v="1"/>
    <x v="1"/>
    <x v="148"/>
    <s v="06:04:AM"/>
    <n v="461730325"/>
    <s v="Female"/>
    <s v="Member"/>
    <s v="Cash"/>
    <x v="5"/>
    <n v="3.8"/>
    <n v="85.86"/>
    <n v="7"/>
    <n v="55.21"/>
    <n v="180.7577"/>
    <n v="513.66"/>
    <n v="3.8764546470000001"/>
    <n v="73.06"/>
  </r>
  <r>
    <x v="1"/>
    <x v="1"/>
    <x v="449"/>
    <s v="03:24:PM"/>
    <n v="111652015"/>
    <s v="Female"/>
    <s v="Normal"/>
    <s v="Cash"/>
    <x v="4"/>
    <n v="2"/>
    <n v="79.709999999999994"/>
    <n v="9"/>
    <n v="49"/>
    <n v="186.61709999999999"/>
    <n v="473.4"/>
    <n v="3.8764546470000001"/>
    <n v="70.72"/>
  </r>
  <r>
    <x v="0"/>
    <x v="0"/>
    <x v="450"/>
    <s v="04:06:PM"/>
    <n v="92808768"/>
    <s v="Female"/>
    <s v="Member"/>
    <s v="Cash"/>
    <x v="2"/>
    <n v="2"/>
    <n v="23.71"/>
    <n v="5"/>
    <n v="47.6"/>
    <n v="107.312"/>
    <n v="436.85"/>
    <n v="3.8764546470000001"/>
    <n v="51.83"/>
  </r>
  <r>
    <x v="0"/>
    <x v="0"/>
    <x v="43"/>
    <s v="01:45:AM"/>
    <n v="751343078"/>
    <s v="Female"/>
    <s v="Member"/>
    <s v="Ewallet"/>
    <x v="3"/>
    <n v="2"/>
    <n v="78.72"/>
    <n v="4"/>
    <n v="39.619999999999997"/>
    <n v="151.90469999999999"/>
    <n v="108.16"/>
    <n v="3.8764546470000001"/>
    <n v="65.819999999999993"/>
  </r>
  <r>
    <x v="2"/>
    <x v="2"/>
    <x v="425"/>
    <s v="08:25:PM"/>
    <n v="701576544"/>
    <s v="Male"/>
    <s v="Normal"/>
    <s v="Ewallet"/>
    <x v="2"/>
    <n v="3"/>
    <n v="29.475000000000001"/>
    <n v="4"/>
    <n v="38.25"/>
    <n v="103.149"/>
    <n v="248.76"/>
    <n v="3.8764546470000001"/>
    <n v="36.130000000000003"/>
  </r>
  <r>
    <x v="0"/>
    <x v="0"/>
    <x v="254"/>
    <s v="04:33:AM"/>
    <n v="864937658"/>
    <s v="Male"/>
    <s v="Member"/>
    <s v="Credit card"/>
    <x v="1"/>
    <n v="7"/>
    <n v="14.98"/>
    <n v="9"/>
    <n v="11.79"/>
    <n v="186.2372"/>
    <n v="626.22"/>
    <n v="3.8764546470000001"/>
    <n v="29.44"/>
  </r>
  <r>
    <x v="1"/>
    <x v="1"/>
    <x v="395"/>
    <s v="01:04:PM"/>
    <n v="497704930"/>
    <s v="Male"/>
    <s v="Normal"/>
    <s v="Ewallet"/>
    <x v="2"/>
    <n v="6"/>
    <n v="48.7"/>
    <n v="10"/>
    <n v="52.7"/>
    <n v="109.56100000000001"/>
    <n v="975"/>
    <n v="3.8764546470000001"/>
    <n v="84.3"/>
  </r>
  <r>
    <x v="1"/>
    <x v="1"/>
    <x v="428"/>
    <s v="11:40:AM"/>
    <n v="697847956"/>
    <s v="Female"/>
    <s v="Normal"/>
    <s v="Ewallet"/>
    <x v="5"/>
    <n v="3"/>
    <n v="31.38"/>
    <n v="8"/>
    <n v="49.99"/>
    <n v="159.49039999999999"/>
    <n v="483.28"/>
    <n v="3.8764546470000001"/>
    <n v="65.16"/>
  </r>
  <r>
    <x v="2"/>
    <x v="2"/>
    <x v="256"/>
    <s v="06:53:AM"/>
    <n v="965920224"/>
    <s v="Male"/>
    <s v="Normal"/>
    <s v="Credit card"/>
    <x v="4"/>
    <n v="5"/>
    <n v="30.082000000000001"/>
    <n v="3"/>
    <n v="86.04"/>
    <n v="153.54769999999999"/>
    <n v="96.96"/>
    <n v="3.8764546470000001"/>
    <n v="27.16"/>
  </r>
  <r>
    <x v="2"/>
    <x v="2"/>
    <x v="47"/>
    <s v="08:59:AM"/>
    <n v="265348830"/>
    <s v="Female"/>
    <s v="Member"/>
    <s v="Credit card"/>
    <x v="5"/>
    <n v="8.6999999999999993"/>
    <n v="22.71"/>
    <n v="10"/>
    <n v="13.64"/>
    <n v="116.6729"/>
    <n v="197.7"/>
    <n v="3.8764546470000001"/>
    <n v="69.319000000000003"/>
  </r>
  <r>
    <x v="2"/>
    <x v="2"/>
    <x v="451"/>
    <s v="12:01:PM"/>
    <n v="610116454"/>
    <s v="Male"/>
    <s v="Member"/>
    <s v="Cash"/>
    <x v="0"/>
    <n v="9"/>
    <n v="41.96"/>
    <n v="9"/>
    <n v="21.11"/>
    <n v="134.76849999999999"/>
    <n v="724.23"/>
    <n v="3.8764546470000001"/>
    <n v="83.643000000000001"/>
  </r>
  <r>
    <x v="2"/>
    <x v="2"/>
    <x v="46"/>
    <s v="07:01:PM"/>
    <n v="222972920"/>
    <s v="Female"/>
    <s v="Member"/>
    <s v="Cash"/>
    <x v="2"/>
    <n v="4"/>
    <n v="75.38"/>
    <n v="9"/>
    <n v="47.93"/>
    <n v="139.50659999999999"/>
    <n v="795.51"/>
    <n v="3.8764546470000001"/>
    <n v="77.768000000000001"/>
  </r>
  <r>
    <x v="2"/>
    <x v="2"/>
    <x v="109"/>
    <s v="07:14:AM"/>
    <n v="388332451"/>
    <s v="Male"/>
    <s v="Normal"/>
    <s v="Cash"/>
    <x v="0"/>
    <n v="2.5"/>
    <n v="68.474999999999994"/>
    <n v="7"/>
    <n v="13.97"/>
    <n v="126.063"/>
    <n v="502.39"/>
    <n v="3.8764546470000001"/>
    <n v="31.129000000000001"/>
  </r>
  <r>
    <x v="2"/>
    <x v="2"/>
    <x v="406"/>
    <s v="03:38:PM"/>
    <n v="193006376"/>
    <s v="Female"/>
    <s v="Normal"/>
    <s v="Ewallet"/>
    <x v="1"/>
    <n v="3.6"/>
    <n v="41.97"/>
    <n v="4"/>
    <n v="15.57"/>
    <n v="148.28129999999999"/>
    <n v="172"/>
    <n v="3.8764546470000001"/>
    <n v="62.83"/>
  </r>
  <r>
    <x v="1"/>
    <x v="1"/>
    <x v="452"/>
    <s v="02:48:AM"/>
    <n v="665500741"/>
    <s v="Male"/>
    <s v="Member"/>
    <s v="Cash"/>
    <x v="4"/>
    <n v="3.3"/>
    <n v="38.143000000000001"/>
    <n v="1"/>
    <n v="72.67"/>
    <n v="158.60929999999999"/>
    <n v="68.98"/>
    <n v="3.8764546470000001"/>
    <n v="66.191999999999993"/>
  </r>
  <r>
    <x v="1"/>
    <x v="1"/>
    <x v="231"/>
    <s v="09:42:PM"/>
    <n v="285013407"/>
    <s v="Male"/>
    <s v="Normal"/>
    <s v="Ewallet"/>
    <x v="5"/>
    <n v="4"/>
    <n v="49.307000000000002"/>
    <n v="8"/>
    <n v="37.83"/>
    <n v="170.9879"/>
    <n v="124.96"/>
    <n v="3.8764546470000001"/>
    <n v="62.76"/>
  </r>
  <r>
    <x v="0"/>
    <x v="0"/>
    <x v="453"/>
    <s v="05:23:PM"/>
    <n v="781996338"/>
    <s v="Male"/>
    <s v="Normal"/>
    <s v="Ewallet"/>
    <x v="3"/>
    <n v="4"/>
    <n v="42.241"/>
    <n v="3"/>
    <n v="29.41"/>
    <n v="106.7865"/>
    <n v="77.099999999999994"/>
    <n v="3.8764546470000001"/>
    <n v="28.69"/>
  </r>
  <r>
    <x v="0"/>
    <x v="0"/>
    <x v="370"/>
    <s v="07:21:AM"/>
    <n v="350780445"/>
    <s v="Male"/>
    <s v="Member"/>
    <s v="Cash"/>
    <x v="4"/>
    <n v="1.4"/>
    <n v="47.948999999999998"/>
    <n v="6"/>
    <n v="58.84"/>
    <n v="128.52279999999999"/>
    <n v="483.72"/>
    <n v="3.8764546470000001"/>
    <n v="48.338000000000001"/>
  </r>
  <r>
    <x v="1"/>
    <x v="1"/>
    <x v="454"/>
    <s v="03:10:PM"/>
    <n v="327214829"/>
    <s v="Female"/>
    <s v="Member"/>
    <s v="Ewallet"/>
    <x v="2"/>
    <n v="1.5"/>
    <n v="91.076999999999998"/>
    <n v="4"/>
    <n v="97.83"/>
    <n v="154.73439999999999"/>
    <n v="302.12"/>
    <n v="3.8764546470000001"/>
    <n v="44.243000000000002"/>
  </r>
  <r>
    <x v="1"/>
    <x v="1"/>
    <x v="206"/>
    <s v="12:50:PM"/>
    <n v="594216321"/>
    <s v="Female"/>
    <s v="Normal"/>
    <s v="Ewallet"/>
    <x v="1"/>
    <n v="6.2"/>
    <n v="26.85"/>
    <n v="9"/>
    <n v="87.98"/>
    <n v="188.3937"/>
    <n v="698.67"/>
    <n v="3.8764546470000001"/>
    <n v="80.412000000000006"/>
  </r>
  <r>
    <x v="1"/>
    <x v="1"/>
    <x v="455"/>
    <s v="02:21:PM"/>
    <n v="904040712"/>
    <s v="Female"/>
    <s v="Normal"/>
    <s v="Ewallet"/>
    <x v="0"/>
    <n v="9.6"/>
    <n v="12.8"/>
    <n v="9"/>
    <n v="59.16"/>
    <n v="169.8569"/>
    <n v="124.65"/>
    <n v="3.8764546470000001"/>
    <n v="53.802"/>
  </r>
  <r>
    <x v="1"/>
    <x v="1"/>
    <x v="456"/>
    <s v="09:56:PM"/>
    <n v="344567726"/>
    <s v="Male"/>
    <s v="Member"/>
    <s v="Ewallet"/>
    <x v="5"/>
    <n v="3.7"/>
    <n v="43.44"/>
    <n v="8"/>
    <n v="96.42"/>
    <n v="120.28660000000001"/>
    <n v="789.6"/>
    <n v="3.8764546470000001"/>
    <n v="92.96"/>
  </r>
  <r>
    <x v="0"/>
    <x v="0"/>
    <x v="119"/>
    <s v="04:12:AM"/>
    <n v="765971472"/>
    <s v="Female"/>
    <s v="Normal"/>
    <s v="Credit card"/>
    <x v="0"/>
    <n v="9"/>
    <n v="18.989999999999998"/>
    <n v="5"/>
    <n v="15.96"/>
    <n v="114.4468"/>
    <n v="178.4"/>
    <n v="3.8764546470000001"/>
    <n v="89.24"/>
  </r>
  <r>
    <x v="0"/>
    <x v="0"/>
    <x v="457"/>
    <s v="05:43:AM"/>
    <n v="178528052"/>
    <s v="Female"/>
    <s v="Member"/>
    <s v="Ewallet"/>
    <x v="5"/>
    <n v="9.1"/>
    <n v="36.75"/>
    <n v="7"/>
    <n v="26.31"/>
    <n v="153.1688"/>
    <n v="500.22"/>
    <n v="3.8764546470000001"/>
    <n v="10.039999999999999"/>
  </r>
  <r>
    <x v="0"/>
    <x v="0"/>
    <x v="458"/>
    <s v="09:28:PM"/>
    <n v="616385726"/>
    <s v="Male"/>
    <s v="Member"/>
    <s v="Credit card"/>
    <x v="1"/>
    <n v="6.6"/>
    <n v="93.75"/>
    <n v="3"/>
    <n v="38.119999999999997"/>
    <n v="150.1968"/>
    <n v="35.82"/>
    <n v="3.8764546470000001"/>
    <n v="82.71"/>
  </r>
  <r>
    <x v="0"/>
    <x v="0"/>
    <x v="68"/>
    <s v="01:04:PM"/>
    <n v="519954738"/>
    <s v="Male"/>
    <s v="Normal"/>
    <s v="Credit card"/>
    <x v="5"/>
    <n v="5.5"/>
    <n v="37.4"/>
    <n v="3"/>
    <n v="17.66"/>
    <n v="120.0934"/>
    <n v="136.13999999999999"/>
    <n v="3.8764546470000001"/>
    <n v="63.19"/>
  </r>
  <r>
    <x v="2"/>
    <x v="2"/>
    <x v="459"/>
    <s v="04:05:AM"/>
    <n v="757078470"/>
    <s v="Female"/>
    <s v="Member"/>
    <s v="Credit card"/>
    <x v="5"/>
    <n v="3"/>
    <n v="40.21"/>
    <n v="6"/>
    <n v="47.03"/>
    <n v="144.80000000000001"/>
    <n v="104.88"/>
    <n v="3.8764546470000001"/>
    <n v="63.47"/>
  </r>
  <r>
    <x v="2"/>
    <x v="2"/>
    <x v="324"/>
    <s v="10:58:AM"/>
    <n v="856753820"/>
    <s v="Female"/>
    <s v="Normal"/>
    <s v="Cash"/>
    <x v="5"/>
    <n v="2"/>
    <n v="23.884"/>
    <n v="7"/>
    <n v="80.19"/>
    <n v="120.4"/>
    <n v="178.92"/>
    <n v="3.8764546470000001"/>
    <n v="40.72"/>
  </r>
  <r>
    <x v="1"/>
    <x v="1"/>
    <x v="460"/>
    <s v="06:05:PM"/>
    <n v="62518530"/>
    <s v="Female"/>
    <s v="Member"/>
    <s v="Cash"/>
    <x v="3"/>
    <n v="8"/>
    <n v="73.62"/>
    <n v="9"/>
    <n v="37.08"/>
    <n v="185.7"/>
    <n v="815.67"/>
    <n v="3.8764546470000001"/>
    <n v="46.930999999999997"/>
  </r>
  <r>
    <x v="2"/>
    <x v="2"/>
    <x v="461"/>
    <s v="10:02:AM"/>
    <n v="130062441"/>
    <s v="Male"/>
    <s v="Normal"/>
    <s v="Credit card"/>
    <x v="2"/>
    <n v="8"/>
    <n v="51.8"/>
    <n v="3"/>
    <n v="91.62"/>
    <n v="118.9"/>
    <n v="132.36000000000001"/>
    <n v="3.8764546470000001"/>
    <n v="56.259"/>
  </r>
  <r>
    <x v="1"/>
    <x v="1"/>
    <x v="462"/>
    <s v="08:46:PM"/>
    <n v="527786945"/>
    <s v="Female"/>
    <s v="Member"/>
    <s v="Cash"/>
    <x v="4"/>
    <n v="7.4"/>
    <n v="95.47"/>
    <n v="7"/>
    <n v="69.63"/>
    <n v="152.5"/>
    <n v="257.39"/>
    <n v="3.8764546470000001"/>
    <n v="93.484999999999999"/>
  </r>
  <r>
    <x v="2"/>
    <x v="2"/>
    <x v="101"/>
    <s v="06:40:PM"/>
    <n v="451016504"/>
    <s v="Male"/>
    <s v="Member"/>
    <s v="Ewallet"/>
    <x v="4"/>
    <n v="2.9"/>
    <n v="44.2"/>
    <n v="4"/>
    <n v="20.95"/>
    <n v="118.5"/>
    <n v="93.36"/>
    <n v="3.8764546470000001"/>
    <n v="65.174000000000007"/>
  </r>
  <r>
    <x v="1"/>
    <x v="1"/>
    <x v="139"/>
    <s v="05:57:AM"/>
    <n v="404017084"/>
    <s v="Female"/>
    <s v="Member"/>
    <s v="Cash"/>
    <x v="0"/>
    <n v="4.4000000000000004"/>
    <n v="11.3"/>
    <n v="8"/>
    <n v="12.25"/>
    <n v="142.40020000000001"/>
    <n v="228"/>
    <n v="3.8764546470000001"/>
    <n v="93.409000000000006"/>
  </r>
  <r>
    <x v="1"/>
    <x v="1"/>
    <x v="463"/>
    <s v="12:28:AM"/>
    <n v="315191181"/>
    <s v="Male"/>
    <s v="Member"/>
    <s v="Credit card"/>
    <x v="2"/>
    <n v="8.1"/>
    <n v="88.92"/>
    <n v="3"/>
    <n v="96.53"/>
    <n v="173.9539"/>
    <n v="166.71"/>
    <n v="3.8764546470000001"/>
    <n v="77.8"/>
  </r>
  <r>
    <x v="2"/>
    <x v="2"/>
    <x v="464"/>
    <s v="07:08:PM"/>
    <n v="189399391"/>
    <s v="Male"/>
    <s v="Normal"/>
    <s v="Credit card"/>
    <x v="3"/>
    <n v="6.6"/>
    <n v="87.27"/>
    <n v="10"/>
    <n v="99.06"/>
    <n v="161.51650000000001"/>
    <n v="697.4"/>
    <n v="3.8764546470000001"/>
    <n v="25.710999999999999"/>
  </r>
  <r>
    <x v="1"/>
    <x v="1"/>
    <x v="313"/>
    <s v="04:05:AM"/>
    <n v="490337640"/>
    <s v="Male"/>
    <s v="Normal"/>
    <s v="Ewallet"/>
    <x v="5"/>
    <n v="9.1"/>
    <n v="64.180000000000007"/>
    <n v="4"/>
    <n v="68.540000000000006"/>
    <n v="120.1776"/>
    <n v="389.04"/>
    <n v="3.8764546470000001"/>
    <n v="63.634"/>
  </r>
  <r>
    <x v="2"/>
    <x v="2"/>
    <x v="26"/>
    <s v="11:19:AM"/>
    <n v="616148184"/>
    <s v="Female"/>
    <s v="Member"/>
    <s v="Cash"/>
    <x v="2"/>
    <n v="4.0999999999999996"/>
    <n v="73.837999999999994"/>
    <n v="7"/>
    <n v="82.14"/>
    <n v="189.45840000000001"/>
    <n v="365.26"/>
    <n v="3.8764546470000001"/>
    <n v="98.292000000000002"/>
  </r>
  <r>
    <x v="0"/>
    <x v="0"/>
    <x v="331"/>
    <s v="08:11:PM"/>
    <n v="494323133"/>
    <s v="Female"/>
    <s v="Member"/>
    <s v="Credit card"/>
    <x v="5"/>
    <n v="5.9"/>
    <n v="66.14"/>
    <n v="4"/>
    <n v="40.64"/>
    <n v="100.4727"/>
    <n v="89.28"/>
    <n v="3.8764546470000001"/>
    <n v="28.4"/>
  </r>
  <r>
    <x v="0"/>
    <x v="0"/>
    <x v="62"/>
    <s v="12:21:AM"/>
    <n v="13817220"/>
    <s v="Male"/>
    <s v="Normal"/>
    <s v="Ewallet"/>
    <x v="0"/>
    <n v="6.6"/>
    <n v="57.7"/>
    <n v="3"/>
    <n v="30.59"/>
    <n v="111.94159999999999"/>
    <n v="168"/>
    <n v="3.8764546470000001"/>
    <n v="89.867000000000004"/>
  </r>
  <r>
    <x v="0"/>
    <x v="0"/>
    <x v="226"/>
    <s v="09:21:PM"/>
    <n v="842103443"/>
    <s v="Male"/>
    <s v="Member"/>
    <s v="Ewallet"/>
    <x v="5"/>
    <n v="2.2999999999999998"/>
    <n v="17.850000000000001"/>
    <n v="1"/>
    <n v="22.83"/>
    <n v="150.423"/>
    <n v="19.7"/>
    <n v="3.8764546470000001"/>
    <n v="88.185000000000002"/>
  </r>
  <r>
    <x v="2"/>
    <x v="2"/>
    <x v="453"/>
    <s v="03:51:AM"/>
    <n v="956441998"/>
    <s v="Male"/>
    <s v="Normal"/>
    <s v="Ewallet"/>
    <x v="1"/>
    <n v="7"/>
    <n v="51.49"/>
    <n v="7"/>
    <n v="87.49"/>
    <n v="114.23350000000001"/>
    <n v="531.16"/>
    <n v="3.8764546470000001"/>
    <n v="54.17"/>
  </r>
  <r>
    <x v="2"/>
    <x v="2"/>
    <x v="45"/>
    <s v="12:21:AM"/>
    <n v="64101970"/>
    <s v="Male"/>
    <s v="Member"/>
    <s v="Ewallet"/>
    <x v="4"/>
    <n v="9"/>
    <n v="76.930000000000007"/>
    <n v="1"/>
    <n v="51.21"/>
    <n v="184.62799999999999"/>
    <n v="53.72"/>
    <n v="3.8764546470000001"/>
    <n v="99.522999999999996"/>
  </r>
  <r>
    <x v="1"/>
    <x v="1"/>
    <x v="218"/>
    <s v="10:45:PM"/>
    <n v="247499732"/>
    <s v="Male"/>
    <s v="Member"/>
    <s v="Credit card"/>
    <x v="0"/>
    <n v="7"/>
    <n v="73.745999999999995"/>
    <n v="10"/>
    <n v="98.76"/>
    <n v="169.28469999999999"/>
    <n v="819.5"/>
    <n v="3.8764546470000001"/>
    <n v="11.068"/>
  </r>
  <r>
    <x v="1"/>
    <x v="1"/>
    <x v="289"/>
    <s v="07:01:PM"/>
    <n v="931298028"/>
    <s v="Female"/>
    <s v="Member"/>
    <s v="Credit card"/>
    <x v="2"/>
    <n v="4"/>
    <n v="67.319999999999993"/>
    <n v="7"/>
    <n v="80.2"/>
    <n v="165.9"/>
    <n v="568.4"/>
    <n v="3.8764546470000001"/>
    <n v="94.277000000000001"/>
  </r>
  <r>
    <x v="1"/>
    <x v="1"/>
    <x v="465"/>
    <s v="10:16:AM"/>
    <n v="692153061"/>
    <s v="Male"/>
    <s v="Normal"/>
    <s v="Ewallet"/>
    <x v="1"/>
    <n v="5"/>
    <n v="96.43"/>
    <n v="10"/>
    <n v="83.99"/>
    <n v="173.1473"/>
    <n v="587.6"/>
    <n v="3.8764546470000001"/>
    <n v="99.397999999999996"/>
  </r>
  <r>
    <x v="2"/>
    <x v="2"/>
    <x v="466"/>
    <s v="02:00:PM"/>
    <n v="658032127"/>
    <s v="Male"/>
    <s v="Member"/>
    <s v="Ewallet"/>
    <x v="1"/>
    <n v="9"/>
    <n v="18.940000000000001"/>
    <n v="8"/>
    <n v="51.91"/>
    <n v="162.857"/>
    <n v="732.48"/>
    <n v="3.8764546470000001"/>
    <n v="69.234999999999999"/>
  </r>
  <r>
    <x v="0"/>
    <x v="0"/>
    <x v="89"/>
    <s v="03:24:PM"/>
    <n v="246039428"/>
    <s v="Male"/>
    <s v="Normal"/>
    <s v="Cash"/>
    <x v="2"/>
    <n v="5"/>
    <n v="49.4"/>
    <n v="9"/>
    <n v="96.68"/>
    <n v="120.7032"/>
    <n v="845.64"/>
    <n v="3.8764546470000001"/>
    <n v="35.237000000000002"/>
  </r>
  <r>
    <x v="1"/>
    <x v="1"/>
    <x v="107"/>
    <s v="04:54:AM"/>
    <n v="636499944"/>
    <s v="Male"/>
    <s v="Normal"/>
    <s v="Cash"/>
    <x v="2"/>
    <n v="4"/>
    <n v="57.82"/>
    <n v="7"/>
    <n v="74.14"/>
    <n v="160.5"/>
    <n v="389.27"/>
    <n v="3.8764546470000001"/>
    <n v="53.39"/>
  </r>
  <r>
    <x v="1"/>
    <x v="1"/>
    <x v="81"/>
    <s v="05:08:AM"/>
    <n v="944493233"/>
    <s v="Male"/>
    <s v="Normal"/>
    <s v="Ewallet"/>
    <x v="4"/>
    <n v="1.2"/>
    <n v="11.81"/>
    <n v="1"/>
    <n v="59.46"/>
    <n v="166.6396"/>
    <n v="84.83"/>
    <n v="3.8764546470000001"/>
    <n v="81.5"/>
  </r>
  <r>
    <x v="0"/>
    <x v="0"/>
    <x v="467"/>
    <s v="04:12:AM"/>
    <n v="323089359"/>
    <s v="Female"/>
    <s v="Member"/>
    <s v="Ewallet"/>
    <x v="3"/>
    <n v="4.5"/>
    <n v="98.8"/>
    <n v="2"/>
    <n v="31.94"/>
    <n v="124.25839999999999"/>
    <n v="143.26"/>
    <n v="3.8764546470000001"/>
    <n v="56.77"/>
  </r>
  <r>
    <x v="0"/>
    <x v="0"/>
    <x v="278"/>
    <s v="06:40:PM"/>
    <n v="519956490"/>
    <s v="Male"/>
    <s v="Member"/>
    <s v="Ewallet"/>
    <x v="2"/>
    <n v="3"/>
    <n v="25.946999999999999"/>
    <n v="2"/>
    <n v="84.76"/>
    <n v="168.37739999999999"/>
    <n v="75.38"/>
    <n v="3.8764546470000001"/>
    <n v="89.27"/>
  </r>
  <r>
    <x v="1"/>
    <x v="1"/>
    <x v="93"/>
    <s v="07:08:PM"/>
    <n v="736770827"/>
    <s v="Female"/>
    <s v="Member"/>
    <s v="Credit card"/>
    <x v="3"/>
    <n v="1.3"/>
    <n v="95.68"/>
    <n v="8"/>
    <n v="56.47"/>
    <n v="138.49690000000001"/>
    <n v="253.36"/>
    <n v="3.8764546470000001"/>
    <n v="65.450999999999993"/>
  </r>
  <r>
    <x v="1"/>
    <x v="1"/>
    <x v="180"/>
    <s v="02:55:AM"/>
    <n v="764673494"/>
    <s v="Female"/>
    <s v="Member"/>
    <s v="Cash"/>
    <x v="4"/>
    <n v="9.9"/>
    <n v="77.39"/>
    <n v="1"/>
    <n v="69.84"/>
    <n v="118.6514"/>
    <n v="38.42"/>
    <n v="3.8764546470000001"/>
    <n v="26.132999999999999"/>
  </r>
  <r>
    <x v="2"/>
    <x v="2"/>
    <x v="468"/>
    <s v="12:15:PM"/>
    <n v="605379774"/>
    <s v="Male"/>
    <s v="Member"/>
    <s v="Credit card"/>
    <x v="5"/>
    <n v="1.4"/>
    <n v="32.576000000000001"/>
    <n v="10"/>
    <n v="85.75"/>
    <n v="140.31110000000001"/>
    <n v="652.29999999999995"/>
    <n v="3.8764546470000001"/>
    <n v="92.206999999999994"/>
  </r>
  <r>
    <x v="1"/>
    <x v="1"/>
    <x v="392"/>
    <s v="06:32:AM"/>
    <n v="840990970"/>
    <s v="Female"/>
    <s v="Member"/>
    <s v="Credit card"/>
    <x v="2"/>
    <n v="5.8"/>
    <n v="10.6"/>
    <n v="5"/>
    <n v="22.69"/>
    <n v="122.4119"/>
    <n v="52.65"/>
    <n v="3.8764546470000001"/>
    <n v="47.018000000000001"/>
  </r>
  <r>
    <x v="2"/>
    <x v="2"/>
    <x v="168"/>
    <s v="10:45:PM"/>
    <n v="979238190"/>
    <s v="Female"/>
    <s v="Member"/>
    <s v="Credit card"/>
    <x v="2"/>
    <n v="9.1"/>
    <n v="87.2"/>
    <n v="9"/>
    <n v="44.33"/>
    <n v="119.4606"/>
    <n v="110.61"/>
    <n v="3.8764546470000001"/>
    <n v="39.56"/>
  </r>
  <r>
    <x v="1"/>
    <x v="1"/>
    <x v="433"/>
    <s v="09:00:PM"/>
    <n v="577644457"/>
    <s v="Male"/>
    <s v="Member"/>
    <s v="Cash"/>
    <x v="0"/>
    <n v="7.3"/>
    <n v="17.93"/>
    <n v="7"/>
    <n v="44.59"/>
    <n v="139.88720000000001"/>
    <n v="568.61"/>
    <n v="3.8764546470000001"/>
    <n v="90.296999999999997"/>
  </r>
  <r>
    <x v="2"/>
    <x v="2"/>
    <x v="124"/>
    <s v="01:04:PM"/>
    <n v="571475977"/>
    <s v="Female"/>
    <s v="Member"/>
    <s v="Ewallet"/>
    <x v="5"/>
    <n v="2.4"/>
    <n v="99.66"/>
    <n v="4"/>
    <n v="96.9"/>
    <n v="135.7396"/>
    <n v="89.28"/>
    <n v="3.8764546470000001"/>
    <n v="71.239999999999995"/>
  </r>
  <r>
    <x v="0"/>
    <x v="0"/>
    <x v="2"/>
    <s v="03:51:AM"/>
    <n v="813699311"/>
    <s v="Female"/>
    <s v="Normal"/>
    <s v="Credit card"/>
    <x v="4"/>
    <n v="6.5"/>
    <n v="96.53"/>
    <n v="5"/>
    <n v="17.559999999999999"/>
    <n v="163.36510000000001"/>
    <n v="136.4"/>
    <n v="3.8764546470000001"/>
    <n v="36.222999999999999"/>
  </r>
  <r>
    <x v="0"/>
    <x v="0"/>
    <x v="405"/>
    <s v="03:38:PM"/>
    <n v="976365451"/>
    <s v="Female"/>
    <s v="Member"/>
    <s v="Ewallet"/>
    <x v="1"/>
    <n v="2.6"/>
    <n v="46.904000000000003"/>
    <n v="10"/>
    <n v="27.48"/>
    <n v="167.56710000000001"/>
    <n v="174.2"/>
    <n v="3.8764546470000001"/>
    <n v="53.192"/>
  </r>
  <r>
    <x v="2"/>
    <x v="2"/>
    <x v="183"/>
    <s v="09:07:PM"/>
    <n v="266419746"/>
    <s v="Male"/>
    <s v="Normal"/>
    <s v="Ewallet"/>
    <x v="2"/>
    <n v="4.9000000000000004"/>
    <n v="30.4"/>
    <n v="5"/>
    <n v="23.99"/>
    <n v="106.3506"/>
    <n v="366.4"/>
    <n v="3.8764546470000001"/>
    <n v="42.21"/>
  </r>
  <r>
    <x v="1"/>
    <x v="1"/>
    <x v="116"/>
    <s v="05:30:PM"/>
    <n v="843981988"/>
    <s v="Female"/>
    <s v="Member"/>
    <s v="Ewallet"/>
    <x v="5"/>
    <n v="1.4"/>
    <n v="39.32"/>
    <n v="3"/>
    <n v="87.43"/>
    <n v="139.899"/>
    <n v="254.61"/>
    <n v="3.8764546470000001"/>
    <n v="90.358999999999995"/>
  </r>
  <r>
    <x v="0"/>
    <x v="0"/>
    <x v="469"/>
    <s v="02:07:PM"/>
    <n v="504281376"/>
    <s v="Female"/>
    <s v="Normal"/>
    <s v="Credit card"/>
    <x v="5"/>
    <n v="5.0999999999999996"/>
    <n v="96.897999999999996"/>
    <n v="8"/>
    <n v="26.74"/>
    <n v="140.4"/>
    <n v="778.32"/>
    <n v="3.8764546470000001"/>
    <n v="36.893000000000001"/>
  </r>
  <r>
    <x v="2"/>
    <x v="2"/>
    <x v="186"/>
    <s v="03:10:PM"/>
    <n v="587518472"/>
    <s v="Female"/>
    <s v="Member"/>
    <s v="Ewallet"/>
    <x v="1"/>
    <n v="10"/>
    <n v="14.86"/>
    <n v="8"/>
    <n v="47.56"/>
    <n v="149.30000000000001"/>
    <n v="285.92"/>
    <n v="3.8764546470000001"/>
    <n v="14.343"/>
  </r>
  <r>
    <x v="0"/>
    <x v="0"/>
    <x v="175"/>
    <s v="05:58:PM"/>
    <n v="483320712"/>
    <s v="Female"/>
    <s v="Normal"/>
    <s v="Cash"/>
    <x v="2"/>
    <n v="7"/>
    <n v="23.84"/>
    <n v="6"/>
    <n v="39.15"/>
    <n v="128.19999999999999"/>
    <n v="579.12"/>
    <n v="3.8764546470000001"/>
    <n v="54.267000000000003"/>
  </r>
  <r>
    <x v="0"/>
    <x v="0"/>
    <x v="327"/>
    <s v="11:13:PM"/>
    <n v="745878939"/>
    <s v="Male"/>
    <s v="Member"/>
    <s v="Ewallet"/>
    <x v="4"/>
    <n v="6"/>
    <n v="17.193000000000001"/>
    <n v="10"/>
    <n v="13.78"/>
    <n v="113.7"/>
    <n v="188.5"/>
    <n v="3.8764546470000001"/>
    <n v="83.492999999999995"/>
  </r>
  <r>
    <x v="0"/>
    <x v="0"/>
    <x v="35"/>
    <s v="04:55:PM"/>
    <n v="737572699"/>
    <s v="Female"/>
    <s v="Normal"/>
    <s v="Ewallet"/>
    <x v="4"/>
    <n v="5"/>
    <n v="15.83"/>
    <n v="4"/>
    <n v="91.72"/>
    <n v="124.5"/>
    <n v="221.56"/>
    <n v="3.8764546470000001"/>
    <n v="85.07"/>
  </r>
  <r>
    <x v="2"/>
    <x v="2"/>
    <x v="303"/>
    <s v="12:43:PM"/>
    <n v="330585974"/>
    <s v="Female"/>
    <s v="Member"/>
    <s v="Credit card"/>
    <x v="4"/>
    <n v="9"/>
    <n v="50.88"/>
    <n v="10"/>
    <n v="59.83"/>
    <n v="158.1"/>
    <n v="772"/>
    <n v="3.8764546470000001"/>
    <n v="55.36"/>
  </r>
  <r>
    <x v="2"/>
    <x v="2"/>
    <x v="457"/>
    <s v="12:49:AM"/>
    <n v="169594833"/>
    <s v="Male"/>
    <s v="Normal"/>
    <s v="Credit card"/>
    <x v="1"/>
    <n v="6"/>
    <n v="20.12"/>
    <n v="10"/>
    <n v="84.98"/>
    <n v="163.6"/>
    <n v="721.3"/>
    <n v="3.8764546470000001"/>
    <n v="93.52"/>
  </r>
  <r>
    <x v="0"/>
    <x v="0"/>
    <x v="317"/>
    <s v="06:39:AM"/>
    <n v="476330631"/>
    <s v="Female"/>
    <s v="Member"/>
    <s v="Ewallet"/>
    <x v="5"/>
    <n v="1.7"/>
    <n v="18.835999999999999"/>
    <n v="8"/>
    <n v="61.82"/>
    <n v="153.1"/>
    <n v="511.04"/>
    <n v="3.8764546470000001"/>
    <n v="38.97"/>
  </r>
  <r>
    <x v="0"/>
    <x v="0"/>
    <x v="92"/>
    <s v="09:14:PM"/>
    <n v="321159623"/>
    <s v="Female"/>
    <s v="Member"/>
    <s v="Ewallet"/>
    <x v="0"/>
    <n v="9.1"/>
    <n v="93.78"/>
    <n v="5"/>
    <n v="57.62"/>
    <n v="120.3"/>
    <n v="53.45"/>
    <n v="3.8764546470000001"/>
    <n v="84.07"/>
  </r>
  <r>
    <x v="0"/>
    <x v="0"/>
    <x v="470"/>
    <s v="05:50:AM"/>
    <n v="622537251"/>
    <s v="Male"/>
    <s v="Member"/>
    <s v="Credit card"/>
    <x v="0"/>
    <n v="4.0999999999999996"/>
    <n v="34.82"/>
    <n v="4"/>
    <n v="15.57"/>
    <n v="139"/>
    <n v="222"/>
    <n v="3.8764546470000001"/>
    <n v="38.527999999999999"/>
  </r>
  <r>
    <x v="2"/>
    <x v="2"/>
    <x v="225"/>
    <s v="10:16:AM"/>
    <n v="744038073"/>
    <s v="Female"/>
    <s v="Normal"/>
    <s v="Ewallet"/>
    <x v="2"/>
    <n v="2.6"/>
    <n v="97.016000000000005"/>
    <n v="8"/>
    <n v="68.37"/>
    <n v="125.3"/>
    <n v="763.68"/>
    <n v="3.8764546470000001"/>
    <n v="66.061999999999998"/>
  </r>
  <r>
    <x v="1"/>
    <x v="1"/>
    <x v="192"/>
    <s v="09:13:AM"/>
    <n v="795186590"/>
    <s v="Female"/>
    <s v="Normal"/>
    <s v="Credit card"/>
    <x v="5"/>
    <n v="5"/>
    <n v="56.087000000000003"/>
    <n v="3"/>
    <n v="39.86"/>
    <n v="146.80000000000001"/>
    <n v="228.18"/>
    <n v="3.8764546470000001"/>
    <n v="60.600999999999999"/>
  </r>
  <r>
    <x v="2"/>
    <x v="2"/>
    <x v="208"/>
    <s v="09:34:AM"/>
    <n v="959532878"/>
    <s v="Male"/>
    <s v="Normal"/>
    <s v="Cash"/>
    <x v="3"/>
    <n v="6"/>
    <n v="10.66"/>
    <n v="6"/>
    <n v="12.11"/>
    <n v="104.8"/>
    <n v="82.14"/>
    <n v="3.8764546470000001"/>
    <n v="17.616"/>
  </r>
  <r>
    <x v="2"/>
    <x v="2"/>
    <x v="392"/>
    <s v="08:53:PM"/>
    <n v="249608429"/>
    <s v="Female"/>
    <s v="Normal"/>
    <s v="Cash"/>
    <x v="1"/>
    <n v="2.1"/>
    <n v="63.3"/>
    <n v="4"/>
    <n v="90.09"/>
    <n v="168.55959999999999"/>
    <n v="382.56"/>
    <n v="3.8764546470000001"/>
    <n v="76.111000000000004"/>
  </r>
  <r>
    <x v="0"/>
    <x v="0"/>
    <x v="250"/>
    <s v="05:43:AM"/>
    <n v="577357685"/>
    <s v="Female"/>
    <s v="Normal"/>
    <s v="Cash"/>
    <x v="2"/>
    <n v="5.3"/>
    <n v="76.302000000000007"/>
    <n v="6"/>
    <n v="32.99"/>
    <n v="109.80159999999999"/>
    <n v="68.58"/>
    <n v="3.8764546470000001"/>
    <n v="28.63"/>
  </r>
  <r>
    <x v="2"/>
    <x v="2"/>
    <x v="471"/>
    <s v="11:54:AM"/>
    <n v="824864007"/>
    <s v="Female"/>
    <s v="Member"/>
    <s v="Ewallet"/>
    <x v="3"/>
    <n v="8"/>
    <n v="29.47"/>
    <n v="4"/>
    <n v="64.849999999999994"/>
    <n v="150.2004"/>
    <n v="382.16"/>
    <n v="3.8764546470000001"/>
    <n v="18.09"/>
  </r>
  <r>
    <x v="1"/>
    <x v="1"/>
    <x v="472"/>
    <s v="02:56:PM"/>
    <n v="814197263"/>
    <s v="Female"/>
    <s v="Member"/>
    <s v="Credit card"/>
    <x v="0"/>
    <n v="4.5"/>
    <n v="49.366"/>
    <n v="7"/>
    <n v="60.38"/>
    <n v="134.19839999999999"/>
    <n v="601.09"/>
    <n v="3.8764546470000001"/>
    <n v="35.258000000000003"/>
  </r>
  <r>
    <x v="1"/>
    <x v="1"/>
    <x v="400"/>
    <s v="10:31:PM"/>
    <n v="816666451"/>
    <s v="Female"/>
    <s v="Member"/>
    <s v="Ewallet"/>
    <x v="3"/>
    <n v="4.2"/>
    <n v="97.98"/>
    <n v="7"/>
    <n v="89.48"/>
    <n v="127.1742"/>
    <n v="475.93"/>
    <n v="3.8764546470000001"/>
    <n v="89.611999999999995"/>
  </r>
  <r>
    <x v="1"/>
    <x v="1"/>
    <x v="473"/>
    <s v="04:34:PM"/>
    <n v="597036679"/>
    <s v="Female"/>
    <s v="Normal"/>
    <s v="Credit card"/>
    <x v="4"/>
    <n v="6"/>
    <n v="24.23"/>
    <n v="1"/>
    <n v="94.09"/>
    <n v="147.29499999999999"/>
    <n v="52.42"/>
    <n v="3.8764546470000001"/>
    <n v="11.477"/>
  </r>
  <r>
    <x v="1"/>
    <x v="1"/>
    <x v="474"/>
    <s v="09:14:PM"/>
    <n v="259175240"/>
    <s v="Male"/>
    <s v="Member"/>
    <s v="Cash"/>
    <x v="4"/>
    <n v="1"/>
    <n v="51.18"/>
    <n v="2"/>
    <n v="25.45"/>
    <n v="117.4633"/>
    <n v="131.30000000000001"/>
    <n v="3.8764546470000001"/>
    <n v="90.061000000000007"/>
  </r>
  <r>
    <x v="2"/>
    <x v="2"/>
    <x v="122"/>
    <s v="07:29:PM"/>
    <n v="481680467"/>
    <s v="Female"/>
    <s v="Normal"/>
    <s v="Credit card"/>
    <x v="4"/>
    <n v="8"/>
    <n v="12.009"/>
    <n v="5"/>
    <n v="32.31"/>
    <n v="135.58080000000001"/>
    <n v="144.30000000000001"/>
    <n v="3.8764546470000001"/>
    <n v="60.534999999999997"/>
  </r>
  <r>
    <x v="1"/>
    <x v="1"/>
    <x v="190"/>
    <s v="10:44:AM"/>
    <n v="362156249"/>
    <s v="Male"/>
    <s v="Member"/>
    <s v="Credit card"/>
    <x v="0"/>
    <n v="1"/>
    <n v="50.44"/>
    <n v="7"/>
    <n v="84.82"/>
    <n v="155.39279999999999"/>
    <n v="457.17"/>
    <n v="3.8764546470000001"/>
    <n v="44.957999999999998"/>
  </r>
  <r>
    <x v="2"/>
    <x v="2"/>
    <x v="143"/>
    <s v="04:12:AM"/>
    <n v="612561924"/>
    <s v="Male"/>
    <s v="Normal"/>
    <s v="Cash"/>
    <x v="3"/>
    <n v="7"/>
    <n v="99.32"/>
    <n v="1"/>
    <n v="35.090000000000003"/>
    <n v="162.57640000000001"/>
    <n v="93.38"/>
    <n v="3.8764546470000001"/>
    <n v="65.489999999999995"/>
  </r>
  <r>
    <x v="1"/>
    <x v="1"/>
    <x v="475"/>
    <s v="08:52:AM"/>
    <n v="592431361"/>
    <s v="Male"/>
    <s v="Member"/>
    <s v="Cash"/>
    <x v="3"/>
    <n v="3"/>
    <n v="63.74"/>
    <n v="5"/>
    <n v="61.13"/>
    <n v="167.66720000000001"/>
    <n v="126.25"/>
    <n v="3.8764546470000001"/>
    <n v="71.819999999999993"/>
  </r>
  <r>
    <x v="2"/>
    <x v="2"/>
    <x v="355"/>
    <s v="02:14:PM"/>
    <n v="449095487"/>
    <s v="Male"/>
    <s v="Member"/>
    <s v="Ewallet"/>
    <x v="1"/>
    <n v="8.1999999999999993"/>
    <n v="70.242000000000004"/>
    <n v="9"/>
    <n v="74.790000000000006"/>
    <n v="172.12020000000001"/>
    <n v="790.83"/>
    <n v="3.8764546470000001"/>
    <n v="62.36"/>
  </r>
  <r>
    <x v="1"/>
    <x v="1"/>
    <x v="260"/>
    <s v="12:57:PM"/>
    <n v="525070902"/>
    <s v="Male"/>
    <s v="Normal"/>
    <s v="Cash"/>
    <x v="0"/>
    <n v="5.4"/>
    <n v="31.5"/>
    <n v="8"/>
    <n v="18.8"/>
    <n v="140.5515"/>
    <n v="174.4"/>
    <n v="3.8764546470000001"/>
    <n v="27.07"/>
  </r>
  <r>
    <x v="0"/>
    <x v="0"/>
    <x v="298"/>
    <s v="06:18:AM"/>
    <n v="591442792"/>
    <s v="Female"/>
    <s v="Normal"/>
    <s v="Ewallet"/>
    <x v="3"/>
    <n v="9.4"/>
    <n v="98.01"/>
    <n v="4"/>
    <n v="31.09"/>
    <n v="148.1414"/>
    <n v="379.04"/>
    <n v="3.8764546470000001"/>
    <n v="58.48"/>
  </r>
  <r>
    <x v="0"/>
    <x v="0"/>
    <x v="82"/>
    <s v="10:10:PM"/>
    <n v="740523633"/>
    <s v="Female"/>
    <s v="Member"/>
    <s v="Credit card"/>
    <x v="5"/>
    <n v="2"/>
    <n v="38.369999999999997"/>
    <n v="1"/>
    <n v="80.06"/>
    <n v="160.4075"/>
    <n v="30.62"/>
    <n v="3.8764546470000001"/>
    <n v="69.180000000000007"/>
  </r>
  <r>
    <x v="1"/>
    <x v="1"/>
    <x v="339"/>
    <s v="12:35:AM"/>
    <n v="440076100"/>
    <s v="Female"/>
    <s v="Normal"/>
    <s v="Cash"/>
    <x v="2"/>
    <n v="7.5"/>
    <n v="41.417000000000002"/>
    <n v="8"/>
    <n v="59.53"/>
    <n v="173.05289999999999"/>
    <n v="352.08"/>
    <n v="3.8764546470000001"/>
    <n v="86.855999999999995"/>
  </r>
  <r>
    <x v="1"/>
    <x v="1"/>
    <x v="148"/>
    <s v="10:24:PM"/>
    <n v="437136320"/>
    <s v="Female"/>
    <s v="Member"/>
    <s v="Ewallet"/>
    <x v="0"/>
    <n v="7.8"/>
    <n v="49.16"/>
    <n v="5"/>
    <n v="67.41"/>
    <n v="117.54430000000001"/>
    <n v="50.8"/>
    <n v="3.8764546470000001"/>
    <n v="43.636000000000003"/>
  </r>
  <r>
    <x v="0"/>
    <x v="0"/>
    <x v="3"/>
    <s v="02:48:AM"/>
    <n v="633540970"/>
    <s v="Male"/>
    <s v="Normal"/>
    <s v="Credit card"/>
    <x v="1"/>
    <n v="9.6"/>
    <n v="24.52"/>
    <n v="7"/>
    <n v="67.75"/>
    <n v="153.5035"/>
    <n v="522.05999999999995"/>
    <n v="3.8764546470000001"/>
    <n v="62.959000000000003"/>
  </r>
  <r>
    <x v="1"/>
    <x v="1"/>
    <x v="76"/>
    <s v="10:31:PM"/>
    <n v="748656730"/>
    <s v="Male"/>
    <s v="Normal"/>
    <s v="Ewallet"/>
    <x v="1"/>
    <n v="5.4"/>
    <n v="68.040000000000006"/>
    <n v="8"/>
    <n v="32.32"/>
    <n v="157.80189999999999"/>
    <n v="575.12"/>
    <n v="3.8764546470000001"/>
    <n v="39.49"/>
  </r>
  <r>
    <x v="1"/>
    <x v="1"/>
    <x v="305"/>
    <s v="08:46:PM"/>
    <n v="266402571"/>
    <s v="Female"/>
    <s v="Normal"/>
    <s v="Credit card"/>
    <x v="0"/>
    <n v="6.7"/>
    <n v="55.95"/>
    <n v="5"/>
    <n v="10.77"/>
    <n v="134.34530000000001"/>
    <n v="54.95"/>
    <n v="3.8764546470000001"/>
    <n v="85.79"/>
  </r>
  <r>
    <x v="1"/>
    <x v="1"/>
    <x v="476"/>
    <s v="12:21:AM"/>
    <n v="806726694"/>
    <s v="Male"/>
    <s v="Member"/>
    <s v="Credit card"/>
    <x v="0"/>
    <n v="1.8"/>
    <n v="82.67"/>
    <n v="3"/>
    <n v="99.65"/>
    <n v="120.87090000000001"/>
    <n v="181.41"/>
    <n v="3.8764546470000001"/>
    <n v="24.26"/>
  </r>
  <r>
    <x v="0"/>
    <x v="0"/>
    <x v="321"/>
    <s v="05:02:PM"/>
    <n v="385987079"/>
    <s v="Male"/>
    <s v="Normal"/>
    <s v="Ewallet"/>
    <x v="3"/>
    <n v="2"/>
    <n v="21.934999999999999"/>
    <n v="7"/>
    <n v="50.89"/>
    <n v="119.5193"/>
    <n v="412.37"/>
    <n v="3.8764546470000001"/>
    <n v="86.65"/>
  </r>
  <r>
    <x v="0"/>
    <x v="0"/>
    <x v="203"/>
    <s v="01:59:AM"/>
    <n v="980949631"/>
    <s v="Male"/>
    <s v="Normal"/>
    <s v="Credit card"/>
    <x v="5"/>
    <n v="2"/>
    <n v="27.96"/>
    <n v="1"/>
    <n v="64.319999999999993"/>
    <n v="152.78370000000001"/>
    <n v="46.41"/>
    <n v="3.8764546470000001"/>
    <n v="71.900000000000006"/>
  </r>
  <r>
    <x v="1"/>
    <x v="1"/>
    <x v="305"/>
    <s v="10:31:PM"/>
    <n v="164571768"/>
    <s v="Male"/>
    <s v="Member"/>
    <s v="Credit card"/>
    <x v="0"/>
    <n v="7"/>
    <n v="39.83"/>
    <n v="4"/>
    <n v="68.53"/>
    <n v="152.63140000000001"/>
    <n v="274.2"/>
    <n v="3.8764546470000001"/>
    <n v="17.126999999999999"/>
  </r>
  <r>
    <x v="2"/>
    <x v="2"/>
    <x v="477"/>
    <s v="06:26:PM"/>
    <n v="180334009"/>
    <s v="Female"/>
    <s v="Normal"/>
    <s v="Credit card"/>
    <x v="2"/>
    <n v="9"/>
    <n v="90.5"/>
    <n v="10"/>
    <n v="94.49"/>
    <n v="127.45740000000001"/>
    <n v="973.7"/>
    <n v="3.8764546470000001"/>
    <n v="79.930000000000007"/>
  </r>
  <r>
    <x v="0"/>
    <x v="0"/>
    <x v="281"/>
    <s v="10:52:PM"/>
    <n v="873328667"/>
    <s v="Male"/>
    <s v="Member"/>
    <s v="Credit card"/>
    <x v="1"/>
    <n v="8"/>
    <n v="47.19"/>
    <n v="7"/>
    <n v="64.53"/>
    <n v="174.1951"/>
    <n v="648.20000000000005"/>
    <n v="3.8764546470000001"/>
    <n v="59.786999999999999"/>
  </r>
  <r>
    <x v="0"/>
    <x v="0"/>
    <x v="478"/>
    <s v="06:04:AM"/>
    <n v="233476184"/>
    <s v="Female"/>
    <s v="Normal"/>
    <s v="Credit card"/>
    <x v="1"/>
    <n v="1"/>
    <n v="66.831999999999994"/>
    <n v="2"/>
    <n v="26.4"/>
    <n v="136.02109999999999"/>
    <n v="93.22"/>
    <n v="3.8764546470000001"/>
    <n v="19.527999999999999"/>
  </r>
  <r>
    <x v="2"/>
    <x v="2"/>
    <x v="86"/>
    <s v="12:57:PM"/>
    <n v="828776349"/>
    <s v="Male"/>
    <s v="Normal"/>
    <s v="Ewallet"/>
    <x v="5"/>
    <n v="3"/>
    <n v="76.510000000000005"/>
    <n v="2"/>
    <n v="40.15"/>
    <n v="139.33189999999999"/>
    <n v="54.36"/>
    <n v="3.8764546470000001"/>
    <n v="55.256"/>
  </r>
  <r>
    <x v="1"/>
    <x v="1"/>
    <x v="479"/>
    <s v="12:22:PM"/>
    <n v="270887162"/>
    <s v="Female"/>
    <s v="Member"/>
    <s v="Cash"/>
    <x v="2"/>
    <n v="3"/>
    <n v="56.96"/>
    <n v="1"/>
    <n v="12.4"/>
    <n v="176.15299999999999"/>
    <n v="60.87"/>
    <n v="3.8764546470000001"/>
    <n v="88.138999999999996"/>
  </r>
  <r>
    <x v="0"/>
    <x v="0"/>
    <x v="294"/>
    <s v="09:55:AM"/>
    <n v="935678176"/>
    <s v="Female"/>
    <s v="Member"/>
    <s v="Cash"/>
    <x v="3"/>
    <n v="7"/>
    <n v="27.74"/>
    <n v="10"/>
    <n v="38.869999999999997"/>
    <n v="111.3653"/>
    <n v="244.9"/>
    <n v="3.8764546470000001"/>
    <n v="18.896000000000001"/>
  </r>
  <r>
    <x v="2"/>
    <x v="2"/>
    <x v="59"/>
    <s v="05:15:AM"/>
    <n v="208694821"/>
    <s v="Male"/>
    <s v="Normal"/>
    <s v="Credit card"/>
    <x v="0"/>
    <n v="2.4"/>
    <n v="45.18"/>
    <n v="1"/>
    <n v="67.83"/>
    <n v="147.79759999999999"/>
    <n v="92.78"/>
    <n v="3.8764546470000001"/>
    <n v="86.97"/>
  </r>
  <r>
    <x v="1"/>
    <x v="1"/>
    <x v="88"/>
    <s v="12:35:AM"/>
    <n v="454772753"/>
    <s v="Male"/>
    <s v="Member"/>
    <s v="Ewallet"/>
    <x v="2"/>
    <n v="1.4"/>
    <n v="65.465000000000003"/>
    <n v="5"/>
    <n v="58.68"/>
    <n v="159.4683"/>
    <n v="433.45"/>
    <n v="3.8764546470000001"/>
    <n v="13.14"/>
  </r>
  <r>
    <x v="2"/>
    <x v="2"/>
    <x v="480"/>
    <s v="09:07:PM"/>
    <n v="759140727"/>
    <s v="Male"/>
    <s v="Normal"/>
    <s v="Ewallet"/>
    <x v="3"/>
    <n v="2.1"/>
    <n v="14.97"/>
    <n v="6"/>
    <n v="62.11"/>
    <n v="155.1936"/>
    <n v="138.06"/>
    <n v="3.8764546470000001"/>
    <n v="13.85"/>
  </r>
  <r>
    <x v="1"/>
    <x v="1"/>
    <x v="481"/>
    <s v="02:49:PM"/>
    <n v="630972846"/>
    <s v="Female"/>
    <s v="Member"/>
    <s v="Ewallet"/>
    <x v="1"/>
    <n v="7.5"/>
    <n v="46.1"/>
    <n v="8"/>
    <n v="90.46"/>
    <n v="102.7826"/>
    <n v="241.6"/>
    <n v="3.8764546470000001"/>
    <n v="87.76"/>
  </r>
  <r>
    <x v="1"/>
    <x v="1"/>
    <x v="381"/>
    <s v="04:06:PM"/>
    <n v="795787749"/>
    <s v="Male"/>
    <s v="Member"/>
    <s v="Ewallet"/>
    <x v="5"/>
    <n v="2.2999999999999998"/>
    <n v="83.64"/>
    <n v="7"/>
    <n v="85.12"/>
    <n v="126.5273"/>
    <n v="471.73"/>
    <n v="3.8764546470000001"/>
    <n v="28.42"/>
  </r>
  <r>
    <x v="0"/>
    <x v="0"/>
    <x v="482"/>
    <s v="01:04:PM"/>
    <n v="250651924"/>
    <s v="Female"/>
    <s v="Member"/>
    <s v="Cash"/>
    <x v="5"/>
    <n v="3.3"/>
    <n v="89.98"/>
    <n v="9"/>
    <n v="53.09"/>
    <n v="127.1"/>
    <n v="440.64"/>
    <n v="3.8764546470000001"/>
    <n v="71.825999999999993"/>
  </r>
  <r>
    <x v="2"/>
    <x v="2"/>
    <x v="365"/>
    <s v="01:39:PM"/>
    <n v="257091138"/>
    <s v="Female"/>
    <s v="Member"/>
    <s v="Cash"/>
    <x v="1"/>
    <n v="6.4"/>
    <n v="70.180000000000007"/>
    <n v="9"/>
    <n v="24.63"/>
    <n v="129.5"/>
    <n v="680.31"/>
    <n v="3.8764546470000001"/>
    <n v="91.570999999999998"/>
  </r>
  <r>
    <x v="0"/>
    <x v="0"/>
    <x v="483"/>
    <s v="01:32:PM"/>
    <n v="197017748"/>
    <s v="Female"/>
    <s v="Normal"/>
    <s v="Cash"/>
    <x v="2"/>
    <n v="2.6"/>
    <n v="62.4"/>
    <n v="4"/>
    <n v="32.25"/>
    <n v="126.7"/>
    <n v="309.88"/>
    <n v="3.8764546470000001"/>
    <n v="45.223999999999997"/>
  </r>
  <r>
    <x v="0"/>
    <x v="0"/>
    <x v="356"/>
    <s v="02:06:AM"/>
    <n v="724089601"/>
    <s v="Female"/>
    <s v="Normal"/>
    <s v="Credit card"/>
    <x v="3"/>
    <n v="4"/>
    <n v="44.26"/>
    <n v="2"/>
    <n v="37.99"/>
    <n v="126.6"/>
    <n v="186.36"/>
    <n v="3.8764546470000001"/>
    <n v="12.59"/>
  </r>
  <r>
    <x v="0"/>
    <x v="0"/>
    <x v="183"/>
    <s v="01:25:PM"/>
    <n v="391719343"/>
    <s v="Female"/>
    <s v="Normal"/>
    <s v="Cash"/>
    <x v="1"/>
    <n v="1"/>
    <n v="96.73"/>
    <n v="4"/>
    <n v="89.2"/>
    <n v="148.54589999999999"/>
    <n v="200.92"/>
    <n v="3.8764546470000001"/>
    <n v="68.766999999999996"/>
  </r>
  <r>
    <x v="2"/>
    <x v="2"/>
    <x v="484"/>
    <s v="05:15:AM"/>
    <n v="131316386"/>
    <s v="Female"/>
    <s v="Normal"/>
    <s v="Cash"/>
    <x v="0"/>
    <n v="10"/>
    <n v="48.466999999999999"/>
    <n v="1"/>
    <n v="30.71"/>
    <n v="152.83349999999999"/>
    <n v="17.75"/>
    <n v="3.8764546470000001"/>
    <n v="70.08"/>
  </r>
  <r>
    <x v="1"/>
    <x v="1"/>
    <x v="281"/>
    <s v="04:05:AM"/>
    <n v="351079416"/>
    <s v="Female"/>
    <s v="Normal"/>
    <s v="Ewallet"/>
    <x v="5"/>
    <n v="9"/>
    <n v="34.729999999999997"/>
    <n v="10"/>
    <n v="33.840000000000003"/>
    <n v="126.52209999999999"/>
    <n v="621.79999999999995"/>
    <n v="3.8764546470000001"/>
    <n v="65.537000000000006"/>
  </r>
  <r>
    <x v="2"/>
    <x v="2"/>
    <x v="161"/>
    <s v="08:32:PM"/>
    <n v="981799916"/>
    <s v="Male"/>
    <s v="Normal"/>
    <s v="Ewallet"/>
    <x v="0"/>
    <n v="2"/>
    <n v="89.02"/>
    <n v="8"/>
    <n v="29.14"/>
    <n v="120.44540000000001"/>
    <n v="86"/>
    <n v="3.8764546470000001"/>
    <n v="82.472999999999999"/>
  </r>
  <r>
    <x v="0"/>
    <x v="0"/>
    <x v="485"/>
    <s v="09:28:PM"/>
    <n v="700419447"/>
    <s v="Female"/>
    <s v="Normal"/>
    <s v="Credit card"/>
    <x v="1"/>
    <n v="7"/>
    <n v="17.41"/>
    <n v="10"/>
    <n v="89.7"/>
    <n v="159.6"/>
    <n v="402.6"/>
    <n v="3.8764546470000001"/>
    <n v="51.05"/>
  </r>
  <r>
    <x v="1"/>
    <x v="1"/>
    <x v="142"/>
    <s v="09:48:AM"/>
    <n v="123431688"/>
    <s v="Female"/>
    <s v="Member"/>
    <s v="Credit card"/>
    <x v="3"/>
    <n v="4"/>
    <n v="80.25"/>
    <n v="5"/>
    <n v="50.93"/>
    <n v="184.9"/>
    <n v="324.85000000000002"/>
    <n v="3.8764546470000001"/>
    <n v="76.3"/>
  </r>
  <r>
    <x v="0"/>
    <x v="0"/>
    <x v="204"/>
    <s v="06:39:AM"/>
    <n v="782754152"/>
    <s v="Male"/>
    <s v="Normal"/>
    <s v="Cash"/>
    <x v="1"/>
    <n v="3"/>
    <n v="77.989999999999995"/>
    <n v="1"/>
    <n v="35.5"/>
    <n v="169.4"/>
    <n v="95.15"/>
    <n v="3.8764546470000001"/>
    <n v="18.47"/>
  </r>
  <r>
    <x v="0"/>
    <x v="0"/>
    <x v="238"/>
    <s v="04:40:AM"/>
    <n v="437473540"/>
    <s v="Female"/>
    <s v="Member"/>
    <s v="Cash"/>
    <x v="1"/>
    <n v="9"/>
    <n v="32.840000000000003"/>
    <n v="8"/>
    <n v="53.18"/>
    <n v="179.1"/>
    <n v="388.96"/>
    <n v="3.8764546470000001"/>
    <n v="76.75"/>
  </r>
  <r>
    <x v="2"/>
    <x v="2"/>
    <x v="486"/>
    <s v="07:14:AM"/>
    <n v="521075998"/>
    <s v="Female"/>
    <s v="Normal"/>
    <s v="Ewallet"/>
    <x v="4"/>
    <n v="2"/>
    <n v="49.1"/>
    <n v="8"/>
    <n v="60.39"/>
    <n v="108.9"/>
    <n v="425.68"/>
    <n v="3.8764546470000001"/>
    <n v="28.02"/>
  </r>
  <r>
    <x v="1"/>
    <x v="1"/>
    <x v="487"/>
    <s v="07:21:AM"/>
    <n v="310652659"/>
    <s v="Female"/>
    <s v="Normal"/>
    <s v="Cash"/>
    <x v="5"/>
    <n v="7"/>
    <n v="11.7"/>
    <n v="7"/>
    <n v="19.510000000000002"/>
    <n v="138.131"/>
    <n v="318.08"/>
    <n v="3.8764546470000001"/>
    <n v="55.14"/>
  </r>
  <r>
    <x v="0"/>
    <x v="0"/>
    <x v="296"/>
    <s v="10:16:AM"/>
    <n v="250593079"/>
    <s v="Male"/>
    <s v="Normal"/>
    <s v="Ewallet"/>
    <x v="4"/>
    <n v="8.1"/>
    <n v="68.367999999999995"/>
    <n v="8"/>
    <n v="17.87"/>
    <n v="130.77199999999999"/>
    <n v="271.04000000000002"/>
    <n v="3.8764546470000001"/>
    <n v="32.840000000000003"/>
  </r>
  <r>
    <x v="2"/>
    <x v="2"/>
    <x v="488"/>
    <s v="02:35:PM"/>
    <n v="561116668"/>
    <s v="Male"/>
    <s v="Member"/>
    <s v="Credit card"/>
    <x v="0"/>
    <n v="4.5"/>
    <n v="95.45"/>
    <n v="4"/>
    <n v="78.02"/>
    <n v="182.2313"/>
    <n v="384.64"/>
    <n v="3.8764546470000001"/>
    <n v="69.435000000000002"/>
  </r>
  <r>
    <x v="2"/>
    <x v="2"/>
    <x v="424"/>
    <s v="05:09:PM"/>
    <n v="523365944"/>
    <s v="Male"/>
    <s v="Member"/>
    <s v="Credit card"/>
    <x v="4"/>
    <n v="9"/>
    <n v="24.18"/>
    <n v="5"/>
    <n v="12.99"/>
    <n v="127.81270000000001"/>
    <n v="235.8"/>
    <n v="3.8764546470000001"/>
    <n v="55.274999999999999"/>
  </r>
  <r>
    <x v="2"/>
    <x v="2"/>
    <x v="489"/>
    <s v="11:33:AM"/>
    <n v="366081301"/>
    <s v="Male"/>
    <s v="Normal"/>
    <s v="Ewallet"/>
    <x v="1"/>
    <n v="5.7"/>
    <n v="68.45"/>
    <n v="4"/>
    <n v="22.25"/>
    <n v="162.06950000000001"/>
    <n v="211.56"/>
    <n v="3.8764546470000001"/>
    <n v="67.141000000000005"/>
  </r>
  <r>
    <x v="0"/>
    <x v="0"/>
    <x v="291"/>
    <s v="01:03:AM"/>
    <n v="300189467"/>
    <s v="Female"/>
    <s v="Member"/>
    <s v="Credit card"/>
    <x v="2"/>
    <n v="2.5"/>
    <n v="10.66"/>
    <n v="2"/>
    <n v="72.52"/>
    <n v="103.6631"/>
    <n v="95.36"/>
    <n v="3.8764546470000001"/>
    <n v="56.151000000000003"/>
  </r>
  <r>
    <x v="1"/>
    <x v="1"/>
    <x v="116"/>
    <s v="05:57:AM"/>
    <n v="526143368"/>
    <s v="Male"/>
    <s v="Member"/>
    <s v="Cash"/>
    <x v="3"/>
    <n v="2.1"/>
    <n v="33.6"/>
    <n v="1"/>
    <n v="49.76"/>
    <n v="100.3"/>
    <n v="10.17"/>
    <n v="3.8764546470000001"/>
    <n v="16.585999999999999"/>
  </r>
  <r>
    <x v="0"/>
    <x v="0"/>
    <x v="325"/>
    <s v="08:25:PM"/>
    <n v="456383097"/>
    <s v="Female"/>
    <s v="Normal"/>
    <s v="Cash"/>
    <x v="0"/>
    <n v="8.6"/>
    <n v="90.64"/>
    <n v="3"/>
    <n v="23.12"/>
    <n v="109.1"/>
    <n v="206.13"/>
    <n v="3.8764546470000001"/>
    <n v="26.27"/>
  </r>
  <r>
    <x v="2"/>
    <x v="2"/>
    <x v="324"/>
    <s v="05:29:AM"/>
    <n v="610113673"/>
    <s v="Female"/>
    <s v="Member"/>
    <s v="Credit card"/>
    <x v="3"/>
    <n v="8.1999999999999993"/>
    <n v="94.350999999999999"/>
    <n v="7"/>
    <n v="94.46"/>
    <n v="126.4"/>
    <n v="420.56"/>
    <n v="3.8764546470000001"/>
    <n v="71.27"/>
  </r>
  <r>
    <x v="0"/>
    <x v="0"/>
    <x v="483"/>
    <s v="10:44:AM"/>
    <n v="322644142"/>
    <s v="Female"/>
    <s v="Member"/>
    <s v="Credit card"/>
    <x v="3"/>
    <n v="9"/>
    <n v="98.98"/>
    <n v="4"/>
    <n v="15.86"/>
    <n v="162.69999999999999"/>
    <n v="88.04"/>
    <n v="3.8764546470000001"/>
    <n v="70.447999999999993"/>
  </r>
  <r>
    <x v="2"/>
    <x v="2"/>
    <x v="140"/>
    <s v="01:59:AM"/>
    <n v="743640143"/>
    <s v="Female"/>
    <s v="Member"/>
    <s v="Credit card"/>
    <x v="0"/>
    <n v="3.7"/>
    <n v="28.52"/>
    <n v="9"/>
    <n v="59.15"/>
    <n v="160.6"/>
    <n v="648.99"/>
    <n v="3.8764546470000001"/>
    <n v="94.603999999999999"/>
  </r>
  <r>
    <x v="0"/>
    <x v="0"/>
    <x v="32"/>
    <s v="02:42:PM"/>
    <n v="235805393"/>
    <s v="Male"/>
    <s v="Member"/>
    <s v="Credit card"/>
    <x v="5"/>
    <n v="3.5"/>
    <n v="74.89"/>
    <n v="3"/>
    <n v="61.86"/>
    <n v="103.77379999999999"/>
    <n v="123.84"/>
    <n v="3.8764546470000001"/>
    <n v="59.631999999999998"/>
  </r>
  <r>
    <x v="1"/>
    <x v="1"/>
    <x v="75"/>
    <s v="09:13:AM"/>
    <n v="160373931"/>
    <s v="Male"/>
    <s v="Normal"/>
    <s v="Cash"/>
    <x v="1"/>
    <n v="5.7"/>
    <n v="12.08"/>
    <n v="10"/>
    <n v="86.41"/>
    <n v="162.19839999999999"/>
    <n v="649.5"/>
    <n v="3.8764546470000001"/>
    <n v="43.11"/>
  </r>
  <r>
    <x v="0"/>
    <x v="0"/>
    <x v="490"/>
    <s v="08:31:AM"/>
    <n v="96350396"/>
    <s v="Female"/>
    <s v="Member"/>
    <s v="Credit card"/>
    <x v="1"/>
    <n v="1.3"/>
    <n v="93.98"/>
    <n v="10"/>
    <n v="51.59"/>
    <n v="169.77359999999999"/>
    <n v="742.2"/>
    <n v="3.8764546470000001"/>
    <n v="20.58"/>
  </r>
  <r>
    <x v="0"/>
    <x v="0"/>
    <x v="125"/>
    <s v="08:45:AM"/>
    <n v="251193168"/>
    <s v="Male"/>
    <s v="Normal"/>
    <s v="Cash"/>
    <x v="1"/>
    <n v="4.7"/>
    <n v="94.39"/>
    <n v="8"/>
    <n v="18.559999999999999"/>
    <n v="159.80340000000001"/>
    <n v="84.48"/>
    <n v="3.8764546470000001"/>
    <n v="19.05"/>
  </r>
  <r>
    <x v="2"/>
    <x v="2"/>
    <x v="491"/>
    <s v="05:29:AM"/>
    <n v="522892526"/>
    <s v="Male"/>
    <s v="Normal"/>
    <s v="Cash"/>
    <x v="0"/>
    <n v="3.7"/>
    <n v="72.69"/>
    <n v="4"/>
    <n v="26.01"/>
    <n v="147.8612"/>
    <n v="250.28"/>
    <n v="3.8764546470000001"/>
    <n v="23.86"/>
  </r>
  <r>
    <x v="2"/>
    <x v="2"/>
    <x v="425"/>
    <s v="03:51:AM"/>
    <n v="150133081"/>
    <s v="Female"/>
    <s v="Member"/>
    <s v="Cash"/>
    <x v="3"/>
    <n v="6.2"/>
    <n v="83.97"/>
    <n v="8"/>
    <n v="46.63"/>
    <n v="156.60599999999999"/>
    <n v="94.8"/>
    <n v="3.8764546470000001"/>
    <n v="48"/>
  </r>
  <r>
    <x v="0"/>
    <x v="0"/>
    <x v="272"/>
    <s v="05:50:AM"/>
    <n v="127843217"/>
    <s v="Male"/>
    <s v="Member"/>
    <s v="Ewallet"/>
    <x v="0"/>
    <n v="8.1"/>
    <n v="63.52"/>
    <n v="1"/>
    <n v="93.21"/>
    <n v="115.1"/>
    <n v="91.3"/>
    <n v="3.8764546470000001"/>
    <n v="51.93"/>
  </r>
  <r>
    <x v="2"/>
    <x v="2"/>
    <x v="463"/>
    <s v="01:18:PM"/>
    <n v="701758900"/>
    <s v="Female"/>
    <s v="Member"/>
    <s v="Ewallet"/>
    <x v="2"/>
    <n v="6"/>
    <n v="70.58"/>
    <n v="7"/>
    <n v="39.700000000000003"/>
    <n v="137.80000000000001"/>
    <n v="285.11"/>
    <n v="3.8764546470000001"/>
    <n v="58.89"/>
  </r>
  <r>
    <x v="0"/>
    <x v="0"/>
    <x v="492"/>
    <s v="09:28:PM"/>
    <n v="41075997"/>
    <s v="Male"/>
    <s v="Normal"/>
    <s v="Cash"/>
    <x v="5"/>
    <n v="5"/>
    <n v="63.61"/>
    <n v="1"/>
    <n v="15.24"/>
    <n v="127.2"/>
    <n v="52.38"/>
    <n v="3.8764546470000001"/>
    <n v="75.12"/>
  </r>
  <r>
    <x v="0"/>
    <x v="0"/>
    <x v="95"/>
    <s v="08:11:PM"/>
    <n v="138240570"/>
    <s v="Male"/>
    <s v="Member"/>
    <s v="Ewallet"/>
    <x v="5"/>
    <n v="4.9000000000000004"/>
    <n v="58.51"/>
    <n v="5"/>
    <n v="92.91"/>
    <n v="184.7"/>
    <n v="192.7"/>
    <n v="3.8764546470000001"/>
    <n v="98.4"/>
  </r>
  <r>
    <x v="2"/>
    <x v="2"/>
    <x v="410"/>
    <s v="01:10:AM"/>
    <n v="427695533"/>
    <s v="Male"/>
    <s v="Normal"/>
    <s v="Credit card"/>
    <x v="3"/>
    <n v="3.7"/>
    <n v="87.05"/>
    <n v="6"/>
    <n v="89.21"/>
    <n v="146.80000000000001"/>
    <n v="267.77999999999997"/>
    <n v="3.8764546470000001"/>
    <n v="26.632999999999999"/>
  </r>
  <r>
    <x v="1"/>
    <x v="1"/>
    <x v="169"/>
    <s v="02:20:AM"/>
    <n v="726870192"/>
    <s v="Male"/>
    <s v="Normal"/>
    <s v="Cash"/>
    <x v="1"/>
    <n v="8.3000000000000007"/>
    <n v="98.95"/>
    <n v="10"/>
    <n v="47.02"/>
    <n v="148.6"/>
    <n v="558.70000000000005"/>
    <n v="3.8764546470000001"/>
    <n v="53.823999999999998"/>
  </r>
  <r>
    <x v="1"/>
    <x v="1"/>
    <x v="493"/>
    <s v="03:44:AM"/>
    <n v="135874068"/>
    <s v="Female"/>
    <s v="Member"/>
    <s v="Ewallet"/>
    <x v="3"/>
    <n v="2.1"/>
    <n v="15.68"/>
    <n v="6"/>
    <n v="92.17"/>
    <n v="131.78290000000001"/>
    <n v="175.32"/>
    <n v="3.8764546470000001"/>
    <n v="16.065000000000001"/>
  </r>
  <r>
    <x v="0"/>
    <x v="0"/>
    <x v="96"/>
    <s v="07:43:PM"/>
    <n v="51422785"/>
    <s v="Male"/>
    <s v="Normal"/>
    <s v="Cash"/>
    <x v="5"/>
    <n v="3.6"/>
    <n v="53.9"/>
    <n v="3"/>
    <n v="88.5"/>
    <n v="147.45179999999999"/>
    <n v="155.82"/>
    <n v="3.8764546470000001"/>
    <n v="98.091999999999999"/>
  </r>
  <r>
    <x v="2"/>
    <x v="2"/>
    <x v="246"/>
    <s v="11:41:PM"/>
    <n v="15531732"/>
    <s v="Male"/>
    <s v="Normal"/>
    <s v="Cash"/>
    <x v="1"/>
    <n v="4"/>
    <n v="10.29"/>
    <n v="1"/>
    <n v="91.39"/>
    <n v="129.2183"/>
    <n v="60.3"/>
    <n v="3.8764546470000001"/>
    <n v="56.906999999999996"/>
  </r>
  <r>
    <x v="0"/>
    <x v="0"/>
    <x v="246"/>
    <s v="01:11:PM"/>
    <n v="930524365"/>
    <s v="Female"/>
    <s v="Member"/>
    <s v="Credit card"/>
    <x v="3"/>
    <n v="5"/>
    <n v="42.07"/>
    <n v="2"/>
    <n v="84.09"/>
    <n v="165.56569999999999"/>
    <n v="78.94"/>
    <n v="3.8764546470000001"/>
    <n v="48.957000000000001"/>
  </r>
  <r>
    <x v="1"/>
    <x v="1"/>
    <x v="469"/>
    <s v="03:59:PM"/>
    <n v="483050090"/>
    <s v="Female"/>
    <s v="Member"/>
    <s v="Credit card"/>
    <x v="4"/>
    <n v="1"/>
    <n v="75.774000000000001"/>
    <n v="2"/>
    <n v="84.49"/>
    <n v="161.727"/>
    <n v="29.74"/>
    <n v="3.8764546470000001"/>
    <n v="93.355000000000004"/>
  </r>
  <r>
    <x v="0"/>
    <x v="0"/>
    <x v="283"/>
    <s v="02:49:PM"/>
    <n v="387277867"/>
    <s v="Male"/>
    <s v="Normal"/>
    <s v="Cash"/>
    <x v="5"/>
    <n v="3"/>
    <n v="60.27"/>
    <n v="1"/>
    <n v="29.14"/>
    <n v="136.4597"/>
    <n v="21.32"/>
    <n v="3.8764546470000001"/>
    <n v="21.76"/>
  </r>
  <r>
    <x v="0"/>
    <x v="0"/>
    <x v="77"/>
    <s v="08:04:PM"/>
    <n v="688314667"/>
    <s v="Male"/>
    <s v="Member"/>
    <s v="Credit card"/>
    <x v="1"/>
    <n v="5.6"/>
    <n v="62.25"/>
    <n v="3"/>
    <n v="39.72"/>
    <n v="159.0924"/>
    <n v="281.33999999999997"/>
    <n v="3.8764546470000001"/>
    <n v="84.61"/>
  </r>
  <r>
    <x v="0"/>
    <x v="0"/>
    <x v="397"/>
    <s v="08:32:PM"/>
    <n v="915702641"/>
    <s v="Male"/>
    <s v="Member"/>
    <s v="Ewallet"/>
    <x v="1"/>
    <n v="5.5"/>
    <n v="29.73"/>
    <n v="1"/>
    <n v="40.65"/>
    <n v="114.8"/>
    <n v="73.260000000000005"/>
    <n v="3.8764546470000001"/>
    <n v="64.599999999999994"/>
  </r>
  <r>
    <x v="1"/>
    <x v="1"/>
    <x v="230"/>
    <s v="07:14:AM"/>
    <n v="70454842"/>
    <s v="Female"/>
    <s v="Normal"/>
    <s v="Credit card"/>
    <x v="3"/>
    <n v="5.2"/>
    <n v="68.36"/>
    <n v="1"/>
    <n v="12.61"/>
    <n v="139.1123"/>
    <n v="22.38"/>
    <n v="3.8764546470000001"/>
    <n v="51.05"/>
  </r>
  <r>
    <x v="1"/>
    <x v="1"/>
    <x v="174"/>
    <s v="05:43:AM"/>
    <n v="572828354"/>
    <s v="Female"/>
    <s v="Member"/>
    <s v="Cash"/>
    <x v="4"/>
    <n v="6.2"/>
    <n v="39.86"/>
    <n v="9"/>
    <n v="11.49"/>
    <n v="176.5385"/>
    <n v="655.92"/>
    <n v="3.8764546470000001"/>
    <n v="23.233000000000001"/>
  </r>
  <r>
    <x v="0"/>
    <x v="0"/>
    <x v="494"/>
    <s v="09:27:AM"/>
    <n v="624957789"/>
    <s v="Female"/>
    <s v="Normal"/>
    <s v="Cash"/>
    <x v="5"/>
    <n v="1.9"/>
    <n v="39.838000000000001"/>
    <n v="6"/>
    <n v="64.22"/>
    <n v="173.61070000000001"/>
    <n v="594.6"/>
    <n v="3.8764546470000001"/>
    <n v="91.659000000000006"/>
  </r>
  <r>
    <x v="0"/>
    <x v="0"/>
    <x v="7"/>
    <s v="12:50:PM"/>
    <n v="149151469"/>
    <s v="Male"/>
    <s v="Normal"/>
    <s v="Cash"/>
    <x v="5"/>
    <n v="8.4"/>
    <n v="34.880000000000003"/>
    <n v="1"/>
    <n v="43.97"/>
    <n v="145.37880000000001"/>
    <n v="74.099999999999994"/>
    <n v="3.8764546470000001"/>
    <n v="36.86"/>
  </r>
  <r>
    <x v="0"/>
    <x v="0"/>
    <x v="104"/>
    <s v="07:56:AM"/>
    <n v="987833145"/>
    <s v="Female"/>
    <s v="Normal"/>
    <s v="Ewallet"/>
    <x v="5"/>
    <n v="8.8000000000000007"/>
    <n v="15.26"/>
    <n v="2"/>
    <n v="57"/>
    <n v="115.8"/>
    <n v="196.96"/>
    <n v="3.8764546470000001"/>
    <n v="26.826000000000001"/>
  </r>
  <r>
    <x v="1"/>
    <x v="1"/>
    <x v="495"/>
    <s v="03:44:AM"/>
    <n v="916439006"/>
    <s v="Male"/>
    <s v="Normal"/>
    <s v="Ewallet"/>
    <x v="0"/>
    <n v="4.8"/>
    <n v="10.76"/>
    <n v="7"/>
    <n v="70.52"/>
    <n v="125.9928"/>
    <n v="372.33"/>
    <n v="3.8764546470000001"/>
    <n v="28.606000000000002"/>
  </r>
  <r>
    <x v="2"/>
    <x v="2"/>
    <x v="496"/>
    <s v="04:12:AM"/>
    <n v="632699156"/>
    <s v="Female"/>
    <s v="Normal"/>
    <s v="Ewallet"/>
    <x v="1"/>
    <n v="6.8"/>
    <n v="87.8"/>
    <n v="10"/>
    <n v="19.989999999999998"/>
    <n v="155.13460000000001"/>
    <n v="527.9"/>
    <n v="3.8764546470000001"/>
    <n v="54.621000000000002"/>
  </r>
  <r>
    <x v="0"/>
    <x v="0"/>
    <x v="497"/>
    <s v="04:26:AM"/>
    <n v="113704689"/>
    <s v="Female"/>
    <s v="Member"/>
    <s v="Ewallet"/>
    <x v="0"/>
    <n v="1"/>
    <n v="30.77"/>
    <n v="5"/>
    <n v="34.799999999999997"/>
    <n v="107.9"/>
    <n v="479.75"/>
    <n v="3.8764546470000001"/>
    <n v="83.608000000000004"/>
  </r>
  <r>
    <x v="2"/>
    <x v="2"/>
    <x v="255"/>
    <s v="09:55:AM"/>
    <n v="448200262"/>
    <s v="Female"/>
    <s v="Normal"/>
    <s v="Cash"/>
    <x v="5"/>
    <n v="2"/>
    <n v="88.02"/>
    <n v="9"/>
    <n v="20.97"/>
    <n v="112.45610000000001"/>
    <n v="328.59"/>
    <n v="3.8764546470000001"/>
    <n v="66.066999999999993"/>
  </r>
  <r>
    <x v="2"/>
    <x v="2"/>
    <x v="479"/>
    <s v="08:46:PM"/>
    <n v="432860432"/>
    <s v="Male"/>
    <s v="Normal"/>
    <s v="Cash"/>
    <x v="4"/>
    <n v="9.6"/>
    <n v="21.19"/>
    <n v="8"/>
    <n v="56.21"/>
    <n v="176.77789999999999"/>
    <n v="168.96"/>
    <n v="3.8764546470000001"/>
    <n v="79.412000000000006"/>
  </r>
  <r>
    <x v="0"/>
    <x v="0"/>
    <x v="498"/>
    <s v="01:45:AM"/>
    <n v="827602225"/>
    <s v="Female"/>
    <s v="Member"/>
    <s v="Cash"/>
    <x v="2"/>
    <n v="5.2"/>
    <n v="84.75"/>
    <n v="4"/>
    <n v="63.46"/>
    <n v="121.2345"/>
    <n v="113.24"/>
    <n v="3.8764546470000001"/>
    <n v="30.55"/>
  </r>
  <r>
    <x v="2"/>
    <x v="2"/>
    <x v="4"/>
    <s v="04:12:AM"/>
    <n v="842982114"/>
    <s v="Male"/>
    <s v="Normal"/>
    <s v="Cash"/>
    <x v="0"/>
    <n v="8.1"/>
    <n v="87.656999999999996"/>
    <n v="6"/>
    <n v="68.31"/>
    <n v="175.78440000000001"/>
    <n v="345.54"/>
    <n v="3.8764546470000001"/>
    <n v="98.73"/>
  </r>
  <r>
    <x v="0"/>
    <x v="0"/>
    <x v="435"/>
    <s v="05:29:AM"/>
    <n v="464625601"/>
    <s v="Female"/>
    <s v="Member"/>
    <s v="Cash"/>
    <x v="4"/>
    <n v="7.9"/>
    <n v="65.98"/>
    <n v="9"/>
    <n v="92.29"/>
    <n v="102.4"/>
    <n v="428.67"/>
    <n v="3.8764546470000001"/>
    <n v="49.476999999999997"/>
  </r>
  <r>
    <x v="1"/>
    <x v="1"/>
    <x v="499"/>
    <s v="07:42:AM"/>
    <n v="743489368"/>
    <s v="Female"/>
    <s v="Member"/>
    <s v="Ewallet"/>
    <x v="2"/>
    <n v="8.9"/>
    <n v="71.86"/>
    <n v="1"/>
    <n v="48.38"/>
    <n v="166.3"/>
    <n v="86.27"/>
    <n v="3.8764546470000001"/>
    <n v="66.522999999999996"/>
  </r>
  <r>
    <x v="0"/>
    <x v="0"/>
    <x v="114"/>
    <s v="08:31:AM"/>
    <n v="494464020"/>
    <s v="Male"/>
    <s v="Member"/>
    <s v="Ewallet"/>
    <x v="3"/>
    <n v="6.4"/>
    <n v="21.687000000000001"/>
    <n v="2"/>
    <n v="32.65"/>
    <n v="120.5"/>
    <n v="25.52"/>
    <n v="3.8764546470000001"/>
    <n v="39.375999999999998"/>
  </r>
  <r>
    <x v="2"/>
    <x v="2"/>
    <x v="58"/>
    <s v="11:12:AM"/>
    <n v="15025032"/>
    <s v="Female"/>
    <s v="Normal"/>
    <s v="Credit card"/>
    <x v="2"/>
    <n v="2.2000000000000002"/>
    <n v="98.62"/>
    <n v="9"/>
    <n v="95.98"/>
    <n v="112.3"/>
    <n v="101.52"/>
    <n v="3.8764546470000001"/>
    <n v="74.191999999999993"/>
  </r>
  <r>
    <x v="2"/>
    <x v="2"/>
    <x v="69"/>
    <s v="07:57:PM"/>
    <n v="408765647"/>
    <s v="Female"/>
    <s v="Normal"/>
    <s v="Cash"/>
    <x v="2"/>
    <n v="6"/>
    <n v="38.020000000000003"/>
    <n v="7"/>
    <n v="56.98"/>
    <n v="154"/>
    <n v="357.49"/>
    <n v="3.8764546470000001"/>
    <n v="37.162999999999997"/>
  </r>
  <r>
    <x v="0"/>
    <x v="0"/>
    <x v="500"/>
    <s v="08:52:AM"/>
    <n v="733173173"/>
    <s v="Female"/>
    <s v="Member"/>
    <s v="Cash"/>
    <x v="1"/>
    <n v="4"/>
    <n v="11.504"/>
    <n v="3"/>
    <n v="35.049999999999997"/>
    <n v="188.9"/>
    <n v="238.77"/>
    <n v="3.8764546470000001"/>
    <n v="15.919"/>
  </r>
  <r>
    <x v="1"/>
    <x v="1"/>
    <x v="501"/>
    <s v="05:37:PM"/>
    <n v="159805799"/>
    <s v="Male"/>
    <s v="Member"/>
    <s v="Ewallet"/>
    <x v="0"/>
    <n v="4.5"/>
    <n v="47.27"/>
    <n v="3"/>
    <n v="28.5"/>
    <n v="134.69999999999999"/>
    <n v="101.43"/>
    <n v="3.8764546470000001"/>
    <n v="48.213000000000001"/>
  </r>
  <r>
    <x v="2"/>
    <x v="2"/>
    <x v="457"/>
    <s v="03:23:AM"/>
    <n v="965405787"/>
    <s v="Male"/>
    <s v="Member"/>
    <s v="Credit card"/>
    <x v="3"/>
    <n v="3.5"/>
    <n v="63.99"/>
    <n v="8"/>
    <n v="19.22"/>
    <n v="105.9"/>
    <n v="724.24"/>
    <n v="3.8764546470000001"/>
    <n v="26.904"/>
  </r>
  <r>
    <x v="1"/>
    <x v="1"/>
    <x v="67"/>
    <s v="08:46:PM"/>
    <n v="57848972"/>
    <s v="Female"/>
    <s v="Member"/>
    <s v="Ewallet"/>
    <x v="0"/>
    <n v="9.4"/>
    <n v="54.56"/>
    <n v="2"/>
    <n v="87.34"/>
    <n v="165.7"/>
    <n v="125.64"/>
    <n v="3.8764546470000001"/>
    <n v="40.381999999999998"/>
  </r>
  <r>
    <x v="1"/>
    <x v="1"/>
    <x v="103"/>
    <s v="04:05:AM"/>
    <n v="695388491"/>
    <s v="Male"/>
    <s v="Member"/>
    <s v="Credit card"/>
    <x v="4"/>
    <n v="2.7"/>
    <n v="86.44"/>
    <n v="3"/>
    <n v="44.77"/>
    <n v="181.5"/>
    <n v="72.930000000000007"/>
    <n v="3.8764546470000001"/>
    <n v="69.09"/>
  </r>
  <r>
    <x v="0"/>
    <x v="0"/>
    <x v="243"/>
    <s v="03:24:PM"/>
    <n v="33508836"/>
    <s v="Male"/>
    <s v="Normal"/>
    <s v="Ewallet"/>
    <x v="3"/>
    <n v="2.2000000000000002"/>
    <n v="88.67"/>
    <n v="4"/>
    <n v="13.11"/>
    <n v="108.8896"/>
    <n v="258.36"/>
    <n v="3.8764546470000001"/>
    <n v="74.540000000000006"/>
  </r>
  <r>
    <x v="0"/>
    <x v="0"/>
    <x v="378"/>
    <s v="06:40:PM"/>
    <n v="463878772"/>
    <s v="Male"/>
    <s v="Member"/>
    <s v="Credit card"/>
    <x v="4"/>
    <n v="5.0999999999999996"/>
    <n v="63.53"/>
    <n v="7"/>
    <n v="29.33"/>
    <n v="141.1309"/>
    <n v="173.74"/>
    <n v="3.8764546470000001"/>
    <n v="21.49"/>
  </r>
  <r>
    <x v="1"/>
    <x v="1"/>
    <x v="168"/>
    <s v="03:23:AM"/>
    <n v="201222995"/>
    <s v="Male"/>
    <s v="Normal"/>
    <s v="Ewallet"/>
    <x v="5"/>
    <n v="4.2"/>
    <n v="65.34"/>
    <n v="1"/>
    <n v="95.1"/>
    <n v="127.2508"/>
    <n v="56.5"/>
    <n v="3.8764546470000001"/>
    <n v="97.32"/>
  </r>
  <r>
    <x v="2"/>
    <x v="2"/>
    <x v="409"/>
    <s v="05:43:AM"/>
    <n v="762537607"/>
    <s v="Female"/>
    <s v="Member"/>
    <s v="Cash"/>
    <x v="1"/>
    <n v="3.4"/>
    <n v="42.55"/>
    <n v="10"/>
    <n v="84.16"/>
    <n v="164.05950000000001"/>
    <n v="214.3"/>
    <n v="3.8764546470000001"/>
    <n v="34.130000000000003"/>
  </r>
  <r>
    <x v="0"/>
    <x v="0"/>
    <x v="253"/>
    <s v="11:27:PM"/>
    <n v="923315724"/>
    <s v="Male"/>
    <s v="Member"/>
    <s v="Cash"/>
    <x v="3"/>
    <n v="1.9"/>
    <n v="49.53"/>
    <n v="6"/>
    <n v="48.26"/>
    <n v="171.64590000000001"/>
    <n v="534.36"/>
    <n v="3.8764546470000001"/>
    <n v="74.400000000000006"/>
  </r>
  <r>
    <x v="0"/>
    <x v="0"/>
    <x v="122"/>
    <s v="07:57:PM"/>
    <n v="250511655"/>
    <s v="Male"/>
    <s v="Member"/>
    <s v="Credit card"/>
    <x v="2"/>
    <n v="2.7"/>
    <n v="17.73"/>
    <n v="4"/>
    <n v="58.98"/>
    <n v="144.84399999999999"/>
    <n v="93.16"/>
    <n v="3.8764546470000001"/>
    <n v="96.99"/>
  </r>
  <r>
    <x v="1"/>
    <x v="1"/>
    <x v="388"/>
    <s v="05:36:AM"/>
    <n v="236846842"/>
    <s v="Male"/>
    <s v="Normal"/>
    <s v="Ewallet"/>
    <x v="2"/>
    <n v="1"/>
    <n v="42.13"/>
    <n v="8"/>
    <n v="33.5"/>
    <n v="178.06659999999999"/>
    <n v="522.08000000000004"/>
    <n v="3.8764546470000001"/>
    <n v="96.91"/>
  </r>
  <r>
    <x v="1"/>
    <x v="1"/>
    <x v="318"/>
    <s v="10:37:AM"/>
    <n v="664638477"/>
    <s v="Male"/>
    <s v="Member"/>
    <s v="Cash"/>
    <x v="5"/>
    <n v="4.7"/>
    <n v="21.95"/>
    <n v="1"/>
    <n v="99.17"/>
    <n v="144.1755"/>
    <n v="52.35"/>
    <n v="3.8764546470000001"/>
    <n v="98.03"/>
  </r>
  <r>
    <x v="2"/>
    <x v="2"/>
    <x v="348"/>
    <s v="07:50:PM"/>
    <n v="719171591"/>
    <s v="Male"/>
    <s v="Member"/>
    <s v="Cash"/>
    <x v="1"/>
    <n v="7.1"/>
    <n v="91.51"/>
    <n v="1"/>
    <n v="40.729999999999997"/>
    <n v="115.8497"/>
    <n v="39.75"/>
    <n v="3.8764546470000001"/>
    <n v="75.52"/>
  </r>
  <r>
    <x v="0"/>
    <x v="0"/>
    <x v="502"/>
    <s v="06:46:AM"/>
    <n v="379112630"/>
    <s v="Female"/>
    <s v="Normal"/>
    <s v="Credit card"/>
    <x v="1"/>
    <n v="2.4"/>
    <n v="56.088999999999999"/>
    <n v="8"/>
    <n v="89.44"/>
    <n v="182.66300000000001"/>
    <n v="720.16"/>
    <n v="3.8764546470000001"/>
    <n v="27.41"/>
  </r>
  <r>
    <x v="2"/>
    <x v="2"/>
    <x v="321"/>
    <s v="02:55:AM"/>
    <n v="963665664"/>
    <s v="Female"/>
    <s v="Member"/>
    <s v="Ewallet"/>
    <x v="1"/>
    <n v="9.6"/>
    <n v="90.385000000000005"/>
    <n v="8"/>
    <n v="63.62"/>
    <n v="107.9"/>
    <n v="96.8"/>
    <n v="3.8764546470000001"/>
    <n v="72.97"/>
  </r>
  <r>
    <x v="2"/>
    <x v="2"/>
    <x v="181"/>
    <s v="05:57:AM"/>
    <n v="447318188"/>
    <s v="Female"/>
    <s v="Member"/>
    <s v="Ewallet"/>
    <x v="4"/>
    <n v="2.2000000000000002"/>
    <n v="92.423000000000002"/>
    <n v="10"/>
    <n v="65.98"/>
    <n v="144.566"/>
    <n v="332.1"/>
    <n v="3.8764546470000001"/>
    <n v="70.132000000000005"/>
  </r>
  <r>
    <x v="1"/>
    <x v="1"/>
    <x v="501"/>
    <s v="11:13:PM"/>
    <n v="105796597"/>
    <s v="Female"/>
    <s v="Member"/>
    <s v="Credit card"/>
    <x v="5"/>
    <n v="6.9"/>
    <n v="64.513000000000005"/>
    <n v="8"/>
    <n v="60.86"/>
    <n v="122.1011"/>
    <n v="81.44"/>
    <n v="3.8764546470000001"/>
    <n v="82.852000000000004"/>
  </r>
  <r>
    <x v="2"/>
    <x v="2"/>
    <x v="281"/>
    <s v="09:14:PM"/>
    <n v="52692452"/>
    <s v="Male"/>
    <s v="Member"/>
    <s v="Credit card"/>
    <x v="3"/>
    <n v="4"/>
    <n v="96.641999999999996"/>
    <n v="10"/>
    <n v="24.47"/>
    <n v="110.0817"/>
    <n v="319.89999999999998"/>
    <n v="3.8764546470000001"/>
    <n v="19.486000000000001"/>
  </r>
  <r>
    <x v="0"/>
    <x v="0"/>
    <x v="278"/>
    <s v="05:51:PM"/>
    <n v="583528978"/>
    <s v="Female"/>
    <s v="Member"/>
    <s v="Ewallet"/>
    <x v="2"/>
    <n v="10"/>
    <n v="13.33"/>
    <n v="6"/>
    <n v="40.299999999999997"/>
    <n v="170.01439999999999"/>
    <n v="206.52"/>
    <n v="3.8764546470000001"/>
    <n v="81.93"/>
  </r>
  <r>
    <x v="0"/>
    <x v="0"/>
    <x v="237"/>
    <s v="06:39:AM"/>
    <n v="42368932"/>
    <s v="Female"/>
    <s v="Member"/>
    <s v="Cash"/>
    <x v="4"/>
    <n v="9.1999999999999993"/>
    <n v="79.25"/>
    <n v="2"/>
    <n v="77.709999999999994"/>
    <n v="181.17410000000001"/>
    <n v="166.68"/>
    <n v="3.8764546470000001"/>
    <n v="48.773000000000003"/>
  </r>
  <r>
    <x v="0"/>
    <x v="0"/>
    <x v="123"/>
    <s v="03:59:PM"/>
    <n v="977697102"/>
    <s v="Male"/>
    <s v="Normal"/>
    <s v="Cash"/>
    <x v="3"/>
    <n v="7.7"/>
    <n v="57.52"/>
    <n v="7"/>
    <n v="53.31"/>
    <n v="164.78970000000001"/>
    <n v="319.06"/>
    <n v="3.8764546470000001"/>
    <n v="17.512"/>
  </r>
  <r>
    <x v="0"/>
    <x v="0"/>
    <x v="503"/>
    <s v="06:53:AM"/>
    <n v="915409698"/>
    <s v="Male"/>
    <s v="Member"/>
    <s v="Ewallet"/>
    <x v="4"/>
    <n v="9.4"/>
    <n v="67.989999999999995"/>
    <n v="1"/>
    <n v="38.01"/>
    <n v="140.4468"/>
    <n v="87.9"/>
    <n v="3.8764546470000001"/>
    <n v="13.081"/>
  </r>
  <r>
    <x v="0"/>
    <x v="0"/>
    <x v="268"/>
    <s v="09:27:AM"/>
    <n v="933266770"/>
    <s v="Female"/>
    <s v="Member"/>
    <s v="Ewallet"/>
    <x v="1"/>
    <n v="6.9"/>
    <n v="26.36"/>
    <n v="10"/>
    <n v="88.16"/>
    <n v="173.1"/>
    <n v="734.7"/>
    <n v="3.8764546470000001"/>
    <n v="53.255000000000003"/>
  </r>
  <r>
    <x v="1"/>
    <x v="1"/>
    <x v="504"/>
    <s v="03:31:PM"/>
    <n v="545696730"/>
    <s v="Female"/>
    <s v="Normal"/>
    <s v="Ewallet"/>
    <x v="5"/>
    <n v="3.4"/>
    <n v="96.91"/>
    <n v="8"/>
    <n v="86.98"/>
    <n v="123.8661"/>
    <n v="97.52"/>
    <n v="3.8764546470000001"/>
    <n v="81"/>
  </r>
  <r>
    <x v="0"/>
    <x v="0"/>
    <x v="445"/>
    <s v="06:33:PM"/>
    <n v="970003134"/>
    <s v="Male"/>
    <s v="Member"/>
    <s v="Ewallet"/>
    <x v="3"/>
    <n v="9"/>
    <n v="45.69"/>
    <n v="10"/>
    <n v="12.16"/>
    <n v="136.1215"/>
    <n v="769.2"/>
    <n v="3.8764546470000001"/>
    <n v="23.23"/>
  </r>
  <r>
    <x v="1"/>
    <x v="1"/>
    <x v="494"/>
    <s v="09:49:PM"/>
    <n v="867333565"/>
    <s v="Female"/>
    <s v="Normal"/>
    <s v="Cash"/>
    <x v="0"/>
    <n v="4"/>
    <n v="61.98"/>
    <n v="5"/>
    <n v="55.3"/>
    <n v="175.80420000000001"/>
    <n v="418.3"/>
    <n v="3.8764546470000001"/>
    <n v="30.06"/>
  </r>
  <r>
    <x v="2"/>
    <x v="2"/>
    <x v="133"/>
    <s v="11:41:PM"/>
    <n v="91496122"/>
    <s v="Female"/>
    <s v="Normal"/>
    <s v="Cash"/>
    <x v="1"/>
    <n v="2.2999999999999998"/>
    <n v="86.59"/>
    <n v="8"/>
    <n v="83"/>
    <n v="124.8181"/>
    <n v="463.28"/>
    <n v="3.8764546470000001"/>
    <n v="29.27"/>
  </r>
  <r>
    <x v="1"/>
    <x v="1"/>
    <x v="505"/>
    <s v="11:20:PM"/>
    <n v="794648984"/>
    <s v="Female"/>
    <s v="Member"/>
    <s v="Credit card"/>
    <x v="5"/>
    <n v="2.1"/>
    <n v="45.96"/>
    <n v="5"/>
    <n v="11.6"/>
    <n v="176.2"/>
    <n v="462.45"/>
    <n v="3.8764546470000001"/>
    <n v="28.48"/>
  </r>
  <r>
    <x v="2"/>
    <x v="2"/>
    <x v="361"/>
    <s v="11:05:AM"/>
    <n v="493038722"/>
    <s v="Male"/>
    <s v="Normal"/>
    <s v="Cash"/>
    <x v="1"/>
    <n v="6"/>
    <n v="13.7"/>
    <n v="5"/>
    <n v="65.63"/>
    <n v="147.80000000000001"/>
    <n v="141.9"/>
    <n v="3.8764546470000001"/>
    <n v="96.16"/>
  </r>
  <r>
    <x v="2"/>
    <x v="2"/>
    <x v="348"/>
    <s v="01:38:AM"/>
    <n v="534248618"/>
    <s v="Male"/>
    <s v="Member"/>
    <s v="Credit card"/>
    <x v="1"/>
    <n v="9.9"/>
    <n v="84.605999999999995"/>
    <n v="6"/>
    <n v="31.67"/>
    <n v="164.5"/>
    <n v="302.7"/>
    <n v="3.8764546470000001"/>
    <n v="36.44"/>
  </r>
  <r>
    <x v="2"/>
    <x v="2"/>
    <x v="402"/>
    <s v="11:55:PM"/>
    <n v="417580844"/>
    <s v="Male"/>
    <s v="Normal"/>
    <s v="Credit card"/>
    <x v="0"/>
    <n v="5.0999999999999996"/>
    <n v="66.099999999999994"/>
    <n v="8"/>
    <n v="91.9"/>
    <n v="175.7"/>
    <n v="793.28"/>
    <n v="3.8764546470000001"/>
    <n v="96.27"/>
  </r>
  <r>
    <x v="1"/>
    <x v="1"/>
    <x v="506"/>
    <s v="10:38:PM"/>
    <n v="293399551"/>
    <s v="Male"/>
    <s v="Normal"/>
    <s v="Ewallet"/>
    <x v="5"/>
    <n v="1.1000000000000001"/>
    <n v="56.28"/>
    <n v="7"/>
    <n v="98.45"/>
    <n v="132.19999999999999"/>
    <n v="425.18"/>
    <n v="3.8764546470000001"/>
    <n v="45.07"/>
  </r>
  <r>
    <x v="1"/>
    <x v="1"/>
    <x v="133"/>
    <s v="10:51:AM"/>
    <n v="345390338"/>
    <s v="Female"/>
    <s v="Member"/>
    <s v="Cash"/>
    <x v="4"/>
    <n v="8"/>
    <n v="15.196"/>
    <n v="6"/>
    <n v="55.66"/>
    <n v="169.2"/>
    <n v="283.62"/>
    <n v="3.8764546470000001"/>
    <n v="62.22"/>
  </r>
  <r>
    <x v="1"/>
    <x v="1"/>
    <x v="507"/>
    <s v="05:30:PM"/>
    <n v="403710634"/>
    <s v="Male"/>
    <s v="Member"/>
    <s v="Cash"/>
    <x v="0"/>
    <n v="9.6"/>
    <n v="28.6"/>
    <n v="7"/>
    <n v="22.27"/>
    <n v="170.8"/>
    <n v="599.20000000000005"/>
    <n v="3.8764546470000001"/>
    <n v="94.968999999999994"/>
  </r>
  <r>
    <x v="0"/>
    <x v="0"/>
    <x v="508"/>
    <s v="08:25:PM"/>
    <n v="237487255"/>
    <s v="Male"/>
    <s v="Member"/>
    <s v="Ewallet"/>
    <x v="4"/>
    <n v="7.6"/>
    <n v="82.11"/>
    <n v="9"/>
    <n v="71.87"/>
    <n v="140.1"/>
    <n v="315.36"/>
    <n v="3.8764546470000001"/>
    <n v="82.97"/>
  </r>
  <r>
    <x v="1"/>
    <x v="1"/>
    <x v="509"/>
    <s v="06:12:PM"/>
    <n v="301132679"/>
    <s v="Female"/>
    <s v="Member"/>
    <s v="Credit card"/>
    <x v="1"/>
    <n v="5.2"/>
    <n v="53.89"/>
    <n v="9"/>
    <n v="47.47"/>
    <n v="160.9"/>
    <n v="403.56"/>
    <n v="3.8764546470000001"/>
    <n v="16.800999999999998"/>
  </r>
  <r>
    <x v="2"/>
    <x v="2"/>
    <x v="36"/>
    <s v="03:16:AM"/>
    <n v="481193598"/>
    <s v="Male"/>
    <s v="Normal"/>
    <s v="Ewallet"/>
    <x v="2"/>
    <n v="1.9"/>
    <n v="12.2"/>
    <n v="4"/>
    <n v="44.03"/>
    <n v="123.6306"/>
    <n v="183.88"/>
    <n v="3.8764546470000001"/>
    <n v="77.891999999999996"/>
  </r>
  <r>
    <x v="0"/>
    <x v="0"/>
    <x v="35"/>
    <s v="07:56:AM"/>
    <n v="516566504"/>
    <s v="Female"/>
    <s v="Member"/>
    <s v="Credit card"/>
    <x v="0"/>
    <n v="9.5"/>
    <n v="10.5"/>
    <n v="5"/>
    <n v="45.29"/>
    <n v="112.1631"/>
    <n v="138.65"/>
    <n v="3.8764546470000001"/>
    <n v="46.003999999999998"/>
  </r>
  <r>
    <x v="0"/>
    <x v="0"/>
    <x v="383"/>
    <s v="05:37:PM"/>
    <n v="325762424"/>
    <s v="Male"/>
    <s v="Normal"/>
    <s v="Cash"/>
    <x v="4"/>
    <n v="2"/>
    <n v="64.17"/>
    <n v="7"/>
    <n v="36.840000000000003"/>
    <n v="160.6979"/>
    <n v="80.709999999999994"/>
    <n v="3.8764546470000001"/>
    <n v="90.313000000000002"/>
  </r>
  <r>
    <x v="1"/>
    <x v="1"/>
    <x v="12"/>
    <s v="11:41:PM"/>
    <n v="208538799"/>
    <s v="Female"/>
    <s v="Normal"/>
    <s v="Ewallet"/>
    <x v="0"/>
    <n v="5.3"/>
    <n v="22.97"/>
    <n v="2"/>
    <n v="37.29"/>
    <n v="104.39239999999999"/>
    <n v="116.64"/>
    <n v="3.8764546470000001"/>
    <n v="35.985999999999997"/>
  </r>
  <r>
    <x v="1"/>
    <x v="1"/>
    <x v="1"/>
    <s v="08:39:PM"/>
    <n v="988444687"/>
    <s v="Female"/>
    <s v="Member"/>
    <s v="Cash"/>
    <x v="2"/>
    <n v="8.1"/>
    <n v="93.33"/>
    <n v="4"/>
    <n v="79.430000000000007"/>
    <n v="154"/>
    <n v="313.52"/>
    <n v="3.8764546470000001"/>
    <n v="92.290999999999997"/>
  </r>
  <r>
    <x v="1"/>
    <x v="1"/>
    <x v="154"/>
    <s v="05:16:PM"/>
    <n v="422448865"/>
    <s v="Male"/>
    <s v="Normal"/>
    <s v="Credit card"/>
    <x v="0"/>
    <n v="2.6"/>
    <n v="66.099999999999994"/>
    <n v="10"/>
    <n v="62.61"/>
    <n v="145.30000000000001"/>
    <n v="846.1"/>
    <n v="3.8764546470000001"/>
    <n v="82.72"/>
  </r>
  <r>
    <x v="2"/>
    <x v="2"/>
    <x v="463"/>
    <s v="05:51:PM"/>
    <n v="342996407"/>
    <s v="Female"/>
    <s v="Normal"/>
    <s v="Credit card"/>
    <x v="0"/>
    <n v="6.6"/>
    <n v="66.664000000000001"/>
    <n v="5"/>
    <n v="12.27"/>
    <n v="101.7"/>
    <n v="414.4"/>
    <n v="3.8764546470000001"/>
    <n v="44.59"/>
  </r>
  <r>
    <x v="0"/>
    <x v="0"/>
    <x v="486"/>
    <s v="12:14:AM"/>
    <n v="698075597"/>
    <s v="Female"/>
    <s v="Member"/>
    <s v="Ewallet"/>
    <x v="4"/>
    <n v="7"/>
    <n v="60.692"/>
    <n v="2"/>
    <n v="47.79"/>
    <n v="121.3"/>
    <n v="159.08000000000001"/>
    <n v="3.8764546470000001"/>
    <n v="31.39"/>
  </r>
  <r>
    <x v="2"/>
    <x v="2"/>
    <x v="480"/>
    <s v="02:27:AM"/>
    <n v="576071056"/>
    <s v="Female"/>
    <s v="Normal"/>
    <s v="Credit card"/>
    <x v="2"/>
    <n v="1"/>
    <n v="90.269000000000005"/>
    <n v="10"/>
    <n v="54.97"/>
    <n v="187.1"/>
    <n v="490.1"/>
    <n v="3.8764546470000001"/>
    <n v="10.009"/>
  </r>
  <r>
    <x v="2"/>
    <x v="2"/>
    <x v="106"/>
    <s v="03:09:AM"/>
    <n v="56094905"/>
    <s v="Female"/>
    <s v="Member"/>
    <s v="Credit card"/>
    <x v="4"/>
    <n v="5.4"/>
    <n v="93.39"/>
    <n v="3"/>
    <n v="87.34"/>
    <n v="105.5"/>
    <n v="87.45"/>
    <n v="3.8764546470000001"/>
    <n v="29.052"/>
  </r>
  <r>
    <x v="1"/>
    <x v="1"/>
    <x v="294"/>
    <s v="08:32:PM"/>
    <n v="349065344"/>
    <s v="Female"/>
    <s v="Normal"/>
    <s v="Ewallet"/>
    <x v="1"/>
    <n v="8.1"/>
    <n v="85.415000000000006"/>
    <n v="4"/>
    <n v="18.579999999999998"/>
    <n v="165.6"/>
    <n v="224.52"/>
    <n v="3.8764546470000001"/>
    <n v="33.746000000000002"/>
  </r>
  <r>
    <x v="0"/>
    <x v="0"/>
    <x v="181"/>
    <s v="04:54:AM"/>
    <n v="383504029"/>
    <s v="Female"/>
    <s v="Normal"/>
    <s v="Cash"/>
    <x v="2"/>
    <n v="4.8"/>
    <n v="28.26"/>
    <n v="8"/>
    <n v="27.99"/>
    <n v="128.8416"/>
    <n v="744.96"/>
    <n v="3.8764546470000001"/>
    <n v="67.177999999999997"/>
  </r>
  <r>
    <x v="0"/>
    <x v="0"/>
    <x v="386"/>
    <s v="06:53:AM"/>
    <n v="472825333"/>
    <s v="Male"/>
    <s v="Member"/>
    <s v="Ewallet"/>
    <x v="5"/>
    <n v="4"/>
    <n v="19.43"/>
    <n v="8"/>
    <n v="61.42"/>
    <n v="133.04220000000001"/>
    <n v="410.72"/>
    <n v="3.8764546470000001"/>
    <n v="87.483000000000004"/>
  </r>
  <r>
    <x v="0"/>
    <x v="0"/>
    <x v="421"/>
    <s v="02:42:PM"/>
    <n v="494597693"/>
    <s v="Female"/>
    <s v="Member"/>
    <s v="Cash"/>
    <x v="4"/>
    <n v="4"/>
    <n v="99.92"/>
    <n v="3"/>
    <n v="75.22"/>
    <n v="172.89769999999999"/>
    <n v="298.8"/>
    <n v="3.8764546470000001"/>
    <n v="73.429000000000002"/>
  </r>
  <r>
    <x v="1"/>
    <x v="1"/>
    <x v="380"/>
    <s v="04:13:PM"/>
    <n v="200452385"/>
    <s v="Female"/>
    <s v="Normal"/>
    <s v="Cash"/>
    <x v="1"/>
    <n v="9.9"/>
    <n v="85.531000000000006"/>
    <n v="6"/>
    <n v="92.48"/>
    <n v="134.9812"/>
    <n v="212.94"/>
    <n v="3.8764546470000001"/>
    <n v="86.74"/>
  </r>
  <r>
    <x v="1"/>
    <x v="1"/>
    <x v="91"/>
    <s v="11:06:PM"/>
    <n v="84607256"/>
    <s v="Male"/>
    <s v="Member"/>
    <s v="Credit card"/>
    <x v="3"/>
    <n v="5.8"/>
    <n v="65.751000000000005"/>
    <n v="1"/>
    <n v="70.31"/>
    <n v="122.1883"/>
    <n v="42.85"/>
    <n v="3.8764546470000001"/>
    <n v="29.818000000000001"/>
  </r>
  <r>
    <x v="0"/>
    <x v="0"/>
    <x v="130"/>
    <s v="03:58:AM"/>
    <n v="222789370"/>
    <s v="Female"/>
    <s v="Normal"/>
    <s v="Cash"/>
    <x v="5"/>
    <n v="7"/>
    <n v="18.478999999999999"/>
    <n v="4"/>
    <n v="64.400000000000006"/>
    <n v="137.1"/>
    <n v="378.68"/>
    <n v="3.8764546470000001"/>
    <n v="87.742999999999995"/>
  </r>
  <r>
    <x v="2"/>
    <x v="2"/>
    <x v="262"/>
    <s v="11:54:AM"/>
    <n v="155869045"/>
    <s v="Male"/>
    <s v="Normal"/>
    <s v="Ewallet"/>
    <x v="2"/>
    <n v="4"/>
    <n v="63.981000000000002"/>
    <n v="3"/>
    <n v="68.03"/>
    <n v="160.19999999999999"/>
    <n v="206.91"/>
    <n v="3.8764546470000001"/>
    <n v="86.346999999999994"/>
  </r>
  <r>
    <x v="2"/>
    <x v="2"/>
    <x v="189"/>
    <s v="08:18:PM"/>
    <n v="567392335"/>
    <s v="Female"/>
    <s v="Member"/>
    <s v="Ewallet"/>
    <x v="1"/>
    <n v="8"/>
    <n v="73.203000000000003"/>
    <n v="3"/>
    <n v="32.700000000000003"/>
    <n v="131.5"/>
    <n v="78.78"/>
    <n v="3.8764546470000001"/>
    <n v="96.808999999999997"/>
  </r>
  <r>
    <x v="1"/>
    <x v="1"/>
    <x v="477"/>
    <s v="05:57:AM"/>
    <n v="446298435"/>
    <s v="Female"/>
    <s v="Member"/>
    <s v="Credit card"/>
    <x v="2"/>
    <n v="7"/>
    <n v="91.183000000000007"/>
    <n v="9"/>
    <n v="15.73"/>
    <n v="165.5"/>
    <n v="322.11"/>
    <n v="3.8764546470000001"/>
    <n v="53.005000000000003"/>
  </r>
  <r>
    <x v="2"/>
    <x v="2"/>
    <x v="75"/>
    <s v="09:41:AM"/>
    <n v="221498982"/>
    <s v="Female"/>
    <s v="Normal"/>
    <s v="Cash"/>
    <x v="2"/>
    <n v="4"/>
    <n v="32.299999999999997"/>
    <n v="6"/>
    <n v="54.58"/>
    <n v="111.5"/>
    <n v="98.22"/>
    <n v="3.8764546470000001"/>
    <n v="80.281999999999996"/>
  </r>
  <r>
    <x v="1"/>
    <x v="1"/>
    <x v="39"/>
    <s v="05:16:PM"/>
    <n v="451904657"/>
    <s v="Female"/>
    <s v="Member"/>
    <s v="Credit card"/>
    <x v="2"/>
    <n v="7.1"/>
    <n v="11.36"/>
    <n v="2"/>
    <n v="48.08"/>
    <n v="171.8"/>
    <n v="25.46"/>
    <n v="3.8764546470000001"/>
    <n v="16.7"/>
  </r>
  <r>
    <x v="1"/>
    <x v="1"/>
    <x v="510"/>
    <s v="08:25:PM"/>
    <n v="317549971"/>
    <s v="Female"/>
    <s v="Normal"/>
    <s v="Credit card"/>
    <x v="3"/>
    <n v="2.7"/>
    <n v="89.65"/>
    <n v="7"/>
    <n v="63.66"/>
    <n v="101.2"/>
    <n v="581.98"/>
    <n v="3.8764546470000001"/>
    <n v="64.064999999999998"/>
  </r>
  <r>
    <x v="1"/>
    <x v="1"/>
    <x v="407"/>
    <s v="05:50:AM"/>
    <n v="661553421"/>
    <s v="Female"/>
    <s v="Member"/>
    <s v="Ewallet"/>
    <x v="3"/>
    <n v="1.9"/>
    <n v="28.774000000000001"/>
    <n v="6"/>
    <n v="55.57"/>
    <n v="103.1"/>
    <n v="211.32"/>
    <n v="3.8764546470000001"/>
    <n v="47.109000000000002"/>
  </r>
  <r>
    <x v="2"/>
    <x v="2"/>
    <x v="285"/>
    <s v="12:14:AM"/>
    <n v="361895213"/>
    <s v="Female"/>
    <s v="Normal"/>
    <s v="Ewallet"/>
    <x v="1"/>
    <n v="6.6"/>
    <n v="15.683"/>
    <n v="4"/>
    <n v="13.87"/>
    <n v="176.77719999999999"/>
    <n v="55.12"/>
    <n v="3.8764546470000001"/>
    <n v="43.936"/>
  </r>
  <r>
    <x v="2"/>
    <x v="2"/>
    <x v="481"/>
    <s v="07:36:PM"/>
    <n v="310458680"/>
    <s v="Male"/>
    <s v="Member"/>
    <s v="Credit card"/>
    <x v="3"/>
    <n v="1.6"/>
    <n v="38.479999999999997"/>
    <n v="1"/>
    <n v="19.91"/>
    <n v="139.08680000000001"/>
    <n v="88.31"/>
    <n v="3.8764546470000001"/>
    <n v="44.841000000000001"/>
  </r>
  <r>
    <x v="0"/>
    <x v="0"/>
    <x v="299"/>
    <s v="08:24:AM"/>
    <n v="528536718"/>
    <s v="Female"/>
    <s v="Member"/>
    <s v="Credit card"/>
    <x v="0"/>
    <n v="2"/>
    <n v="51.1"/>
    <n v="9"/>
    <n v="78.84"/>
    <n v="117.996"/>
    <n v="356.58"/>
    <n v="3.8764546470000001"/>
    <n v="74.709999999999994"/>
  </r>
  <r>
    <x v="2"/>
    <x v="2"/>
    <x v="51"/>
    <s v="08:31:AM"/>
    <n v="519403024"/>
    <s v="Female"/>
    <s v="Normal"/>
    <s v="Credit card"/>
    <x v="1"/>
    <n v="3.5"/>
    <n v="56.127000000000002"/>
    <n v="9"/>
    <n v="70.73"/>
    <n v="104.91630000000001"/>
    <n v="794.25"/>
    <n v="3.8764546470000001"/>
    <n v="52.52"/>
  </r>
  <r>
    <x v="2"/>
    <x v="2"/>
    <x v="501"/>
    <s v="09:55:AM"/>
    <n v="289945439"/>
    <s v="Male"/>
    <s v="Normal"/>
    <s v="Ewallet"/>
    <x v="3"/>
    <n v="9"/>
    <n v="30.06"/>
    <n v="2"/>
    <n v="10.69"/>
    <n v="101.6678"/>
    <n v="50.62"/>
    <n v="3.8764546470000001"/>
    <n v="43.537999999999997"/>
  </r>
  <r>
    <x v="2"/>
    <x v="2"/>
    <x v="511"/>
    <s v="02:00:PM"/>
    <n v="708117315"/>
    <s v="Male"/>
    <s v="Normal"/>
    <s v="Ewallet"/>
    <x v="2"/>
    <n v="7.2"/>
    <n v="74.7"/>
    <n v="6"/>
    <n v="77.94"/>
    <n v="164.4316"/>
    <n v="599.52"/>
    <n v="3.8764546470000001"/>
    <n v="40.198"/>
  </r>
  <r>
    <x v="1"/>
    <x v="1"/>
    <x v="329"/>
    <s v="01:52:AM"/>
    <n v="184448222"/>
    <s v="Female"/>
    <s v="Member"/>
    <s v="Credit card"/>
    <x v="5"/>
    <n v="5"/>
    <n v="74.06"/>
    <n v="2"/>
    <n v="48.52"/>
    <n v="153.5444"/>
    <n v="166.7"/>
    <n v="3.8764546470000001"/>
    <n v="45.884999999999998"/>
  </r>
  <r>
    <x v="0"/>
    <x v="0"/>
    <x v="34"/>
    <s v="05:08:AM"/>
    <n v="32024098"/>
    <s v="Female"/>
    <s v="Normal"/>
    <s v="Ewallet"/>
    <x v="4"/>
    <n v="1"/>
    <n v="80.58"/>
    <n v="10"/>
    <n v="73.959999999999994"/>
    <n v="133.03059999999999"/>
    <n v="744.4"/>
    <n v="3.8764546470000001"/>
    <n v="78.27"/>
  </r>
  <r>
    <x v="1"/>
    <x v="1"/>
    <x v="512"/>
    <s v="02:06:AM"/>
    <n v="629565127"/>
    <s v="Male"/>
    <s v="Normal"/>
    <s v="Ewallet"/>
    <x v="0"/>
    <n v="6.3"/>
    <n v="77.91"/>
    <n v="7"/>
    <n v="41.66"/>
    <n v="131.3878"/>
    <n v="448.56"/>
    <n v="3.8764546470000001"/>
    <n v="73.236999999999995"/>
  </r>
  <r>
    <x v="2"/>
    <x v="2"/>
    <x v="31"/>
    <s v="03:59:PM"/>
    <n v="349622162"/>
    <s v="Female"/>
    <s v="Normal"/>
    <s v="Ewallet"/>
    <x v="2"/>
    <n v="4.5"/>
    <n v="19.68"/>
    <n v="6"/>
    <n v="79.78"/>
    <n v="113"/>
    <n v="378.9"/>
    <n v="3.8764546470000001"/>
    <n v="63.585000000000001"/>
  </r>
  <r>
    <x v="1"/>
    <x v="1"/>
    <x v="125"/>
    <s v="11:47:AM"/>
    <n v="726157226"/>
    <s v="Male"/>
    <s v="Member"/>
    <s v="Ewallet"/>
    <x v="2"/>
    <n v="3.6"/>
    <n v="42.6"/>
    <n v="3"/>
    <n v="29.46"/>
    <n v="154.9"/>
    <n v="257.16000000000003"/>
    <n v="3.8764546470000001"/>
    <n v="27.855"/>
  </r>
  <r>
    <x v="1"/>
    <x v="1"/>
    <x v="462"/>
    <s v="08:11:PM"/>
    <n v="614313984"/>
    <s v="Female"/>
    <s v="Normal"/>
    <s v="Ewallet"/>
    <x v="0"/>
    <n v="6.5"/>
    <n v="78.11"/>
    <n v="7"/>
    <n v="39.409999999999997"/>
    <n v="129.5"/>
    <n v="552.23"/>
    <n v="3.8764546470000001"/>
    <n v="35.33"/>
  </r>
  <r>
    <x v="0"/>
    <x v="0"/>
    <x v="189"/>
    <s v="04:20:PM"/>
    <n v="831299697"/>
    <s v="Female"/>
    <s v="Normal"/>
    <s v="Cash"/>
    <x v="3"/>
    <n v="2"/>
    <n v="46.26"/>
    <n v="5"/>
    <n v="26.35"/>
    <n v="110.8"/>
    <n v="447.4"/>
    <n v="3.8764546470000001"/>
    <n v="46.79"/>
  </r>
  <r>
    <x v="0"/>
    <x v="0"/>
    <x v="23"/>
    <s v="12:00:AM"/>
    <n v="517239249"/>
    <s v="Female"/>
    <s v="Member"/>
    <s v="Cash"/>
    <x v="0"/>
    <n v="9"/>
    <n v="31.76"/>
    <n v="3"/>
    <n v="65.77"/>
    <n v="173.6"/>
    <n v="276.27"/>
    <n v="3.8764546470000001"/>
    <n v="85.08"/>
  </r>
  <r>
    <x v="1"/>
    <x v="1"/>
    <x v="513"/>
    <s v="08:04:PM"/>
    <n v="252392359"/>
    <s v="Female"/>
    <s v="Normal"/>
    <s v="Ewallet"/>
    <x v="4"/>
    <n v="3"/>
    <n v="53.53"/>
    <n v="6"/>
    <n v="18.14"/>
    <n v="164.3"/>
    <n v="343.74"/>
    <n v="3.8764546470000001"/>
    <n v="10.49"/>
  </r>
  <r>
    <x v="0"/>
    <x v="0"/>
    <x v="514"/>
    <s v="08:52:AM"/>
    <n v="718792963"/>
    <s v="Male"/>
    <s v="Normal"/>
    <s v="Ewallet"/>
    <x v="4"/>
    <n v="7"/>
    <n v="46.98"/>
    <n v="4"/>
    <n v="68.97"/>
    <n v="131.4"/>
    <n v="266.08"/>
    <n v="3.8764546470000001"/>
    <n v="14.936999999999999"/>
  </r>
  <r>
    <x v="1"/>
    <x v="1"/>
    <x v="216"/>
    <s v="12:00:AM"/>
    <n v="842435613"/>
    <s v="Male"/>
    <s v="Member"/>
    <s v="Cash"/>
    <x v="5"/>
    <n v="1.5"/>
    <n v="87"/>
    <n v="9"/>
    <n v="78.92"/>
    <n v="179.4"/>
    <n v="898.38"/>
    <n v="3.8764546470000001"/>
    <n v="49.222999999999999"/>
  </r>
  <r>
    <x v="0"/>
    <x v="0"/>
    <x v="415"/>
    <s v="01:52:AM"/>
    <n v="158908717"/>
    <s v="Female"/>
    <s v="Normal"/>
    <s v="Ewallet"/>
    <x v="2"/>
    <n v="5.9"/>
    <n v="57.5"/>
    <n v="10"/>
    <n v="48.96"/>
    <n v="133.5669"/>
    <n v="456.8"/>
    <n v="3.8764546470000001"/>
    <n v="98.283000000000001"/>
  </r>
  <r>
    <x v="0"/>
    <x v="0"/>
    <x v="376"/>
    <s v="09:00:PM"/>
    <n v="945787787"/>
    <s v="Male"/>
    <s v="Normal"/>
    <s v="Credit card"/>
    <x v="0"/>
    <n v="1.9"/>
    <n v="42.6"/>
    <n v="5"/>
    <n v="79.069999999999993"/>
    <n v="157.4486"/>
    <n v="253.95"/>
    <n v="3.8764546470000001"/>
    <n v="38.959000000000003"/>
  </r>
  <r>
    <x v="0"/>
    <x v="0"/>
    <x v="252"/>
    <s v="02:55:AM"/>
    <n v="266162220"/>
    <s v="Male"/>
    <s v="Member"/>
    <s v="Cash"/>
    <x v="0"/>
    <n v="6.4"/>
    <n v="90.2"/>
    <n v="7"/>
    <n v="90.78"/>
    <n v="136"/>
    <n v="70.56"/>
    <n v="3.8764546470000001"/>
    <n v="45.948999999999998"/>
  </r>
  <r>
    <x v="0"/>
    <x v="0"/>
    <x v="4"/>
    <s v="09:07:PM"/>
    <n v="981872085"/>
    <s v="Female"/>
    <s v="Normal"/>
    <s v="Credit card"/>
    <x v="1"/>
    <n v="5"/>
    <n v="71.099999999999994"/>
    <n v="7"/>
    <n v="64.19"/>
    <n v="151.69999999999999"/>
    <n v="657.16"/>
    <n v="3.8764546470000001"/>
    <n v="39.31"/>
  </r>
  <r>
    <x v="1"/>
    <x v="1"/>
    <x v="496"/>
    <s v="04:12:AM"/>
    <n v="551754497"/>
    <s v="Male"/>
    <s v="Member"/>
    <s v="Credit card"/>
    <x v="1"/>
    <n v="6"/>
    <n v="93.3"/>
    <n v="2"/>
    <n v="36.32"/>
    <n v="132.69999999999999"/>
    <n v="168.5"/>
    <n v="3.8764546470000001"/>
    <n v="73.64"/>
  </r>
  <r>
    <x v="2"/>
    <x v="2"/>
    <x v="515"/>
    <s v="09:28:PM"/>
    <n v="965440032"/>
    <s v="Male"/>
    <s v="Member"/>
    <s v="Ewallet"/>
    <x v="5"/>
    <n v="1.4"/>
    <n v="45.1"/>
    <n v="1"/>
    <n v="60.27"/>
    <n v="104.2"/>
    <n v="53.78"/>
    <n v="3.8764546470000001"/>
    <n v="12.84"/>
  </r>
  <r>
    <x v="1"/>
    <x v="1"/>
    <x v="10"/>
    <s v="04:54:AM"/>
    <n v="767800673"/>
    <s v="Male"/>
    <s v="Member"/>
    <s v="Ewallet"/>
    <x v="2"/>
    <n v="1.8"/>
    <n v="45.08"/>
    <n v="5"/>
    <n v="80.27"/>
    <n v="115.2"/>
    <n v="179.05"/>
    <n v="3.8764546470000001"/>
    <n v="19.53"/>
  </r>
  <r>
    <x v="2"/>
    <x v="2"/>
    <x v="500"/>
    <s v="07:29:PM"/>
    <n v="453841579"/>
    <s v="Female"/>
    <s v="Normal"/>
    <s v="Ewallet"/>
    <x v="4"/>
    <n v="6"/>
    <n v="27.6"/>
    <n v="8"/>
    <n v="62.04"/>
    <n v="150.9"/>
    <n v="211.44"/>
    <n v="3.8764546470000001"/>
    <n v="29.31"/>
  </r>
  <r>
    <x v="2"/>
    <x v="2"/>
    <x v="432"/>
    <s v="06:39:AM"/>
    <n v="968470776"/>
    <s v="Male"/>
    <s v="Member"/>
    <s v="Ewallet"/>
    <x v="0"/>
    <n v="2"/>
    <n v="61.75"/>
    <n v="3"/>
    <n v="64.81"/>
    <n v="189"/>
    <n v="119.73"/>
    <n v="3.8764546470000001"/>
    <n v="62.16"/>
  </r>
  <r>
    <x v="2"/>
    <x v="2"/>
    <x v="24"/>
    <s v="06:18:AM"/>
    <n v="105081515"/>
    <s v="Female"/>
    <s v="Member"/>
    <s v="Ewallet"/>
    <x v="2"/>
    <n v="1.1000000000000001"/>
    <n v="95.9"/>
    <n v="3"/>
    <n v="52.35"/>
    <n v="148.15170000000001"/>
    <n v="65.7"/>
    <n v="3.8764546470000001"/>
    <n v="15.34"/>
  </r>
  <r>
    <x v="2"/>
    <x v="2"/>
    <x v="160"/>
    <s v="01:45:AM"/>
    <n v="520082411"/>
    <s v="Female"/>
    <s v="Member"/>
    <s v="Ewallet"/>
    <x v="4"/>
    <n v="3"/>
    <n v="37.44"/>
    <n v="4"/>
    <n v="64.67"/>
    <n v="160.6275"/>
    <n v="251.4"/>
    <n v="3.8764546470000001"/>
    <n v="72.23"/>
  </r>
  <r>
    <x v="1"/>
    <x v="1"/>
    <x v="175"/>
    <s v="04:27:PM"/>
    <n v="14191294"/>
    <s v="Female"/>
    <s v="Member"/>
    <s v="Cash"/>
    <x v="4"/>
    <n v="2.5"/>
    <n v="55.1"/>
    <n v="4"/>
    <n v="89.11"/>
    <n v="100.42959999999999"/>
    <n v="84.16"/>
    <n v="3.8764546470000001"/>
    <n v="79.03"/>
  </r>
  <r>
    <x v="2"/>
    <x v="2"/>
    <x v="353"/>
    <s v="09:41:AM"/>
    <n v="483375993"/>
    <s v="Male"/>
    <s v="Member"/>
    <s v="Cash"/>
    <x v="2"/>
    <n v="9"/>
    <n v="96.5"/>
    <n v="6"/>
    <n v="33.380000000000003"/>
    <n v="105.47150000000001"/>
    <n v="395.46"/>
    <n v="3.8764546470000001"/>
    <n v="31.774000000000001"/>
  </r>
  <r>
    <x v="0"/>
    <x v="0"/>
    <x v="378"/>
    <s v="12:28:AM"/>
    <n v="362116587"/>
    <s v="Female"/>
    <s v="Normal"/>
    <s v="Cash"/>
    <x v="5"/>
    <n v="3"/>
    <n v="55.9"/>
    <n v="7"/>
    <n v="49.33"/>
    <n v="129.2876"/>
    <n v="297.99"/>
    <n v="3.8764546470000001"/>
    <n v="51.966000000000001"/>
  </r>
  <r>
    <x v="1"/>
    <x v="1"/>
    <x v="147"/>
    <s v="12:50:PM"/>
    <n v="926572279"/>
    <s v="Male"/>
    <s v="Member"/>
    <s v="Cash"/>
    <x v="4"/>
    <n v="6"/>
    <n v="59.7"/>
    <n v="9"/>
    <n v="25.62"/>
    <n v="163.97839999999999"/>
    <n v="454.41"/>
    <n v="3.8764546470000001"/>
    <n v="92.641999999999996"/>
  </r>
  <r>
    <x v="2"/>
    <x v="2"/>
    <x v="442"/>
    <s v="10:45:PM"/>
    <n v="638495345"/>
    <s v="Male"/>
    <s v="Normal"/>
    <s v="Cash"/>
    <x v="1"/>
    <n v="7"/>
    <n v="74"/>
    <n v="6"/>
    <n v="47.39"/>
    <n v="122.41160000000001"/>
    <n v="276.12"/>
    <n v="3.8764546470000001"/>
    <n v="70.596000000000004"/>
  </r>
  <r>
    <x v="1"/>
    <x v="1"/>
    <x v="4"/>
    <s v="12:08:PM"/>
    <n v="968372715"/>
    <s v="Female"/>
    <s v="Normal"/>
    <s v="Cash"/>
    <x v="2"/>
    <n v="3.7"/>
    <n v="32.21"/>
    <n v="10"/>
    <n v="36.840000000000003"/>
    <n v="149.6"/>
    <n v="158"/>
    <n v="3.8764546470000001"/>
    <n v="20.832000000000001"/>
  </r>
  <r>
    <x v="0"/>
    <x v="0"/>
    <x v="516"/>
    <s v="08:11:PM"/>
    <n v="522732650"/>
    <s v="Female"/>
    <s v="Member"/>
    <s v="Cash"/>
    <x v="4"/>
    <n v="7.6"/>
    <n v="35.82"/>
    <n v="9"/>
    <n v="18.11"/>
    <n v="184.4"/>
    <n v="887.94"/>
    <n v="3.8764546470000001"/>
    <n v="98.16"/>
  </r>
  <r>
    <x v="1"/>
    <x v="1"/>
    <x v="368"/>
    <s v="01:11:PM"/>
    <n v="573895438"/>
    <s v="Male"/>
    <s v="Member"/>
    <s v="Cash"/>
    <x v="5"/>
    <n v="3.5"/>
    <n v="18.91"/>
    <n v="1"/>
    <n v="52.1"/>
    <n v="124.6"/>
    <n v="91.98"/>
    <n v="3.8764546470000001"/>
    <n v="85.46"/>
  </r>
  <r>
    <x v="0"/>
    <x v="0"/>
    <x v="57"/>
    <s v="11:13:PM"/>
    <n v="555576314"/>
    <s v="Male"/>
    <s v="Member"/>
    <s v="Cash"/>
    <x v="1"/>
    <n v="5"/>
    <n v="97.6"/>
    <n v="2"/>
    <n v="43.1"/>
    <n v="173.2"/>
    <n v="41.78"/>
    <n v="3.8764546470000001"/>
    <n v="38.11"/>
  </r>
  <r>
    <x v="0"/>
    <x v="0"/>
    <x v="267"/>
    <s v="11:54:AM"/>
    <n v="630051376"/>
    <s v="Female"/>
    <s v="Normal"/>
    <s v="Credit card"/>
    <x v="5"/>
    <n v="3"/>
    <n v="38.35"/>
    <n v="1"/>
    <n v="60.91"/>
    <n v="104.3"/>
    <n v="15.5"/>
    <n v="3.8764546470000001"/>
    <n v="23.12"/>
  </r>
  <r>
    <x v="1"/>
    <x v="1"/>
    <x v="517"/>
    <s v="04:12:AM"/>
    <n v="694254921"/>
    <s v="Male"/>
    <s v="Member"/>
    <s v="Cash"/>
    <x v="1"/>
    <n v="1"/>
    <n v="87.45"/>
    <n v="3"/>
    <n v="76.989999999999995"/>
    <n v="167"/>
    <n v="290.45999999999998"/>
    <n v="3.8764546470000001"/>
    <n v="26.52"/>
  </r>
  <r>
    <x v="2"/>
    <x v="2"/>
    <x v="418"/>
    <s v="04:55:PM"/>
    <n v="637423682"/>
    <s v="Male"/>
    <s v="Normal"/>
    <s v="Credit card"/>
    <x v="4"/>
    <n v="2"/>
    <n v="23.78"/>
    <n v="2"/>
    <n v="99.59"/>
    <n v="141.43360000000001"/>
    <n v="66.66"/>
    <n v="3.8764546470000001"/>
    <n v="44.838000000000001"/>
  </r>
  <r>
    <x v="2"/>
    <x v="2"/>
    <x v="384"/>
    <s v="11:06:PM"/>
    <n v="283509907"/>
    <s v="Female"/>
    <s v="Normal"/>
    <s v="Credit card"/>
    <x v="1"/>
    <n v="10"/>
    <n v="83.2"/>
    <n v="2"/>
    <n v="26.63"/>
    <n v="120.4588"/>
    <n v="76.540000000000006"/>
    <n v="3.8764546470000001"/>
    <n v="36.119999999999997"/>
  </r>
  <r>
    <x v="0"/>
    <x v="0"/>
    <x v="518"/>
    <s v="09:41:AM"/>
    <n v="589481809"/>
    <s v="Female"/>
    <s v="Normal"/>
    <s v="Ewallet"/>
    <x v="2"/>
    <n v="5"/>
    <n v="37.786999999999999"/>
    <n v="9"/>
    <n v="77.900000000000006"/>
    <n v="135.9649"/>
    <n v="299.7"/>
    <n v="3.8764546470000001"/>
    <n v="41.18"/>
  </r>
  <r>
    <x v="0"/>
    <x v="0"/>
    <x v="519"/>
    <s v="01:17:AM"/>
    <n v="32153775"/>
    <s v="Male"/>
    <s v="Member"/>
    <s v="Credit card"/>
    <x v="2"/>
    <n v="2"/>
    <n v="47.09"/>
    <n v="3"/>
    <n v="31.36"/>
    <n v="111.6311"/>
    <n v="243.03"/>
    <n v="3.8764546470000001"/>
    <n v="34.4"/>
  </r>
  <r>
    <x v="0"/>
    <x v="0"/>
    <x v="52"/>
    <s v="07:08:PM"/>
    <n v="54761255"/>
    <s v="Female"/>
    <s v="Normal"/>
    <s v="Cash"/>
    <x v="0"/>
    <n v="2"/>
    <n v="70.05"/>
    <n v="3"/>
    <n v="79.95"/>
    <n v="150.86869999999999"/>
    <n v="47.4"/>
    <n v="3.8764546470000001"/>
    <n v="32.57"/>
  </r>
  <r>
    <x v="2"/>
    <x v="2"/>
    <x v="520"/>
    <s v="03:52:PM"/>
    <n v="116790063"/>
    <s v="Female"/>
    <s v="Member"/>
    <s v="Credit card"/>
    <x v="1"/>
    <n v="3"/>
    <n v="16.2"/>
    <n v="5"/>
    <n v="78.760000000000005"/>
    <n v="146.6549"/>
    <n v="172.45"/>
    <n v="3.8764546470000001"/>
    <n v="50.98"/>
  </r>
  <r>
    <x v="2"/>
    <x v="2"/>
    <x v="521"/>
    <s v="07:43:PM"/>
    <n v="355381523"/>
    <s v="Female"/>
    <s v="Member"/>
    <s v="Credit card"/>
    <x v="4"/>
    <n v="1"/>
    <n v="22.46"/>
    <n v="10"/>
    <n v="57.89"/>
    <n v="118.78660000000001"/>
    <n v="846.3"/>
    <n v="3.8764546470000001"/>
    <n v="85.07"/>
  </r>
  <r>
    <x v="2"/>
    <x v="2"/>
    <x v="522"/>
    <s v="09:27:AM"/>
    <n v="348370878"/>
    <s v="Male"/>
    <s v="Member"/>
    <s v="Ewallet"/>
    <x v="2"/>
    <n v="7"/>
    <n v="34.6"/>
    <n v="7"/>
    <n v="54.58"/>
    <n v="143.4"/>
    <n v="258.37"/>
    <n v="3.8764546470000001"/>
    <n v="58.625999999999998"/>
  </r>
  <r>
    <x v="2"/>
    <x v="2"/>
    <x v="497"/>
    <s v="09:49:PM"/>
    <n v="544382059"/>
    <s v="Male"/>
    <s v="Normal"/>
    <s v="Cash"/>
    <x v="1"/>
    <n v="9"/>
    <n v="38.76"/>
    <n v="7"/>
    <n v="81.64"/>
    <n v="175.5"/>
    <n v="609.55999999999995"/>
    <n v="3.8764546470000001"/>
    <n v="16.140999999999998"/>
  </r>
  <r>
    <x v="0"/>
    <x v="0"/>
    <x v="445"/>
    <s v="07:43:PM"/>
    <n v="610754661"/>
    <s v="Male"/>
    <s v="Normal"/>
    <s v="Cash"/>
    <x v="2"/>
    <n v="6.1"/>
    <n v="29.5"/>
    <n v="3"/>
    <n v="45.42"/>
    <n v="158.30000000000001"/>
    <n v="240.24"/>
    <n v="3.8764546470000001"/>
    <n v="84.262"/>
  </r>
  <r>
    <x v="1"/>
    <x v="1"/>
    <x v="480"/>
    <s v="11:47:AM"/>
    <n v="500064369"/>
    <s v="Male"/>
    <s v="Normal"/>
    <s v="Cash"/>
    <x v="5"/>
    <n v="5.3"/>
    <n v="42.92"/>
    <n v="2"/>
    <n v="79.37"/>
    <n v="170.8"/>
    <n v="172.26"/>
    <n v="3.8764546470000001"/>
    <n v="44.046999999999997"/>
  </r>
  <r>
    <x v="2"/>
    <x v="2"/>
    <x v="141"/>
    <s v="02:55:AM"/>
    <n v="896369483"/>
    <s v="Male"/>
    <s v="Member"/>
    <s v="Credit card"/>
    <x v="5"/>
    <n v="9.5"/>
    <n v="72.47"/>
    <n v="2"/>
    <n v="56.71"/>
    <n v="130.4"/>
    <n v="99.84"/>
    <n v="3.8764546470000001"/>
    <n v="83.97"/>
  </r>
  <r>
    <x v="0"/>
    <x v="0"/>
    <x v="523"/>
    <s v="03:58:AM"/>
    <n v="284930947"/>
    <s v="Female"/>
    <s v="Normal"/>
    <s v="Cash"/>
    <x v="4"/>
    <n v="3.2"/>
    <n v="77.2"/>
    <n v="4"/>
    <n v="64.349999999999994"/>
    <n v="131.9333"/>
    <n v="298.64"/>
    <n v="3.8764546470000001"/>
    <n v="14.62"/>
  </r>
  <r>
    <x v="2"/>
    <x v="2"/>
    <x v="524"/>
    <s v="01:24:AM"/>
    <n v="225054435"/>
    <s v="Male"/>
    <s v="Member"/>
    <s v="Ewallet"/>
    <x v="4"/>
    <n v="4.7"/>
    <n v="27.347000000000001"/>
    <n v="6"/>
    <n v="21.56"/>
    <n v="151.9477"/>
    <n v="159.6"/>
    <n v="3.8764546470000001"/>
    <n v="87.423000000000002"/>
  </r>
  <r>
    <x v="2"/>
    <x v="2"/>
    <x v="525"/>
    <s v="04:33:AM"/>
    <n v="972359064"/>
    <s v="Female"/>
    <s v="Normal"/>
    <s v="Credit card"/>
    <x v="1"/>
    <n v="1.1000000000000001"/>
    <n v="11.426"/>
    <n v="1"/>
    <n v="96.96"/>
    <n v="174.35419999999999"/>
    <n v="25.45"/>
    <n v="3.8764546470000001"/>
    <n v="63.982999999999997"/>
  </r>
  <r>
    <x v="2"/>
    <x v="2"/>
    <x v="339"/>
    <s v="11:48:PM"/>
    <n v="573367009"/>
    <s v="Female"/>
    <s v="Normal"/>
    <s v="Credit card"/>
    <x v="4"/>
    <n v="2.1"/>
    <n v="17.2"/>
    <n v="1"/>
    <n v="55.25"/>
    <n v="147.70320000000001"/>
    <n v="67.77"/>
    <n v="3.8764546470000001"/>
    <n v="43.447000000000003"/>
  </r>
  <r>
    <x v="1"/>
    <x v="1"/>
    <x v="311"/>
    <s v="04:55:PM"/>
    <n v="372289761"/>
    <s v="Male"/>
    <s v="Member"/>
    <s v="Cash"/>
    <x v="4"/>
    <n v="2.8"/>
    <n v="92.92"/>
    <n v="4"/>
    <n v="37.75"/>
    <n v="101.28060000000001"/>
    <n v="238.36"/>
    <n v="3.8764546470000001"/>
    <n v="18.763000000000002"/>
  </r>
  <r>
    <x v="0"/>
    <x v="0"/>
    <x v="339"/>
    <s v="11:33:AM"/>
    <n v="186598787"/>
    <s v="Male"/>
    <s v="Normal"/>
    <s v="Cash"/>
    <x v="0"/>
    <n v="7.2"/>
    <n v="69.13"/>
    <n v="4"/>
    <n v="87.01"/>
    <n v="141.9"/>
    <n v="232.6"/>
    <n v="3.8764546470000001"/>
    <n v="19.300999999999998"/>
  </r>
  <r>
    <x v="0"/>
    <x v="0"/>
    <x v="228"/>
    <s v="11:48:PM"/>
    <n v="845241697"/>
    <s v="Female"/>
    <s v="Member"/>
    <s v="Ewallet"/>
    <x v="3"/>
    <n v="8.5"/>
    <n v="16.66"/>
    <n v="9"/>
    <n v="84.98"/>
    <n v="184.4"/>
    <n v="877.32"/>
    <n v="3.8764546470000001"/>
    <n v="39.558999999999997"/>
  </r>
  <r>
    <x v="1"/>
    <x v="1"/>
    <x v="333"/>
    <s v="04:12:AM"/>
    <n v="32745791"/>
    <s v="Male"/>
    <s v="Normal"/>
    <s v="Cash"/>
    <x v="0"/>
    <n v="10"/>
    <n v="58.56"/>
    <n v="7"/>
    <n v="29.25"/>
    <n v="101.1"/>
    <n v="699.72"/>
    <n v="3.8764546470000001"/>
    <n v="67.16"/>
  </r>
  <r>
    <x v="1"/>
    <x v="1"/>
    <x v="22"/>
    <s v="03:02:AM"/>
    <n v="13007799"/>
    <s v="Male"/>
    <s v="Normal"/>
    <s v="Cash"/>
    <x v="1"/>
    <n v="2.2999999999999998"/>
    <n v="45.292999999999999"/>
    <n v="7"/>
    <n v="18.96"/>
    <n v="159.80000000000001"/>
    <n v="674.59"/>
    <n v="3.8764546470000001"/>
    <n v="26.09"/>
  </r>
  <r>
    <x v="2"/>
    <x v="2"/>
    <x v="526"/>
    <s v="08:17:AM"/>
    <n v="484791210"/>
    <s v="Female"/>
    <s v="Normal"/>
    <s v="Ewallet"/>
    <x v="5"/>
    <n v="2.2999999999999998"/>
    <n v="99.7"/>
    <n v="5"/>
    <n v="12.51"/>
    <n v="122"/>
    <n v="318.55"/>
    <n v="3.8764546470000001"/>
    <n v="73.323999999999998"/>
  </r>
  <r>
    <x v="2"/>
    <x v="2"/>
    <x v="364"/>
    <s v="10:31:PM"/>
    <n v="100638962"/>
    <s v="Female"/>
    <s v="Normal"/>
    <s v="Ewallet"/>
    <x v="0"/>
    <n v="5.9"/>
    <n v="99.36"/>
    <n v="2"/>
    <n v="22.31"/>
    <n v="168.1"/>
    <n v="29.52"/>
    <n v="3.8764546470000001"/>
    <n v="98.966999999999999"/>
  </r>
  <r>
    <x v="2"/>
    <x v="2"/>
    <x v="527"/>
    <s v="08:10:AM"/>
    <n v="234026138"/>
    <s v="Male"/>
    <s v="Member"/>
    <s v="Credit card"/>
    <x v="0"/>
    <n v="2.4"/>
    <n v="99.998000000000005"/>
    <n v="8"/>
    <n v="19.12"/>
    <n v="183.79939999999999"/>
    <n v="496"/>
    <n v="3.8764546470000001"/>
    <n v="93.168999999999997"/>
  </r>
  <r>
    <x v="1"/>
    <x v="1"/>
    <x v="528"/>
    <s v="06:26:PM"/>
    <n v="433930336"/>
    <s v="Male"/>
    <s v="Member"/>
    <s v="Ewallet"/>
    <x v="1"/>
    <n v="9.6"/>
    <n v="39.5"/>
    <n v="10"/>
    <n v="16.16"/>
    <n v="119.0484"/>
    <n v="823.4"/>
    <n v="3.8764546470000001"/>
    <n v="98.795000000000002"/>
  </r>
  <r>
    <x v="2"/>
    <x v="2"/>
    <x v="402"/>
    <s v="12:29:PM"/>
    <n v="90819330"/>
    <s v="Male"/>
    <s v="Member"/>
    <s v="Credit card"/>
    <x v="0"/>
    <n v="1"/>
    <n v="90.03"/>
    <n v="8"/>
    <n v="53.76"/>
    <n v="174.9"/>
    <n v="602.96"/>
    <n v="3.8764546470000001"/>
    <n v="15.037000000000001"/>
  </r>
  <r>
    <x v="0"/>
    <x v="0"/>
    <x v="499"/>
    <s v="05:58:PM"/>
    <n v="249848813"/>
    <s v="Female"/>
    <s v="Normal"/>
    <s v="Credit card"/>
    <x v="4"/>
    <n v="1.2"/>
    <n v="62.7"/>
    <n v="5"/>
    <n v="92.64"/>
    <n v="114.7"/>
    <n v="282.8"/>
    <n v="3.8764546470000001"/>
    <n v="78.81"/>
  </r>
  <r>
    <x v="2"/>
    <x v="2"/>
    <x v="472"/>
    <s v="08:32:PM"/>
    <n v="934841997"/>
    <s v="Female"/>
    <s v="Normal"/>
    <s v="Ewallet"/>
    <x v="3"/>
    <n v="9.1999999999999993"/>
    <n v="27.73"/>
    <n v="10"/>
    <n v="63.47"/>
    <n v="150.6"/>
    <n v="766"/>
    <n v="3.8764546470000001"/>
    <n v="14.361000000000001"/>
  </r>
  <r>
    <x v="0"/>
    <x v="0"/>
    <x v="30"/>
    <s v="01:39:PM"/>
    <n v="356754623"/>
    <s v="Male"/>
    <s v="Normal"/>
    <s v="Ewallet"/>
    <x v="1"/>
    <n v="8.5"/>
    <n v="85.6"/>
    <n v="2"/>
    <n v="52.65"/>
    <n v="132.5"/>
    <n v="116.06"/>
    <n v="3.8764546470000001"/>
    <n v="38.206000000000003"/>
  </r>
  <r>
    <x v="2"/>
    <x v="2"/>
    <x v="529"/>
    <s v="03:52:PM"/>
    <n v="684936091"/>
    <s v="Male"/>
    <s v="Normal"/>
    <s v="Ewallet"/>
    <x v="5"/>
    <n v="9.3000000000000007"/>
    <n v="21.399000000000001"/>
    <n v="10"/>
    <n v="35.99"/>
    <n v="146.1"/>
    <n v="174.9"/>
    <n v="3.8764546470000001"/>
    <n v="26.17"/>
  </r>
  <r>
    <x v="1"/>
    <x v="1"/>
    <x v="211"/>
    <s v="07:29:PM"/>
    <n v="162478356"/>
    <s v="Female"/>
    <s v="Member"/>
    <s v="Ewallet"/>
    <x v="1"/>
    <n v="3"/>
    <n v="23.01"/>
    <n v="1"/>
    <n v="11.83"/>
    <n v="102.9978"/>
    <n v="60.95"/>
    <n v="3.8764546470000001"/>
    <n v="96.346000000000004"/>
  </r>
  <r>
    <x v="1"/>
    <x v="1"/>
    <x v="279"/>
    <s v="02:00:PM"/>
    <n v="846166062"/>
    <s v="Male"/>
    <s v="Normal"/>
    <s v="Ewallet"/>
    <x v="0"/>
    <n v="6"/>
    <n v="16.739999999999998"/>
    <n v="1"/>
    <n v="68.38"/>
    <n v="171.9452"/>
    <n v="40.35"/>
    <n v="3.8764546470000001"/>
    <n v="45.523000000000003"/>
  </r>
  <r>
    <x v="2"/>
    <x v="2"/>
    <x v="366"/>
    <s v="10:16:AM"/>
    <n v="943601466"/>
    <s v="Female"/>
    <s v="Normal"/>
    <s v="Ewallet"/>
    <x v="2"/>
    <n v="8"/>
    <n v="58.826999999999998"/>
    <n v="10"/>
    <n v="49.82"/>
    <n v="135.96469999999999"/>
    <n v="973.8"/>
    <n v="3.8764546470000001"/>
    <n v="66.992999999999995"/>
  </r>
  <r>
    <x v="0"/>
    <x v="0"/>
    <x v="15"/>
    <s v="11:05:AM"/>
    <n v="135554726"/>
    <s v="Male"/>
    <s v="Member"/>
    <s v="Cash"/>
    <x v="4"/>
    <n v="3.1"/>
    <n v="23.202999999999999"/>
    <n v="1"/>
    <n v="46.04"/>
    <n v="147.6"/>
    <n v="31.84"/>
    <n v="3.8764546470000001"/>
    <n v="25.780999999999999"/>
  </r>
  <r>
    <x v="0"/>
    <x v="0"/>
    <x v="135"/>
    <s v="02:00:PM"/>
    <n v="135672006"/>
    <s v="Male"/>
    <s v="Normal"/>
    <s v="Cash"/>
    <x v="2"/>
    <n v="2.1"/>
    <n v="26.32"/>
    <n v="1"/>
    <n v="49.34"/>
    <n v="186.9"/>
    <n v="65.819999999999993"/>
    <n v="3.8764546470000001"/>
    <n v="75.344999999999999"/>
  </r>
  <r>
    <x v="0"/>
    <x v="0"/>
    <x v="530"/>
    <s v="02:20:AM"/>
    <n v="981278607"/>
    <s v="Female"/>
    <s v="Member"/>
    <s v="Cash"/>
    <x v="5"/>
    <n v="6"/>
    <n v="15.58"/>
    <n v="7"/>
    <n v="74.67"/>
    <n v="138.80000000000001"/>
    <n v="618.38"/>
    <n v="3.8764546470000001"/>
    <n v="94.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70FD6-1819-4342-B4C4-1B262FE8E3EF}" name="PivotTable4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9">
    <pivotField showAll="0"/>
    <pivotField showAll="0"/>
    <pivotField numFmtId="14" showAll="0"/>
    <pivotField numFmtId="164" showAll="0">
      <items count="206">
        <item x="87"/>
        <item x="96"/>
        <item x="142"/>
        <item x="99"/>
        <item x="85"/>
        <item x="75"/>
        <item x="110"/>
        <item x="185"/>
        <item x="39"/>
        <item x="133"/>
        <item x="197"/>
        <item x="146"/>
        <item x="90"/>
        <item x="64"/>
        <item x="82"/>
        <item x="77"/>
        <item x="125"/>
        <item x="124"/>
        <item x="117"/>
        <item x="43"/>
        <item x="12"/>
        <item x="74"/>
        <item x="122"/>
        <item x="141"/>
        <item x="153"/>
        <item x="109"/>
        <item x="199"/>
        <item x="174"/>
        <item x="76"/>
        <item x="161"/>
        <item x="168"/>
        <item x="14"/>
        <item x="132"/>
        <item x="149"/>
        <item x="188"/>
        <item x="193"/>
        <item x="159"/>
        <item x="176"/>
        <item x="78"/>
        <item x="31"/>
        <item x="204"/>
        <item x="198"/>
        <item x="196"/>
        <item x="93"/>
        <item x="6"/>
        <item x="13"/>
        <item x="28"/>
        <item x="134"/>
        <item x="106"/>
        <item x="2"/>
        <item x="150"/>
        <item x="177"/>
        <item x="100"/>
        <item x="5"/>
        <item x="18"/>
        <item x="160"/>
        <item x="144"/>
        <item x="30"/>
        <item x="53"/>
        <item x="126"/>
        <item x="47"/>
        <item x="169"/>
        <item x="51"/>
        <item x="23"/>
        <item x="27"/>
        <item x="187"/>
        <item x="22"/>
        <item x="50"/>
        <item x="49"/>
        <item x="84"/>
        <item x="68"/>
        <item x="54"/>
        <item x="59"/>
        <item x="128"/>
        <item x="89"/>
        <item x="156"/>
        <item x="171"/>
        <item x="151"/>
        <item x="162"/>
        <item x="17"/>
        <item x="170"/>
        <item x="60"/>
        <item x="178"/>
        <item x="143"/>
        <item x="175"/>
        <item x="201"/>
        <item x="183"/>
        <item x="202"/>
        <item x="118"/>
        <item x="158"/>
        <item x="65"/>
        <item x="181"/>
        <item x="148"/>
        <item x="25"/>
        <item x="52"/>
        <item x="105"/>
        <item x="195"/>
        <item x="139"/>
        <item x="58"/>
        <item x="102"/>
        <item x="4"/>
        <item x="164"/>
        <item x="55"/>
        <item x="192"/>
        <item x="127"/>
        <item x="63"/>
        <item x="120"/>
        <item x="152"/>
        <item x="9"/>
        <item x="184"/>
        <item x="32"/>
        <item x="121"/>
        <item x="123"/>
        <item x="73"/>
        <item x="179"/>
        <item x="136"/>
        <item x="41"/>
        <item x="167"/>
        <item x="94"/>
        <item x="116"/>
        <item x="81"/>
        <item x="45"/>
        <item x="71"/>
        <item x="88"/>
        <item x="112"/>
        <item x="140"/>
        <item x="20"/>
        <item x="92"/>
        <item x="37"/>
        <item x="95"/>
        <item x="42"/>
        <item x="115"/>
        <item x="40"/>
        <item x="130"/>
        <item x="83"/>
        <item x="26"/>
        <item x="72"/>
        <item x="182"/>
        <item x="8"/>
        <item x="103"/>
        <item x="7"/>
        <item x="108"/>
        <item x="114"/>
        <item x="3"/>
        <item x="79"/>
        <item x="46"/>
        <item x="113"/>
        <item x="186"/>
        <item x="66"/>
        <item x="29"/>
        <item x="180"/>
        <item x="194"/>
        <item x="16"/>
        <item x="0"/>
        <item x="137"/>
        <item x="98"/>
        <item x="190"/>
        <item x="203"/>
        <item x="91"/>
        <item x="24"/>
        <item x="69"/>
        <item x="21"/>
        <item x="44"/>
        <item x="138"/>
        <item x="48"/>
        <item x="166"/>
        <item x="157"/>
        <item x="145"/>
        <item x="15"/>
        <item x="80"/>
        <item x="97"/>
        <item x="111"/>
        <item x="107"/>
        <item x="131"/>
        <item x="62"/>
        <item x="19"/>
        <item x="189"/>
        <item x="86"/>
        <item x="10"/>
        <item x="104"/>
        <item x="155"/>
        <item x="154"/>
        <item x="172"/>
        <item x="129"/>
        <item x="191"/>
        <item x="165"/>
        <item x="35"/>
        <item x="119"/>
        <item x="36"/>
        <item x="135"/>
        <item x="11"/>
        <item x="57"/>
        <item x="163"/>
        <item x="173"/>
        <item x="33"/>
        <item x="200"/>
        <item x="70"/>
        <item x="67"/>
        <item x="147"/>
        <item x="38"/>
        <item x="101"/>
        <item x="34"/>
        <item x="1"/>
        <item x="61"/>
        <item x="56"/>
        <item t="default"/>
      </items>
    </pivotField>
    <pivotField numFmtId="49"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" fld="13" subtotal="average" baseField="8" baseItem="0"/>
    <dataField name="Count of Quantity" fld="11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390CB-87AD-4F3E-A85C-467B05D0804B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C20" firstHeaderRow="0" firstDataRow="1" firstDataCol="1"/>
  <pivotFields count="20"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>
      <items count="532">
        <item x="78"/>
        <item x="32"/>
        <item x="128"/>
        <item x="91"/>
        <item x="147"/>
        <item x="386"/>
        <item x="15"/>
        <item x="111"/>
        <item x="236"/>
        <item x="29"/>
        <item x="407"/>
        <item x="99"/>
        <item x="287"/>
        <item x="198"/>
        <item x="278"/>
        <item x="83"/>
        <item x="439"/>
        <item x="310"/>
        <item x="9"/>
        <item x="89"/>
        <item x="65"/>
        <item x="163"/>
        <item x="273"/>
        <item x="178"/>
        <item x="28"/>
        <item x="321"/>
        <item x="105"/>
        <item x="519"/>
        <item x="316"/>
        <item x="36"/>
        <item x="422"/>
        <item x="169"/>
        <item x="90"/>
        <item x="79"/>
        <item x="330"/>
        <item x="233"/>
        <item x="85"/>
        <item x="204"/>
        <item x="75"/>
        <item x="64"/>
        <item x="114"/>
        <item x="362"/>
        <item x="366"/>
        <item x="337"/>
        <item x="190"/>
        <item x="191"/>
        <item x="476"/>
        <item x="364"/>
        <item x="199"/>
        <item x="373"/>
        <item x="216"/>
        <item x="449"/>
        <item x="195"/>
        <item x="243"/>
        <item x="66"/>
        <item x="21"/>
        <item x="277"/>
        <item x="507"/>
        <item x="443"/>
        <item x="57"/>
        <item x="473"/>
        <item x="518"/>
        <item x="345"/>
        <item x="503"/>
        <item x="30"/>
        <item x="493"/>
        <item x="360"/>
        <item x="168"/>
        <item x="138"/>
        <item x="11"/>
        <item x="383"/>
        <item x="368"/>
        <item x="139"/>
        <item x="444"/>
        <item x="49"/>
        <item x="266"/>
        <item x="270"/>
        <item x="320"/>
        <item x="319"/>
        <item x="389"/>
        <item x="457"/>
        <item x="162"/>
        <item x="300"/>
        <item x="280"/>
        <item x="244"/>
        <item x="409"/>
        <item x="133"/>
        <item x="296"/>
        <item x="515"/>
        <item x="109"/>
        <item x="31"/>
        <item x="203"/>
        <item x="221"/>
        <item x="502"/>
        <item x="5"/>
        <item x="179"/>
        <item x="311"/>
        <item x="14"/>
        <item x="165"/>
        <item x="187"/>
        <item x="421"/>
        <item x="189"/>
        <item x="522"/>
        <item x="484"/>
        <item x="427"/>
        <item x="363"/>
        <item x="134"/>
        <item x="47"/>
        <item x="391"/>
        <item x="19"/>
        <item x="157"/>
        <item x="420"/>
        <item x="412"/>
        <item x="529"/>
        <item x="292"/>
        <item x="303"/>
        <item x="97"/>
        <item x="304"/>
        <item x="341"/>
        <item x="456"/>
        <item x="486"/>
        <item x="130"/>
        <item x="258"/>
        <item x="275"/>
        <item x="423"/>
        <item x="332"/>
        <item x="73"/>
        <item x="141"/>
        <item x="331"/>
        <item x="250"/>
        <item x="202"/>
        <item x="74"/>
        <item x="394"/>
        <item x="61"/>
        <item x="295"/>
        <item x="401"/>
        <item x="260"/>
        <item x="86"/>
        <item x="306"/>
        <item x="229"/>
        <item x="459"/>
        <item x="524"/>
        <item x="461"/>
        <item x="25"/>
        <item x="148"/>
        <item x="170"/>
        <item x="523"/>
        <item x="81"/>
        <item x="175"/>
        <item x="88"/>
        <item x="70"/>
        <item x="377"/>
        <item x="527"/>
        <item x="38"/>
        <item x="479"/>
        <item x="44"/>
        <item x="135"/>
        <item x="94"/>
        <item x="282"/>
        <item x="452"/>
        <item x="24"/>
        <item x="51"/>
        <item x="238"/>
        <item x="398"/>
        <item x="372"/>
        <item x="231"/>
        <item x="122"/>
        <item x="13"/>
        <item x="247"/>
        <item x="433"/>
        <item x="418"/>
        <item x="215"/>
        <item x="470"/>
        <item x="396"/>
        <item x="212"/>
        <item x="387"/>
        <item x="327"/>
        <item x="308"/>
        <item x="450"/>
        <item x="272"/>
        <item x="26"/>
        <item x="41"/>
        <item x="430"/>
        <item x="4"/>
        <item x="480"/>
        <item x="167"/>
        <item x="466"/>
        <item x="33"/>
        <item x="152"/>
        <item x="50"/>
        <item x="126"/>
        <item x="509"/>
        <item x="434"/>
        <item x="448"/>
        <item x="513"/>
        <item x="245"/>
        <item x="469"/>
        <item x="259"/>
        <item x="210"/>
        <item x="100"/>
        <item x="222"/>
        <item x="471"/>
        <item x="35"/>
        <item x="71"/>
        <item x="333"/>
        <item x="371"/>
        <item x="357"/>
        <item x="498"/>
        <item x="12"/>
        <item x="261"/>
        <item x="323"/>
        <item x="358"/>
        <item x="18"/>
        <item x="232"/>
        <item x="271"/>
        <item x="62"/>
        <item x="481"/>
        <item x="458"/>
        <item x="413"/>
        <item x="155"/>
        <item x="59"/>
        <item x="500"/>
        <item x="324"/>
        <item x="382"/>
        <item x="340"/>
        <item x="183"/>
        <item x="22"/>
        <item x="361"/>
        <item x="348"/>
        <item x="1"/>
        <item x="96"/>
        <item x="302"/>
        <item x="129"/>
        <item x="116"/>
        <item x="246"/>
        <item x="184"/>
        <item x="115"/>
        <item x="55"/>
        <item x="329"/>
        <item x="468"/>
        <item x="156"/>
        <item x="241"/>
        <item x="132"/>
        <item x="2"/>
        <item x="226"/>
        <item x="497"/>
        <item x="158"/>
        <item x="262"/>
        <item x="490"/>
        <item x="281"/>
        <item x="279"/>
        <item x="17"/>
        <item x="237"/>
        <item x="399"/>
        <item x="334"/>
        <item x="68"/>
        <item x="113"/>
        <item x="269"/>
        <item x="23"/>
        <item x="442"/>
        <item x="354"/>
        <item x="528"/>
        <item x="87"/>
        <item x="53"/>
        <item x="67"/>
        <item x="435"/>
        <item x="285"/>
        <item x="196"/>
        <item x="339"/>
        <item x="268"/>
        <item x="405"/>
        <item x="352"/>
        <item x="34"/>
        <item x="464"/>
        <item x="437"/>
        <item x="402"/>
        <item x="52"/>
        <item x="185"/>
        <item x="453"/>
        <item x="220"/>
        <item x="103"/>
        <item x="462"/>
        <item x="298"/>
        <item x="286"/>
        <item x="290"/>
        <item x="397"/>
        <item x="256"/>
        <item x="504"/>
        <item x="301"/>
        <item x="530"/>
        <item x="314"/>
        <item x="10"/>
        <item x="488"/>
        <item x="342"/>
        <item x="516"/>
        <item x="235"/>
        <item x="326"/>
        <item x="410"/>
        <item x="153"/>
        <item x="160"/>
        <item x="255"/>
        <item x="403"/>
        <item x="214"/>
        <item x="186"/>
        <item x="119"/>
        <item x="274"/>
        <item x="508"/>
        <item x="505"/>
        <item x="291"/>
        <item x="477"/>
        <item x="43"/>
        <item x="37"/>
        <item x="223"/>
        <item x="72"/>
        <item x="140"/>
        <item x="472"/>
        <item x="164"/>
        <item x="107"/>
        <item x="251"/>
        <item x="123"/>
        <item x="517"/>
        <item x="150"/>
        <item x="219"/>
        <item x="39"/>
        <item x="445"/>
        <item x="369"/>
        <item x="217"/>
        <item x="496"/>
        <item x="230"/>
        <item x="54"/>
        <item x="264"/>
        <item x="8"/>
        <item x="499"/>
        <item x="485"/>
        <item x="525"/>
        <item x="307"/>
        <item x="317"/>
        <item x="460"/>
        <item x="143"/>
        <item x="0"/>
        <item x="180"/>
        <item x="197"/>
        <item x="228"/>
        <item x="209"/>
        <item x="142"/>
        <item x="239"/>
        <item x="417"/>
        <item x="336"/>
        <item x="93"/>
        <item x="40"/>
        <item x="511"/>
        <item x="82"/>
        <item x="213"/>
        <item x="451"/>
        <item x="514"/>
        <item x="378"/>
        <item x="242"/>
        <item x="80"/>
        <item x="192"/>
        <item x="289"/>
        <item x="45"/>
        <item x="467"/>
        <item x="408"/>
        <item x="385"/>
        <item x="512"/>
        <item x="208"/>
        <item x="104"/>
        <item x="101"/>
        <item x="374"/>
        <item x="428"/>
        <item x="145"/>
        <item x="194"/>
        <item x="359"/>
        <item x="520"/>
        <item x="380"/>
        <item x="463"/>
        <item x="76"/>
        <item x="475"/>
        <item x="343"/>
        <item x="171"/>
        <item x="84"/>
        <item x="299"/>
        <item x="294"/>
        <item x="425"/>
        <item x="136"/>
        <item x="415"/>
        <item x="436"/>
        <item x="419"/>
        <item x="465"/>
        <item x="177"/>
        <item x="201"/>
        <item x="42"/>
        <item x="252"/>
        <item x="181"/>
        <item x="224"/>
        <item x="521"/>
        <item x="257"/>
        <item x="166"/>
        <item x="375"/>
        <item x="338"/>
        <item x="121"/>
        <item x="351"/>
        <item x="411"/>
        <item x="454"/>
        <item x="318"/>
        <item x="154"/>
        <item x="176"/>
        <item x="254"/>
        <item x="120"/>
        <item x="276"/>
        <item x="118"/>
        <item x="365"/>
        <item x="253"/>
        <item x="492"/>
        <item x="491"/>
        <item x="355"/>
        <item x="447"/>
        <item x="416"/>
        <item x="182"/>
        <item x="207"/>
        <item x="315"/>
        <item x="393"/>
        <item x="349"/>
        <item x="431"/>
        <item x="7"/>
        <item x="200"/>
        <item x="313"/>
        <item x="106"/>
        <item x="48"/>
        <item x="263"/>
        <item x="102"/>
        <item x="474"/>
        <item x="370"/>
        <item x="60"/>
        <item x="284"/>
        <item x="63"/>
        <item x="384"/>
        <item x="424"/>
        <item x="46"/>
        <item x="347"/>
        <item x="494"/>
        <item x="172"/>
        <item x="350"/>
        <item x="149"/>
        <item x="328"/>
        <item x="249"/>
        <item x="225"/>
        <item x="144"/>
        <item x="146"/>
        <item x="58"/>
        <item x="3"/>
        <item x="440"/>
        <item x="367"/>
        <item x="206"/>
        <item x="159"/>
        <item x="288"/>
        <item x="406"/>
        <item x="506"/>
        <item x="174"/>
        <item x="218"/>
        <item x="346"/>
        <item x="388"/>
        <item x="69"/>
        <item x="455"/>
        <item x="309"/>
        <item x="376"/>
        <item x="56"/>
        <item x="482"/>
        <item x="432"/>
        <item x="108"/>
        <item x="414"/>
        <item x="267"/>
        <item x="400"/>
        <item x="356"/>
        <item x="478"/>
        <item x="124"/>
        <item x="131"/>
        <item x="151"/>
        <item x="526"/>
        <item x="92"/>
        <item x="325"/>
        <item x="227"/>
        <item x="283"/>
        <item x="188"/>
        <item x="6"/>
        <item x="501"/>
        <item x="127"/>
        <item x="293"/>
        <item x="487"/>
        <item x="381"/>
        <item x="404"/>
        <item x="27"/>
        <item x="495"/>
        <item x="390"/>
        <item x="248"/>
        <item x="211"/>
        <item x="77"/>
        <item x="16"/>
        <item x="305"/>
        <item x="117"/>
        <item x="344"/>
        <item x="265"/>
        <item x="234"/>
        <item x="510"/>
        <item x="110"/>
        <item x="20"/>
        <item x="240"/>
        <item x="193"/>
        <item x="438"/>
        <item x="137"/>
        <item x="205"/>
        <item x="441"/>
        <item x="322"/>
        <item x="112"/>
        <item x="446"/>
        <item x="95"/>
        <item x="335"/>
        <item x="173"/>
        <item x="483"/>
        <item x="426"/>
        <item x="429"/>
        <item x="395"/>
        <item x="379"/>
        <item x="125"/>
        <item x="353"/>
        <item x="297"/>
        <item x="161"/>
        <item x="98"/>
        <item x="312"/>
        <item x="392"/>
        <item x="489"/>
        <item t="default"/>
      </items>
    </pivotField>
    <pivotField showAll="0"/>
    <pivotField numFmtId="49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1" baseField="0" baseItem="0"/>
    <dataField name="Average of Rating" fld="9" subtotal="average" baseField="0" baseItem="0" numFmtId="2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BE215-71E0-49F0-8EAD-C3A92ADD5953}" name="PivotTable9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yalty Member">
  <location ref="A55:B58" firstHeaderRow="1" firstDataRow="1" firstDataCol="1"/>
  <pivotFields count="19">
    <pivotField showAll="0"/>
    <pivotField showAll="0">
      <items count="7">
        <item h="1" m="1" x="5"/>
        <item h="1" x="2"/>
        <item h="1" x="0"/>
        <item h="1" m="1" x="3"/>
        <item x="1"/>
        <item h="1" m="1" x="4"/>
        <item t="default"/>
      </items>
    </pivotField>
    <pivotField numFmtId="14" showAll="0"/>
    <pivotField numFmtId="164" showAll="0">
      <items count="206">
        <item x="87"/>
        <item x="96"/>
        <item x="142"/>
        <item x="99"/>
        <item x="85"/>
        <item x="75"/>
        <item x="110"/>
        <item x="185"/>
        <item x="39"/>
        <item x="133"/>
        <item x="197"/>
        <item x="146"/>
        <item x="90"/>
        <item x="64"/>
        <item x="82"/>
        <item x="77"/>
        <item x="125"/>
        <item x="124"/>
        <item x="117"/>
        <item x="43"/>
        <item x="12"/>
        <item x="74"/>
        <item x="122"/>
        <item x="141"/>
        <item x="153"/>
        <item x="109"/>
        <item x="199"/>
        <item x="174"/>
        <item x="76"/>
        <item x="161"/>
        <item x="168"/>
        <item x="14"/>
        <item x="132"/>
        <item x="149"/>
        <item x="188"/>
        <item x="193"/>
        <item x="159"/>
        <item x="176"/>
        <item x="78"/>
        <item x="31"/>
        <item x="204"/>
        <item x="198"/>
        <item x="196"/>
        <item x="93"/>
        <item x="6"/>
        <item x="13"/>
        <item x="28"/>
        <item x="134"/>
        <item x="106"/>
        <item x="2"/>
        <item x="150"/>
        <item x="177"/>
        <item x="100"/>
        <item x="5"/>
        <item x="18"/>
        <item x="160"/>
        <item x="144"/>
        <item x="30"/>
        <item x="53"/>
        <item x="126"/>
        <item x="47"/>
        <item x="169"/>
        <item x="51"/>
        <item x="23"/>
        <item x="27"/>
        <item x="187"/>
        <item x="22"/>
        <item x="50"/>
        <item x="49"/>
        <item x="84"/>
        <item x="68"/>
        <item x="54"/>
        <item x="59"/>
        <item x="128"/>
        <item x="89"/>
        <item x="156"/>
        <item x="171"/>
        <item x="151"/>
        <item x="162"/>
        <item x="17"/>
        <item x="170"/>
        <item x="60"/>
        <item x="178"/>
        <item x="143"/>
        <item x="175"/>
        <item x="201"/>
        <item x="183"/>
        <item x="202"/>
        <item x="118"/>
        <item x="158"/>
        <item x="65"/>
        <item x="181"/>
        <item x="148"/>
        <item x="25"/>
        <item x="52"/>
        <item x="105"/>
        <item x="195"/>
        <item x="139"/>
        <item x="58"/>
        <item x="102"/>
        <item x="4"/>
        <item x="164"/>
        <item x="55"/>
        <item x="192"/>
        <item x="127"/>
        <item x="63"/>
        <item x="120"/>
        <item x="152"/>
        <item x="9"/>
        <item x="184"/>
        <item x="32"/>
        <item x="121"/>
        <item x="123"/>
        <item x="73"/>
        <item x="179"/>
        <item x="136"/>
        <item x="41"/>
        <item x="167"/>
        <item x="94"/>
        <item x="116"/>
        <item x="81"/>
        <item x="45"/>
        <item x="71"/>
        <item x="88"/>
        <item x="112"/>
        <item x="140"/>
        <item x="20"/>
        <item x="92"/>
        <item x="37"/>
        <item x="95"/>
        <item x="42"/>
        <item x="115"/>
        <item x="40"/>
        <item x="130"/>
        <item x="83"/>
        <item x="26"/>
        <item x="72"/>
        <item x="182"/>
        <item x="8"/>
        <item x="103"/>
        <item x="7"/>
        <item x="108"/>
        <item x="114"/>
        <item x="3"/>
        <item x="79"/>
        <item x="46"/>
        <item x="113"/>
        <item x="186"/>
        <item x="66"/>
        <item x="29"/>
        <item x="180"/>
        <item x="194"/>
        <item x="16"/>
        <item x="0"/>
        <item x="137"/>
        <item x="98"/>
        <item x="190"/>
        <item x="203"/>
        <item x="91"/>
        <item x="24"/>
        <item x="69"/>
        <item x="21"/>
        <item x="44"/>
        <item x="138"/>
        <item x="48"/>
        <item x="166"/>
        <item x="157"/>
        <item x="145"/>
        <item x="15"/>
        <item x="80"/>
        <item x="97"/>
        <item x="111"/>
        <item x="107"/>
        <item x="131"/>
        <item x="62"/>
        <item x="19"/>
        <item x="189"/>
        <item x="86"/>
        <item x="10"/>
        <item x="104"/>
        <item x="155"/>
        <item x="154"/>
        <item x="172"/>
        <item x="129"/>
        <item x="191"/>
        <item x="165"/>
        <item x="35"/>
        <item x="119"/>
        <item x="36"/>
        <item x="135"/>
        <item x="11"/>
        <item x="57"/>
        <item x="163"/>
        <item x="173"/>
        <item x="33"/>
        <item x="200"/>
        <item x="70"/>
        <item x="67"/>
        <item x="147"/>
        <item x="38"/>
        <item x="101"/>
        <item x="34"/>
        <item x="1"/>
        <item x="61"/>
        <item x="56"/>
        <item t="default"/>
      </items>
    </pivotField>
    <pivotField numFmtId="49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Total" fld="13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03389-176F-41AB-9E15-B7338C05AD37}" name="PivotTable8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me">
  <location ref="A25:B50" firstHeaderRow="1" firstDataRow="1" firstDataCol="1"/>
  <pivotFields count="19">
    <pivotField showAll="0"/>
    <pivotField showAll="0">
      <items count="7">
        <item h="1" m="1" x="5"/>
        <item h="1" x="2"/>
        <item h="1" x="0"/>
        <item h="1" m="1" x="3"/>
        <item x="1"/>
        <item h="1" m="1" x="4"/>
        <item t="default"/>
      </items>
    </pivotField>
    <pivotField numFmtId="14" showAll="0"/>
    <pivotField numFmtId="164" showAll="0">
      <items count="206">
        <item x="87"/>
        <item x="96"/>
        <item x="142"/>
        <item x="99"/>
        <item x="85"/>
        <item x="75"/>
        <item x="110"/>
        <item x="185"/>
        <item x="39"/>
        <item x="133"/>
        <item x="197"/>
        <item x="146"/>
        <item x="90"/>
        <item x="64"/>
        <item x="82"/>
        <item x="77"/>
        <item x="125"/>
        <item x="124"/>
        <item x="117"/>
        <item x="43"/>
        <item x="12"/>
        <item x="74"/>
        <item x="122"/>
        <item x="141"/>
        <item x="153"/>
        <item x="109"/>
        <item x="199"/>
        <item x="174"/>
        <item x="76"/>
        <item x="161"/>
        <item x="168"/>
        <item x="14"/>
        <item x="132"/>
        <item x="149"/>
        <item x="188"/>
        <item x="193"/>
        <item x="159"/>
        <item x="176"/>
        <item x="78"/>
        <item x="31"/>
        <item x="204"/>
        <item x="198"/>
        <item x="196"/>
        <item x="93"/>
        <item x="6"/>
        <item x="13"/>
        <item x="28"/>
        <item x="134"/>
        <item x="106"/>
        <item x="2"/>
        <item x="150"/>
        <item x="177"/>
        <item x="100"/>
        <item x="5"/>
        <item x="18"/>
        <item x="160"/>
        <item x="144"/>
        <item x="30"/>
        <item x="53"/>
        <item x="126"/>
        <item x="47"/>
        <item x="169"/>
        <item x="51"/>
        <item x="23"/>
        <item x="27"/>
        <item x="187"/>
        <item x="22"/>
        <item x="50"/>
        <item x="49"/>
        <item x="84"/>
        <item x="68"/>
        <item x="54"/>
        <item x="59"/>
        <item x="128"/>
        <item x="89"/>
        <item x="156"/>
        <item x="171"/>
        <item x="151"/>
        <item x="162"/>
        <item x="17"/>
        <item x="170"/>
        <item x="60"/>
        <item x="178"/>
        <item x="143"/>
        <item x="175"/>
        <item x="201"/>
        <item x="183"/>
        <item x="202"/>
        <item x="118"/>
        <item x="158"/>
        <item x="65"/>
        <item x="181"/>
        <item x="148"/>
        <item x="25"/>
        <item x="52"/>
        <item x="105"/>
        <item x="195"/>
        <item x="139"/>
        <item x="58"/>
        <item x="102"/>
        <item x="4"/>
        <item x="164"/>
        <item x="55"/>
        <item x="192"/>
        <item x="127"/>
        <item x="63"/>
        <item x="120"/>
        <item x="152"/>
        <item x="9"/>
        <item x="184"/>
        <item x="32"/>
        <item x="121"/>
        <item x="123"/>
        <item x="73"/>
        <item x="179"/>
        <item x="136"/>
        <item x="41"/>
        <item x="167"/>
        <item x="94"/>
        <item x="116"/>
        <item x="81"/>
        <item x="45"/>
        <item x="71"/>
        <item x="88"/>
        <item x="112"/>
        <item x="140"/>
        <item x="20"/>
        <item x="92"/>
        <item x="37"/>
        <item x="95"/>
        <item x="42"/>
        <item x="115"/>
        <item x="40"/>
        <item x="130"/>
        <item x="83"/>
        <item x="26"/>
        <item x="72"/>
        <item x="182"/>
        <item x="8"/>
        <item x="103"/>
        <item x="7"/>
        <item x="108"/>
        <item x="114"/>
        <item x="3"/>
        <item x="79"/>
        <item x="46"/>
        <item x="113"/>
        <item x="186"/>
        <item x="66"/>
        <item x="29"/>
        <item x="180"/>
        <item x="194"/>
        <item x="16"/>
        <item x="0"/>
        <item x="137"/>
        <item x="98"/>
        <item x="190"/>
        <item x="203"/>
        <item x="91"/>
        <item x="24"/>
        <item x="69"/>
        <item x="21"/>
        <item x="44"/>
        <item x="138"/>
        <item x="48"/>
        <item x="166"/>
        <item x="157"/>
        <item x="145"/>
        <item x="15"/>
        <item x="80"/>
        <item x="97"/>
        <item x="111"/>
        <item x="107"/>
        <item x="131"/>
        <item x="62"/>
        <item x="19"/>
        <item x="189"/>
        <item x="86"/>
        <item x="10"/>
        <item x="104"/>
        <item x="155"/>
        <item x="154"/>
        <item x="172"/>
        <item x="129"/>
        <item x="191"/>
        <item x="165"/>
        <item x="35"/>
        <item x="119"/>
        <item x="36"/>
        <item x="135"/>
        <item x="11"/>
        <item x="57"/>
        <item x="163"/>
        <item x="173"/>
        <item x="33"/>
        <item x="200"/>
        <item x="70"/>
        <item x="67"/>
        <item x="147"/>
        <item x="38"/>
        <item x="101"/>
        <item x="34"/>
        <item x="1"/>
        <item x="61"/>
        <item x="56"/>
        <item t="default"/>
      </items>
    </pivotField>
    <pivotField numFmtId="49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 sortType="descending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25">
    <i>
      <x v="6"/>
    </i>
    <i>
      <x v="7"/>
    </i>
    <i>
      <x v="21"/>
    </i>
    <i>
      <x v="15"/>
    </i>
    <i>
      <x v="16"/>
    </i>
    <i>
      <x v="4"/>
    </i>
    <i>
      <x v="1"/>
    </i>
    <i>
      <x v="23"/>
    </i>
    <i>
      <x v="3"/>
    </i>
    <i>
      <x v="20"/>
    </i>
    <i>
      <x v="22"/>
    </i>
    <i>
      <x v="24"/>
    </i>
    <i>
      <x v="2"/>
    </i>
    <i>
      <x v="18"/>
    </i>
    <i>
      <x v="9"/>
    </i>
    <i>
      <x v="8"/>
    </i>
    <i>
      <x v="17"/>
    </i>
    <i>
      <x v="12"/>
    </i>
    <i>
      <x v="11"/>
    </i>
    <i>
      <x v="14"/>
    </i>
    <i>
      <x v="5"/>
    </i>
    <i>
      <x v="13"/>
    </i>
    <i>
      <x v="10"/>
    </i>
    <i>
      <x v="19"/>
    </i>
    <i t="grand">
      <x/>
    </i>
  </rowItems>
  <colItems count="1">
    <i/>
  </colItems>
  <dataFields count="1">
    <dataField name="Number of Products sold" fld="11" subtotal="count" baseField="1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1E66-9295-4656-A2B2-966625EBDC31}">
  <sheetPr codeName="Sheet1"/>
  <dimension ref="A1:R1002"/>
  <sheetViews>
    <sheetView zoomScale="62" zoomScaleNormal="70" workbookViewId="0">
      <selection activeCell="R2" sqref="R2"/>
    </sheetView>
  </sheetViews>
  <sheetFormatPr defaultRowHeight="14.4" x14ac:dyDescent="0.3"/>
  <cols>
    <col min="1" max="1" width="17.44140625" bestFit="1" customWidth="1"/>
    <col min="3" max="3" width="12" bestFit="1" customWidth="1"/>
    <col min="4" max="4" width="10.44140625" style="12" bestFit="1" customWidth="1"/>
    <col min="5" max="5" width="16.88671875" bestFit="1" customWidth="1"/>
    <col min="7" max="7" width="14.6640625" bestFit="1" customWidth="1"/>
    <col min="8" max="8" width="14.6640625" customWidth="1"/>
    <col min="9" max="9" width="19.109375" bestFit="1" customWidth="1"/>
    <col min="10" max="10" width="19.109375" customWidth="1"/>
    <col min="11" max="13" width="9" bestFit="1" customWidth="1"/>
    <col min="14" max="14" width="10.109375" bestFit="1" customWidth="1"/>
    <col min="15" max="15" width="9" bestFit="1" customWidth="1"/>
    <col min="16" max="16" width="13.44140625" bestFit="1" customWidth="1"/>
    <col min="17" max="17" width="9" bestFit="1" customWidth="1"/>
  </cols>
  <sheetData>
    <row r="1" spans="1:18" ht="28.8" x14ac:dyDescent="0.3">
      <c r="A1" t="s">
        <v>9</v>
      </c>
      <c r="B1" t="s">
        <v>5</v>
      </c>
      <c r="C1" s="1" t="s">
        <v>27</v>
      </c>
      <c r="D1" s="11" t="s">
        <v>28</v>
      </c>
      <c r="E1" t="s">
        <v>0</v>
      </c>
      <c r="F1" t="s">
        <v>10</v>
      </c>
      <c r="G1" t="s">
        <v>13</v>
      </c>
      <c r="H1" s="1" t="s">
        <v>234</v>
      </c>
      <c r="I1" t="s">
        <v>16</v>
      </c>
      <c r="J1" s="1" t="s">
        <v>241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238</v>
      </c>
      <c r="P1" s="1" t="s">
        <v>239</v>
      </c>
      <c r="Q1" s="1" t="s">
        <v>240</v>
      </c>
    </row>
    <row r="2" spans="1:18" x14ac:dyDescent="0.3">
      <c r="A2" t="s">
        <v>1</v>
      </c>
      <c r="B2" t="s">
        <v>6</v>
      </c>
      <c r="C2" s="2">
        <v>43224</v>
      </c>
      <c r="D2" s="11" t="s">
        <v>29</v>
      </c>
      <c r="E2" s="3">
        <f ca="1">RANDBETWEEN(10000000,1000000000)</f>
        <v>210987082</v>
      </c>
      <c r="F2" t="s">
        <v>11</v>
      </c>
      <c r="G2" t="s">
        <v>14</v>
      </c>
      <c r="H2" s="1" t="s">
        <v>235</v>
      </c>
      <c r="I2" t="s">
        <v>17</v>
      </c>
      <c r="J2" s="4">
        <v>3.5</v>
      </c>
      <c r="K2" s="4">
        <v>55.61</v>
      </c>
      <c r="L2" s="4">
        <v>7</v>
      </c>
      <c r="M2" s="4">
        <v>94.02</v>
      </c>
      <c r="N2" s="4">
        <v>166.3963</v>
      </c>
      <c r="O2" s="4">
        <v>522.83000000000004</v>
      </c>
      <c r="P2" s="4">
        <v>3.8764546470000001</v>
      </c>
      <c r="Q2" s="4">
        <v>85.176000000000002</v>
      </c>
      <c r="R2" t="str" cm="1">
        <f t="array" ref="R2">_xlfn.IFS(B2="NY","New York",B2="TX","Texas",B2="CA","California")</f>
        <v>New York</v>
      </c>
    </row>
    <row r="3" spans="1:18" x14ac:dyDescent="0.3">
      <c r="A3" t="s">
        <v>2</v>
      </c>
      <c r="B3" t="s">
        <v>7</v>
      </c>
      <c r="C3" s="2">
        <v>43087</v>
      </c>
      <c r="D3" s="11" t="s">
        <v>30</v>
      </c>
      <c r="E3" s="3">
        <f t="shared" ref="E3:E66" ca="1" si="0">RANDBETWEEN(10000000,1000000000)</f>
        <v>855209835</v>
      </c>
      <c r="F3" t="s">
        <v>11</v>
      </c>
      <c r="G3" t="s">
        <v>15</v>
      </c>
      <c r="H3" s="1" t="s">
        <v>236</v>
      </c>
      <c r="I3" t="s">
        <v>18</v>
      </c>
      <c r="J3" s="4">
        <v>2.1</v>
      </c>
      <c r="K3" s="4">
        <v>93.45</v>
      </c>
      <c r="L3" s="4">
        <v>5</v>
      </c>
      <c r="M3" s="4">
        <v>77.12</v>
      </c>
      <c r="N3" s="4">
        <v>171.83840000000001</v>
      </c>
      <c r="O3" s="4">
        <v>76.400000000000006</v>
      </c>
      <c r="P3" s="4">
        <v>3.8764546470000001</v>
      </c>
      <c r="Q3" s="4">
        <v>7.62</v>
      </c>
      <c r="R3" t="str" cm="1">
        <f t="array" ref="R3">_xlfn.IFS(B3="NY","New York",B3="TX","Texas",B3="CA","California")</f>
        <v>Texas</v>
      </c>
    </row>
    <row r="4" spans="1:18" x14ac:dyDescent="0.3">
      <c r="A4" t="s">
        <v>1</v>
      </c>
      <c r="B4" t="s">
        <v>6</v>
      </c>
      <c r="C4" s="2">
        <v>43104</v>
      </c>
      <c r="D4" s="11" t="s">
        <v>31</v>
      </c>
      <c r="E4" s="3">
        <f t="shared" ca="1" si="0"/>
        <v>396622262</v>
      </c>
      <c r="F4" t="s">
        <v>12</v>
      </c>
      <c r="G4" t="s">
        <v>15</v>
      </c>
      <c r="H4" s="1" t="s">
        <v>237</v>
      </c>
      <c r="I4" t="s">
        <v>19</v>
      </c>
      <c r="J4" s="4">
        <v>1.7</v>
      </c>
      <c r="K4" s="4">
        <v>46.97</v>
      </c>
      <c r="L4" s="4">
        <v>7</v>
      </c>
      <c r="M4" s="4">
        <v>32.21</v>
      </c>
      <c r="N4" s="4">
        <v>148.1456</v>
      </c>
      <c r="O4" s="4">
        <v>324.31</v>
      </c>
      <c r="P4" s="4">
        <v>3.8764546470000001</v>
      </c>
      <c r="Q4" s="4">
        <v>16.216000000000001</v>
      </c>
      <c r="R4" t="str" cm="1">
        <f t="array" ref="R4">_xlfn.IFS(B4="NY","New York",B4="TX","Texas",B4="CA","California")</f>
        <v>New York</v>
      </c>
    </row>
    <row r="5" spans="1:18" x14ac:dyDescent="0.3">
      <c r="A5" t="s">
        <v>1</v>
      </c>
      <c r="B5" t="s">
        <v>6</v>
      </c>
      <c r="C5" s="2">
        <v>43359</v>
      </c>
      <c r="D5" s="11" t="s">
        <v>32</v>
      </c>
      <c r="E5" s="3">
        <f t="shared" ca="1" si="0"/>
        <v>682178831</v>
      </c>
      <c r="F5" t="s">
        <v>12</v>
      </c>
      <c r="G5" t="s">
        <v>14</v>
      </c>
      <c r="H5" s="1" t="s">
        <v>235</v>
      </c>
      <c r="I5" t="s">
        <v>17</v>
      </c>
      <c r="J5" s="4">
        <v>3.2</v>
      </c>
      <c r="K5" s="4">
        <v>45.18</v>
      </c>
      <c r="L5" s="4">
        <v>8</v>
      </c>
      <c r="M5" s="4">
        <v>56.88</v>
      </c>
      <c r="N5" s="4">
        <v>159.86779999999999</v>
      </c>
      <c r="O5" s="4">
        <v>465.76</v>
      </c>
      <c r="P5" s="4">
        <v>3.8764546470000001</v>
      </c>
      <c r="Q5" s="4">
        <v>23.288</v>
      </c>
      <c r="R5" t="str" cm="1">
        <f t="array" ref="R5">_xlfn.IFS(B5="NY","New York",B5="TX","Texas",B5="CA","California")</f>
        <v>New York</v>
      </c>
    </row>
    <row r="6" spans="1:18" x14ac:dyDescent="0.3">
      <c r="A6" t="s">
        <v>1</v>
      </c>
      <c r="B6" t="s">
        <v>6</v>
      </c>
      <c r="C6" s="2">
        <v>43030</v>
      </c>
      <c r="D6" s="11" t="s">
        <v>33</v>
      </c>
      <c r="E6" s="3">
        <f t="shared" ca="1" si="0"/>
        <v>321701716</v>
      </c>
      <c r="F6" t="s">
        <v>12</v>
      </c>
      <c r="G6" t="s">
        <v>15</v>
      </c>
      <c r="H6" s="1" t="s">
        <v>235</v>
      </c>
      <c r="I6" t="s">
        <v>20</v>
      </c>
      <c r="J6" s="4">
        <v>7.3</v>
      </c>
      <c r="K6" s="4">
        <v>80.17</v>
      </c>
      <c r="L6" s="4">
        <v>7</v>
      </c>
      <c r="M6" s="4">
        <v>26.94</v>
      </c>
      <c r="N6" s="4">
        <v>185.9512</v>
      </c>
      <c r="O6" s="4">
        <v>604.16999999999996</v>
      </c>
      <c r="P6" s="4">
        <v>3.8764546470000001</v>
      </c>
      <c r="Q6" s="4">
        <v>54.66</v>
      </c>
      <c r="R6" t="str" cm="1">
        <f t="array" ref="R6">_xlfn.IFS(B6="NY","New York",B6="TX","Texas",B6="CA","California")</f>
        <v>New York</v>
      </c>
    </row>
    <row r="7" spans="1:18" x14ac:dyDescent="0.3">
      <c r="A7" t="s">
        <v>2</v>
      </c>
      <c r="B7" t="s">
        <v>7</v>
      </c>
      <c r="C7" s="2">
        <v>42918</v>
      </c>
      <c r="D7" s="11" t="s">
        <v>34</v>
      </c>
      <c r="E7" s="3">
        <f t="shared" ca="1" si="0"/>
        <v>730623090</v>
      </c>
      <c r="F7" t="s">
        <v>12</v>
      </c>
      <c r="G7" t="s">
        <v>15</v>
      </c>
      <c r="H7" s="1" t="s">
        <v>235</v>
      </c>
      <c r="I7" t="s">
        <v>18</v>
      </c>
      <c r="J7" s="4">
        <v>2.1</v>
      </c>
      <c r="K7" s="4">
        <v>64.72</v>
      </c>
      <c r="L7" s="4">
        <v>7</v>
      </c>
      <c r="M7" s="4">
        <v>56.1</v>
      </c>
      <c r="N7" s="4">
        <v>187.7021</v>
      </c>
      <c r="O7" s="4">
        <v>597.73</v>
      </c>
      <c r="P7" s="4">
        <v>3.8764546470000001</v>
      </c>
      <c r="Q7" s="4">
        <v>62.27</v>
      </c>
      <c r="R7" t="str" cm="1">
        <f t="array" ref="R7">_xlfn.IFS(B7="NY","New York",B7="TX","Texas",B7="CA","California")</f>
        <v>Texas</v>
      </c>
    </row>
    <row r="8" spans="1:18" x14ac:dyDescent="0.3">
      <c r="A8" t="s">
        <v>1</v>
      </c>
      <c r="B8" t="s">
        <v>6</v>
      </c>
      <c r="C8" s="2">
        <v>43409</v>
      </c>
      <c r="D8" s="11" t="s">
        <v>35</v>
      </c>
      <c r="E8" s="3">
        <f t="shared" ca="1" si="0"/>
        <v>526800417</v>
      </c>
      <c r="F8" t="s">
        <v>11</v>
      </c>
      <c r="G8" t="s">
        <v>14</v>
      </c>
      <c r="H8" s="1" t="s">
        <v>235</v>
      </c>
      <c r="I8" t="s">
        <v>18</v>
      </c>
      <c r="J8" s="4">
        <v>6.4</v>
      </c>
      <c r="K8" s="4">
        <v>17.670000000000002</v>
      </c>
      <c r="L8" s="4">
        <v>6</v>
      </c>
      <c r="M8" s="4">
        <v>15.8</v>
      </c>
      <c r="N8" s="4">
        <v>122.1711</v>
      </c>
      <c r="O8" s="4">
        <v>413.04</v>
      </c>
      <c r="P8" s="4">
        <v>3.8764546470000001</v>
      </c>
      <c r="Q8" s="4">
        <v>69.995000000000005</v>
      </c>
      <c r="R8" t="str" cm="1">
        <f t="array" ref="R8">_xlfn.IFS(B8="NY","New York",B8="TX","Texas",B8="CA","California")</f>
        <v>New York</v>
      </c>
    </row>
    <row r="9" spans="1:18" x14ac:dyDescent="0.3">
      <c r="A9" t="s">
        <v>2</v>
      </c>
      <c r="B9" t="s">
        <v>7</v>
      </c>
      <c r="C9" s="2">
        <v>43325</v>
      </c>
      <c r="D9" s="11" t="s">
        <v>36</v>
      </c>
      <c r="E9" s="3">
        <f t="shared" ca="1" si="0"/>
        <v>474470322</v>
      </c>
      <c r="F9" t="s">
        <v>11</v>
      </c>
      <c r="G9" t="s">
        <v>15</v>
      </c>
      <c r="H9" s="1" t="s">
        <v>235</v>
      </c>
      <c r="I9" t="s">
        <v>19</v>
      </c>
      <c r="J9" s="4">
        <v>3.1</v>
      </c>
      <c r="K9" s="4">
        <v>10.98</v>
      </c>
      <c r="L9" s="4">
        <v>10</v>
      </c>
      <c r="M9" s="4">
        <v>21.8</v>
      </c>
      <c r="N9" s="4">
        <v>124.5346</v>
      </c>
      <c r="O9" s="4">
        <v>735.6</v>
      </c>
      <c r="P9" s="4">
        <v>3.8764546470000001</v>
      </c>
      <c r="Q9" s="4">
        <v>20.393999999999998</v>
      </c>
      <c r="R9" t="str" cm="1">
        <f t="array" ref="R9">_xlfn.IFS(B9="NY","New York",B9="TX","Texas",B9="CA","California")</f>
        <v>Texas</v>
      </c>
    </row>
    <row r="10" spans="1:18" x14ac:dyDescent="0.3">
      <c r="A10" t="s">
        <v>1</v>
      </c>
      <c r="B10" t="s">
        <v>6</v>
      </c>
      <c r="C10" s="2">
        <v>43215</v>
      </c>
      <c r="D10" s="11" t="s">
        <v>37</v>
      </c>
      <c r="E10" s="3">
        <f t="shared" ca="1" si="0"/>
        <v>279969974</v>
      </c>
      <c r="F10" t="s">
        <v>11</v>
      </c>
      <c r="G10" t="s">
        <v>14</v>
      </c>
      <c r="H10" s="1" t="s">
        <v>237</v>
      </c>
      <c r="I10" t="s">
        <v>17</v>
      </c>
      <c r="J10" s="4">
        <v>1.6</v>
      </c>
      <c r="K10" s="4">
        <v>50.48</v>
      </c>
      <c r="L10" s="4">
        <v>2</v>
      </c>
      <c r="M10" s="4">
        <v>30.17</v>
      </c>
      <c r="N10" s="4">
        <v>137.89590000000001</v>
      </c>
      <c r="O10" s="4">
        <v>72.52</v>
      </c>
      <c r="P10" s="4">
        <v>3.8764546470000001</v>
      </c>
      <c r="Q10" s="4">
        <v>52.308999999999997</v>
      </c>
      <c r="R10" t="str" cm="1">
        <f t="array" ref="R10">_xlfn.IFS(B10="NY","New York",B10="TX","Texas",B10="CA","California")</f>
        <v>New York</v>
      </c>
    </row>
    <row r="11" spans="1:18" x14ac:dyDescent="0.3">
      <c r="A11" t="s">
        <v>3</v>
      </c>
      <c r="B11" t="s">
        <v>8</v>
      </c>
      <c r="C11" s="2">
        <v>42824</v>
      </c>
      <c r="D11" s="11" t="s">
        <v>38</v>
      </c>
      <c r="E11" s="3">
        <f t="shared" ca="1" si="0"/>
        <v>210020200</v>
      </c>
      <c r="F11" t="s">
        <v>11</v>
      </c>
      <c r="G11" t="s">
        <v>14</v>
      </c>
      <c r="H11" s="1" t="s">
        <v>237</v>
      </c>
      <c r="I11" t="s">
        <v>21</v>
      </c>
      <c r="J11" s="4">
        <v>8.5</v>
      </c>
      <c r="K11" s="4">
        <v>41.01</v>
      </c>
      <c r="L11" s="4">
        <v>3</v>
      </c>
      <c r="M11" s="4">
        <v>91.88</v>
      </c>
      <c r="N11" s="4">
        <v>169.2268</v>
      </c>
      <c r="O11" s="4">
        <v>164.52</v>
      </c>
      <c r="P11" s="4">
        <v>3.8764546470000001</v>
      </c>
      <c r="Q11" s="4">
        <v>69.45</v>
      </c>
      <c r="R11" t="str" cm="1">
        <f t="array" ref="R11">_xlfn.IFS(B11="NY","New York",B11="TX","Texas",B11="CA","California")</f>
        <v>California</v>
      </c>
    </row>
    <row r="12" spans="1:18" x14ac:dyDescent="0.3">
      <c r="A12" t="s">
        <v>3</v>
      </c>
      <c r="B12" t="s">
        <v>8</v>
      </c>
      <c r="C12" s="2">
        <v>43168</v>
      </c>
      <c r="D12" s="11" t="s">
        <v>39</v>
      </c>
      <c r="E12" s="3">
        <f t="shared" ca="1" si="0"/>
        <v>414773707</v>
      </c>
      <c r="F12" t="s">
        <v>11</v>
      </c>
      <c r="G12" t="s">
        <v>14</v>
      </c>
      <c r="H12" s="1" t="s">
        <v>235</v>
      </c>
      <c r="I12" t="s">
        <v>22</v>
      </c>
      <c r="J12" s="4">
        <v>7.1</v>
      </c>
      <c r="K12" s="4">
        <v>27.76</v>
      </c>
      <c r="L12" s="4">
        <v>4</v>
      </c>
      <c r="M12" s="4">
        <v>93.86</v>
      </c>
      <c r="N12" s="4">
        <v>140.94980000000001</v>
      </c>
      <c r="O12" s="4">
        <v>57.92</v>
      </c>
      <c r="P12" s="4">
        <v>3.8764546470000001</v>
      </c>
      <c r="Q12" s="4">
        <v>45.807000000000002</v>
      </c>
      <c r="R12" t="str" cm="1">
        <f t="array" ref="R12">_xlfn.IFS(B12="NY","New York",B12="TX","Texas",B12="CA","California")</f>
        <v>California</v>
      </c>
    </row>
    <row r="13" spans="1:18" x14ac:dyDescent="0.3">
      <c r="A13" t="s">
        <v>1</v>
      </c>
      <c r="B13" t="s">
        <v>8</v>
      </c>
      <c r="C13" s="2">
        <v>42889</v>
      </c>
      <c r="D13" s="11" t="s">
        <v>40</v>
      </c>
      <c r="E13" s="3">
        <f t="shared" ca="1" si="0"/>
        <v>541816640</v>
      </c>
      <c r="F13" t="s">
        <v>11</v>
      </c>
      <c r="G13" t="s">
        <v>14</v>
      </c>
      <c r="H13" s="1" t="s">
        <v>235</v>
      </c>
      <c r="I13" t="s">
        <v>18</v>
      </c>
      <c r="J13" s="4">
        <v>2.2000000000000002</v>
      </c>
      <c r="K13" s="4">
        <v>85.2</v>
      </c>
      <c r="L13" s="4">
        <v>4</v>
      </c>
      <c r="M13" s="4">
        <v>98.78</v>
      </c>
      <c r="N13" s="4">
        <v>129.1413</v>
      </c>
      <c r="O13" s="4">
        <v>102.04</v>
      </c>
      <c r="P13" s="4">
        <v>3.8764546470000001</v>
      </c>
      <c r="Q13" s="4">
        <v>82.531999999999996</v>
      </c>
      <c r="R13" t="str" cm="1">
        <f t="array" ref="R13">_xlfn.IFS(B13="NY","New York",B13="TX","Texas",B13="CA","California")</f>
        <v>California</v>
      </c>
    </row>
    <row r="14" spans="1:18" x14ac:dyDescent="0.3">
      <c r="A14" t="s">
        <v>1</v>
      </c>
      <c r="B14" t="s">
        <v>6</v>
      </c>
      <c r="C14" s="2">
        <v>43059</v>
      </c>
      <c r="D14" s="11" t="s">
        <v>41</v>
      </c>
      <c r="E14" s="3">
        <f t="shared" ca="1" si="0"/>
        <v>30129204</v>
      </c>
      <c r="F14" t="s">
        <v>11</v>
      </c>
      <c r="G14" t="s">
        <v>15</v>
      </c>
      <c r="H14" s="1" t="s">
        <v>235</v>
      </c>
      <c r="I14" t="s">
        <v>18</v>
      </c>
      <c r="J14" s="4">
        <v>7.8</v>
      </c>
      <c r="K14" s="4">
        <v>58.06</v>
      </c>
      <c r="L14" s="4">
        <v>5</v>
      </c>
      <c r="M14" s="4">
        <v>15.13</v>
      </c>
      <c r="N14" s="4">
        <v>155.6739</v>
      </c>
      <c r="O14" s="4">
        <v>234.75</v>
      </c>
      <c r="P14" s="4">
        <v>3.8764546470000001</v>
      </c>
      <c r="Q14" s="4">
        <v>61.408999999999999</v>
      </c>
      <c r="R14" t="str" cm="1">
        <f t="array" ref="R14">_xlfn.IFS(B14="NY","New York",B14="TX","Texas",B14="CA","California")</f>
        <v>New York</v>
      </c>
    </row>
    <row r="15" spans="1:18" x14ac:dyDescent="0.3">
      <c r="A15" t="s">
        <v>1</v>
      </c>
      <c r="B15" t="s">
        <v>6</v>
      </c>
      <c r="C15" s="2">
        <v>43011</v>
      </c>
      <c r="D15" s="11" t="s">
        <v>42</v>
      </c>
      <c r="E15" s="3">
        <f t="shared" ca="1" si="0"/>
        <v>312329125</v>
      </c>
      <c r="F15" t="s">
        <v>11</v>
      </c>
      <c r="G15" t="s">
        <v>15</v>
      </c>
      <c r="H15" s="1" t="s">
        <v>235</v>
      </c>
      <c r="I15" t="s">
        <v>21</v>
      </c>
      <c r="J15" s="4">
        <v>4.7</v>
      </c>
      <c r="K15" s="4">
        <v>78.239999999999995</v>
      </c>
      <c r="L15" s="4">
        <v>10</v>
      </c>
      <c r="M15" s="4">
        <v>33.549999999999997</v>
      </c>
      <c r="N15" s="4">
        <v>168.82900000000001</v>
      </c>
      <c r="O15" s="4">
        <v>431.9</v>
      </c>
      <c r="P15" s="4">
        <v>3.8764546470000001</v>
      </c>
      <c r="Q15" s="4">
        <v>49.89</v>
      </c>
      <c r="R15" t="str" cm="1">
        <f t="array" ref="R15">_xlfn.IFS(B15="NY","New York",B15="TX","Texas",B15="CA","California")</f>
        <v>New York</v>
      </c>
    </row>
    <row r="16" spans="1:18" x14ac:dyDescent="0.3">
      <c r="A16" t="s">
        <v>1</v>
      </c>
      <c r="B16" t="s">
        <v>6</v>
      </c>
      <c r="C16" s="2">
        <v>42921</v>
      </c>
      <c r="D16" s="11" t="s">
        <v>43</v>
      </c>
      <c r="E16" s="3">
        <f t="shared" ca="1" si="0"/>
        <v>876380931</v>
      </c>
      <c r="F16" t="s">
        <v>11</v>
      </c>
      <c r="G16" t="s">
        <v>15</v>
      </c>
      <c r="H16" s="1" t="s">
        <v>235</v>
      </c>
      <c r="I16" t="s">
        <v>17</v>
      </c>
      <c r="J16" s="4">
        <v>3.8</v>
      </c>
      <c r="K16" s="4">
        <v>30.54</v>
      </c>
      <c r="L16" s="4">
        <v>10</v>
      </c>
      <c r="M16" s="4">
        <v>90.5</v>
      </c>
      <c r="N16" s="4">
        <v>136.7594</v>
      </c>
      <c r="O16" s="4">
        <v>713.8</v>
      </c>
      <c r="P16" s="4">
        <v>3.8764546470000001</v>
      </c>
      <c r="Q16" s="4">
        <v>18.100000000000001</v>
      </c>
      <c r="R16" t="str" cm="1">
        <f t="array" ref="R16">_xlfn.IFS(B16="NY","New York",B16="TX","Texas",B16="CA","California")</f>
        <v>New York</v>
      </c>
    </row>
    <row r="17" spans="1:18" x14ac:dyDescent="0.3">
      <c r="A17" t="s">
        <v>3</v>
      </c>
      <c r="B17" t="s">
        <v>8</v>
      </c>
      <c r="C17" s="2">
        <v>42807</v>
      </c>
      <c r="D17" s="11" t="s">
        <v>44</v>
      </c>
      <c r="E17" s="3">
        <f t="shared" ca="1" si="0"/>
        <v>248329714</v>
      </c>
      <c r="F17" t="s">
        <v>11</v>
      </c>
      <c r="G17" t="s">
        <v>14</v>
      </c>
      <c r="H17" s="1" t="s">
        <v>235</v>
      </c>
      <c r="I17" t="s">
        <v>20</v>
      </c>
      <c r="J17" s="4">
        <v>9.5</v>
      </c>
      <c r="K17" s="4">
        <v>36.020000000000003</v>
      </c>
      <c r="L17" s="4">
        <v>6</v>
      </c>
      <c r="M17" s="4">
        <v>85.37</v>
      </c>
      <c r="N17" s="4">
        <v>182.09819999999999</v>
      </c>
      <c r="O17" s="4">
        <v>562.32000000000005</v>
      </c>
      <c r="P17" s="4">
        <v>3.8764546470000001</v>
      </c>
      <c r="Q17" s="4">
        <v>67.150000000000006</v>
      </c>
      <c r="R17" t="str" cm="1">
        <f t="array" ref="R17">_xlfn.IFS(B17="NY","New York",B17="TX","Texas",B17="CA","California")</f>
        <v>California</v>
      </c>
    </row>
    <row r="18" spans="1:18" x14ac:dyDescent="0.3">
      <c r="A18" t="s">
        <v>1</v>
      </c>
      <c r="B18" t="s">
        <v>6</v>
      </c>
      <c r="C18" s="2">
        <v>43423</v>
      </c>
      <c r="D18" s="11" t="s">
        <v>45</v>
      </c>
      <c r="E18" s="3">
        <f t="shared" ca="1" si="0"/>
        <v>301576073</v>
      </c>
      <c r="F18" t="s">
        <v>11</v>
      </c>
      <c r="G18" t="s">
        <v>14</v>
      </c>
      <c r="H18" s="1" t="s">
        <v>237</v>
      </c>
      <c r="I18" t="s">
        <v>17</v>
      </c>
      <c r="J18" s="4">
        <v>4.3</v>
      </c>
      <c r="K18" s="4">
        <v>80.39</v>
      </c>
      <c r="L18" s="4">
        <v>7</v>
      </c>
      <c r="M18" s="4">
        <v>96.99</v>
      </c>
      <c r="N18" s="4">
        <v>105.9696</v>
      </c>
      <c r="O18" s="4">
        <v>482.51</v>
      </c>
      <c r="P18" s="4">
        <v>3.8764546470000001</v>
      </c>
      <c r="Q18" s="4">
        <v>26.43</v>
      </c>
      <c r="R18" t="str" cm="1">
        <f t="array" ref="R18">_xlfn.IFS(B18="NY","New York",B18="TX","Texas",B18="CA","California")</f>
        <v>New York</v>
      </c>
    </row>
    <row r="19" spans="1:18" x14ac:dyDescent="0.3">
      <c r="A19" t="s">
        <v>1</v>
      </c>
      <c r="B19" t="s">
        <v>6</v>
      </c>
      <c r="C19" s="2">
        <v>42824</v>
      </c>
      <c r="D19" s="11" t="s">
        <v>46</v>
      </c>
      <c r="E19" s="3">
        <f t="shared" ca="1" si="0"/>
        <v>415050627</v>
      </c>
      <c r="F19" t="s">
        <v>11</v>
      </c>
      <c r="G19" t="s">
        <v>14</v>
      </c>
      <c r="H19" s="1" t="s">
        <v>237</v>
      </c>
      <c r="I19" t="s">
        <v>20</v>
      </c>
      <c r="J19" s="4">
        <v>8.5</v>
      </c>
      <c r="K19" s="4">
        <v>89.88</v>
      </c>
      <c r="L19" s="4">
        <v>6</v>
      </c>
      <c r="M19" s="4">
        <v>10.4</v>
      </c>
      <c r="N19" s="4">
        <v>152.48140000000001</v>
      </c>
      <c r="O19" s="4">
        <v>435.66</v>
      </c>
      <c r="P19" s="4">
        <v>3.8764546470000001</v>
      </c>
      <c r="Q19" s="4">
        <v>35.74</v>
      </c>
      <c r="R19" t="str" cm="1">
        <f t="array" ref="R19">_xlfn.IFS(B19="NY","New York",B19="TX","Texas",B19="CA","California")</f>
        <v>New York</v>
      </c>
    </row>
    <row r="20" spans="1:18" x14ac:dyDescent="0.3">
      <c r="A20" t="s">
        <v>1</v>
      </c>
      <c r="B20" t="s">
        <v>6</v>
      </c>
      <c r="C20" s="2">
        <v>43118</v>
      </c>
      <c r="D20" s="11" t="s">
        <v>47</v>
      </c>
      <c r="E20" s="3">
        <f t="shared" ca="1" si="0"/>
        <v>460567965</v>
      </c>
      <c r="F20" t="s">
        <v>11</v>
      </c>
      <c r="G20" t="s">
        <v>14</v>
      </c>
      <c r="H20" s="1" t="s">
        <v>237</v>
      </c>
      <c r="I20" t="s">
        <v>21</v>
      </c>
      <c r="J20" s="4">
        <v>3.3</v>
      </c>
      <c r="K20" s="4">
        <v>63.2</v>
      </c>
      <c r="L20" s="4">
        <v>3</v>
      </c>
      <c r="M20" s="4">
        <v>44.13</v>
      </c>
      <c r="N20" s="4">
        <v>111.2116</v>
      </c>
      <c r="O20" s="4">
        <v>164.01</v>
      </c>
      <c r="P20" s="4">
        <v>3.8764546470000001</v>
      </c>
      <c r="Q20" s="4">
        <v>16.100000000000001</v>
      </c>
      <c r="R20" t="str" cm="1">
        <f t="array" ref="R20">_xlfn.IFS(B20="NY","New York",B20="TX","Texas",B20="CA","California")</f>
        <v>New York</v>
      </c>
    </row>
    <row r="21" spans="1:18" x14ac:dyDescent="0.3">
      <c r="A21" t="s">
        <v>3</v>
      </c>
      <c r="B21" t="s">
        <v>8</v>
      </c>
      <c r="C21" s="2">
        <v>43064</v>
      </c>
      <c r="D21" s="11" t="s">
        <v>48</v>
      </c>
      <c r="E21" s="3">
        <f t="shared" ca="1" si="0"/>
        <v>149103955</v>
      </c>
      <c r="F21" t="s">
        <v>11</v>
      </c>
      <c r="G21" t="s">
        <v>14</v>
      </c>
      <c r="H21" s="1" t="s">
        <v>235</v>
      </c>
      <c r="I21" t="s">
        <v>19</v>
      </c>
      <c r="J21" s="4">
        <v>2</v>
      </c>
      <c r="K21" s="4">
        <v>13.17</v>
      </c>
      <c r="L21" s="4">
        <v>2</v>
      </c>
      <c r="M21" s="4">
        <v>98.4</v>
      </c>
      <c r="N21" s="4">
        <v>148.92580000000001</v>
      </c>
      <c r="O21" s="4">
        <v>80.599999999999994</v>
      </c>
      <c r="P21" s="4">
        <v>3.8764546470000001</v>
      </c>
      <c r="Q21" s="4">
        <v>61.506</v>
      </c>
      <c r="R21" t="str" cm="1">
        <f t="array" ref="R21">_xlfn.IFS(B21="NY","New York",B21="TX","Texas",B21="CA","California")</f>
        <v>California</v>
      </c>
    </row>
    <row r="22" spans="1:18" x14ac:dyDescent="0.3">
      <c r="A22" t="s">
        <v>2</v>
      </c>
      <c r="B22" t="s">
        <v>7</v>
      </c>
      <c r="C22" s="2">
        <v>42936</v>
      </c>
      <c r="D22" s="11" t="s">
        <v>49</v>
      </c>
      <c r="E22" s="3">
        <f t="shared" ca="1" si="0"/>
        <v>511869490</v>
      </c>
      <c r="F22" t="s">
        <v>11</v>
      </c>
      <c r="G22" t="s">
        <v>14</v>
      </c>
      <c r="H22" s="1" t="s">
        <v>235</v>
      </c>
      <c r="I22" t="s">
        <v>18</v>
      </c>
      <c r="J22" s="4">
        <v>4</v>
      </c>
      <c r="K22" s="4">
        <v>24.82</v>
      </c>
      <c r="L22" s="4">
        <v>5</v>
      </c>
      <c r="M22" s="4">
        <v>87.7</v>
      </c>
      <c r="N22" s="4">
        <v>162.8416</v>
      </c>
      <c r="O22" s="4">
        <v>430.2</v>
      </c>
      <c r="P22" s="4">
        <v>3.8764546470000001</v>
      </c>
      <c r="Q22" s="4">
        <v>91.545000000000002</v>
      </c>
      <c r="R22" t="str" cm="1">
        <f t="array" ref="R22">_xlfn.IFS(B22="NY","New York",B22="TX","Texas",B22="CA","California")</f>
        <v>Texas</v>
      </c>
    </row>
    <row r="23" spans="1:18" x14ac:dyDescent="0.3">
      <c r="A23" t="s">
        <v>3</v>
      </c>
      <c r="B23" t="s">
        <v>8</v>
      </c>
      <c r="C23" s="2">
        <v>43434</v>
      </c>
      <c r="D23" s="11" t="s">
        <v>50</v>
      </c>
      <c r="E23" s="3">
        <f t="shared" ca="1" si="0"/>
        <v>358409176</v>
      </c>
      <c r="F23" t="s">
        <v>11</v>
      </c>
      <c r="G23" t="s">
        <v>14</v>
      </c>
      <c r="H23" s="1" t="s">
        <v>235</v>
      </c>
      <c r="I23" t="s">
        <v>17</v>
      </c>
      <c r="J23" s="4">
        <v>1.9</v>
      </c>
      <c r="K23" s="4">
        <v>39.380000000000003</v>
      </c>
      <c r="L23" s="4">
        <v>3</v>
      </c>
      <c r="M23" s="4">
        <v>68.22</v>
      </c>
      <c r="N23" s="4">
        <v>144.99940000000001</v>
      </c>
      <c r="O23" s="4">
        <v>263.94</v>
      </c>
      <c r="P23" s="4">
        <v>3.8764546470000001</v>
      </c>
      <c r="Q23" s="4">
        <v>89.932000000000002</v>
      </c>
      <c r="R23" t="str" cm="1">
        <f t="array" ref="R23">_xlfn.IFS(B23="NY","New York",B23="TX","Texas",B23="CA","California")</f>
        <v>California</v>
      </c>
    </row>
    <row r="24" spans="1:18" x14ac:dyDescent="0.3">
      <c r="A24" t="s">
        <v>3</v>
      </c>
      <c r="B24" t="s">
        <v>8</v>
      </c>
      <c r="C24" s="2">
        <v>42870</v>
      </c>
      <c r="D24" s="11" t="s">
        <v>51</v>
      </c>
      <c r="E24" s="3">
        <f t="shared" ca="1" si="0"/>
        <v>512893278</v>
      </c>
      <c r="F24" t="s">
        <v>12</v>
      </c>
      <c r="G24" t="s">
        <v>14</v>
      </c>
      <c r="H24" s="1" t="s">
        <v>237</v>
      </c>
      <c r="I24" t="s">
        <v>19</v>
      </c>
      <c r="J24" s="4">
        <v>2.4</v>
      </c>
      <c r="K24" s="4">
        <v>83.74</v>
      </c>
      <c r="L24" s="4">
        <v>2</v>
      </c>
      <c r="M24" s="4">
        <v>72.3</v>
      </c>
      <c r="N24" s="4">
        <v>126.435</v>
      </c>
      <c r="O24" s="4">
        <v>66.400000000000006</v>
      </c>
      <c r="P24" s="4">
        <v>3.8764546470000001</v>
      </c>
      <c r="Q24" s="4">
        <v>60.322000000000003</v>
      </c>
      <c r="R24" t="str" cm="1">
        <f t="array" ref="R24">_xlfn.IFS(B24="NY","New York",B24="TX","Texas",B24="CA","California")</f>
        <v>California</v>
      </c>
    </row>
    <row r="25" spans="1:18" x14ac:dyDescent="0.3">
      <c r="A25" t="s">
        <v>1</v>
      </c>
      <c r="B25" t="s">
        <v>6</v>
      </c>
      <c r="C25" s="2">
        <v>43083</v>
      </c>
      <c r="D25" s="11" t="s">
        <v>52</v>
      </c>
      <c r="E25" s="3">
        <f t="shared" ca="1" si="0"/>
        <v>676507424</v>
      </c>
      <c r="F25" t="s">
        <v>12</v>
      </c>
      <c r="G25" t="s">
        <v>14</v>
      </c>
      <c r="H25" s="1" t="s">
        <v>235</v>
      </c>
      <c r="I25" t="s">
        <v>18</v>
      </c>
      <c r="J25" s="4">
        <v>9.6</v>
      </c>
      <c r="K25" s="4">
        <v>89.41</v>
      </c>
      <c r="L25" s="4">
        <v>5</v>
      </c>
      <c r="M25" s="4">
        <v>36.06</v>
      </c>
      <c r="N25" s="4">
        <v>152.48140000000001</v>
      </c>
      <c r="O25" s="4">
        <v>172.8</v>
      </c>
      <c r="P25" s="4">
        <v>3.8764546470000001</v>
      </c>
      <c r="Q25" s="4">
        <v>13.359</v>
      </c>
      <c r="R25" t="str" cm="1">
        <f t="array" ref="R25">_xlfn.IFS(B25="NY","New York",B25="TX","Texas",B25="CA","California")</f>
        <v>New York</v>
      </c>
    </row>
    <row r="26" spans="1:18" x14ac:dyDescent="0.3">
      <c r="A26" t="s">
        <v>1</v>
      </c>
      <c r="B26" t="s">
        <v>6</v>
      </c>
      <c r="C26" s="2">
        <v>43125</v>
      </c>
      <c r="D26" s="11" t="s">
        <v>53</v>
      </c>
      <c r="E26" s="3">
        <f t="shared" ca="1" si="0"/>
        <v>203448542</v>
      </c>
      <c r="F26" t="s">
        <v>12</v>
      </c>
      <c r="G26" t="s">
        <v>14</v>
      </c>
      <c r="H26" s="1" t="s">
        <v>235</v>
      </c>
      <c r="I26" t="s">
        <v>20</v>
      </c>
      <c r="J26" s="4">
        <v>1.4</v>
      </c>
      <c r="K26" s="4">
        <v>28.33</v>
      </c>
      <c r="L26" s="4">
        <v>3</v>
      </c>
      <c r="M26" s="4">
        <v>93.4</v>
      </c>
      <c r="N26" s="4">
        <v>115.28530000000001</v>
      </c>
      <c r="O26" s="4">
        <v>265.89</v>
      </c>
      <c r="P26" s="4">
        <v>3.8764546470000001</v>
      </c>
      <c r="Q26" s="4">
        <v>67.103999999999999</v>
      </c>
      <c r="R26" t="str" cm="1">
        <f t="array" ref="R26">_xlfn.IFS(B26="NY","New York",B26="TX","Texas",B26="CA","California")</f>
        <v>New York</v>
      </c>
    </row>
    <row r="27" spans="1:18" x14ac:dyDescent="0.3">
      <c r="A27" t="s">
        <v>1</v>
      </c>
      <c r="B27" t="s">
        <v>6</v>
      </c>
      <c r="C27" s="2">
        <v>43000</v>
      </c>
      <c r="D27" s="11" t="s">
        <v>54</v>
      </c>
      <c r="E27" s="3">
        <f t="shared" ca="1" si="0"/>
        <v>458729628</v>
      </c>
      <c r="F27" t="s">
        <v>11</v>
      </c>
      <c r="G27" t="s">
        <v>14</v>
      </c>
      <c r="H27" s="1" t="s">
        <v>237</v>
      </c>
      <c r="I27" t="s">
        <v>19</v>
      </c>
      <c r="J27" s="4">
        <v>9.3000000000000007</v>
      </c>
      <c r="K27" s="4">
        <v>56.28</v>
      </c>
      <c r="L27" s="4">
        <v>8</v>
      </c>
      <c r="M27" s="4">
        <v>10.130000000000001</v>
      </c>
      <c r="N27" s="4">
        <v>142.1541</v>
      </c>
      <c r="O27" s="4">
        <v>420.72</v>
      </c>
      <c r="P27" s="4">
        <v>3.8764546470000001</v>
      </c>
      <c r="Q27" s="4">
        <v>42.417000000000002</v>
      </c>
      <c r="R27" t="str" cm="1">
        <f t="array" ref="R27">_xlfn.IFS(B27="NY","New York",B27="TX","Texas",B27="CA","California")</f>
        <v>New York</v>
      </c>
    </row>
    <row r="28" spans="1:18" x14ac:dyDescent="0.3">
      <c r="A28" t="s">
        <v>3</v>
      </c>
      <c r="B28" t="s">
        <v>8</v>
      </c>
      <c r="C28" s="2">
        <v>42977</v>
      </c>
      <c r="D28" s="11" t="s">
        <v>55</v>
      </c>
      <c r="E28" s="3">
        <f t="shared" ca="1" si="0"/>
        <v>369367548</v>
      </c>
      <c r="F28" t="s">
        <v>12</v>
      </c>
      <c r="G28" t="s">
        <v>15</v>
      </c>
      <c r="H28" s="1" t="s">
        <v>236</v>
      </c>
      <c r="I28" t="s">
        <v>22</v>
      </c>
      <c r="J28" s="4">
        <v>5.4</v>
      </c>
      <c r="K28" s="4">
        <v>95.42</v>
      </c>
      <c r="L28" s="4">
        <v>1</v>
      </c>
      <c r="M28" s="4">
        <v>62.84</v>
      </c>
      <c r="N28" s="4">
        <v>174.66290000000001</v>
      </c>
      <c r="O28" s="4">
        <v>33.520000000000003</v>
      </c>
      <c r="P28" s="4">
        <v>3.8764546470000001</v>
      </c>
      <c r="Q28" s="4">
        <v>42.44</v>
      </c>
      <c r="R28" t="str" cm="1">
        <f t="array" ref="R28">_xlfn.IFS(B28="NY","New York",B28="TX","Texas",B28="CA","California")</f>
        <v>California</v>
      </c>
    </row>
    <row r="29" spans="1:18" x14ac:dyDescent="0.3">
      <c r="A29" t="s">
        <v>1</v>
      </c>
      <c r="B29" t="s">
        <v>6</v>
      </c>
      <c r="C29" s="2">
        <v>43027</v>
      </c>
      <c r="D29" s="11" t="s">
        <v>56</v>
      </c>
      <c r="E29" s="3">
        <f t="shared" ca="1" si="0"/>
        <v>351095487</v>
      </c>
      <c r="F29" t="s">
        <v>11</v>
      </c>
      <c r="G29" t="s">
        <v>15</v>
      </c>
      <c r="H29" s="1" t="s">
        <v>237</v>
      </c>
      <c r="I29" t="s">
        <v>22</v>
      </c>
      <c r="J29" s="4">
        <v>2</v>
      </c>
      <c r="K29" s="4">
        <v>64.95</v>
      </c>
      <c r="L29" s="4">
        <v>2</v>
      </c>
      <c r="M29" s="4">
        <v>29.21</v>
      </c>
      <c r="N29" s="4">
        <v>114.69710000000001</v>
      </c>
      <c r="O29" s="4">
        <v>175.34</v>
      </c>
      <c r="P29" s="4">
        <v>3.8764546470000001</v>
      </c>
      <c r="Q29" s="4">
        <v>14.422000000000001</v>
      </c>
      <c r="R29" t="str" cm="1">
        <f t="array" ref="R29">_xlfn.IFS(B29="NY","New York",B29="TX","Texas",B29="CA","California")</f>
        <v>New York</v>
      </c>
    </row>
    <row r="30" spans="1:18" x14ac:dyDescent="0.3">
      <c r="A30" t="s">
        <v>3</v>
      </c>
      <c r="B30" t="s">
        <v>8</v>
      </c>
      <c r="C30" s="2">
        <v>43417</v>
      </c>
      <c r="D30" s="11" t="s">
        <v>57</v>
      </c>
      <c r="E30" s="3">
        <f t="shared" ca="1" si="0"/>
        <v>281842101</v>
      </c>
      <c r="F30" t="s">
        <v>11</v>
      </c>
      <c r="G30" t="s">
        <v>15</v>
      </c>
      <c r="H30" s="1" t="s">
        <v>236</v>
      </c>
      <c r="I30" t="s">
        <v>21</v>
      </c>
      <c r="J30" s="4">
        <v>4</v>
      </c>
      <c r="K30" s="4">
        <v>72.430000000000007</v>
      </c>
      <c r="L30" s="4">
        <v>5</v>
      </c>
      <c r="M30" s="4">
        <v>92.95</v>
      </c>
      <c r="N30" s="4">
        <v>137.6557</v>
      </c>
      <c r="O30" s="4">
        <v>441.8</v>
      </c>
      <c r="P30" s="4">
        <v>3.8764546470000001</v>
      </c>
      <c r="Q30" s="4">
        <v>59.29</v>
      </c>
      <c r="R30" t="str" cm="1">
        <f t="array" ref="R30">_xlfn.IFS(B30="NY","New York",B30="TX","Texas",B30="CA","California")</f>
        <v>California</v>
      </c>
    </row>
    <row r="31" spans="1:18" x14ac:dyDescent="0.3">
      <c r="A31" t="s">
        <v>1</v>
      </c>
      <c r="B31" t="s">
        <v>6</v>
      </c>
      <c r="C31" s="2">
        <v>42831</v>
      </c>
      <c r="D31" s="11" t="s">
        <v>58</v>
      </c>
      <c r="E31" s="3">
        <f t="shared" ca="1" si="0"/>
        <v>362316376</v>
      </c>
      <c r="F31" t="s">
        <v>12</v>
      </c>
      <c r="G31" t="s">
        <v>15</v>
      </c>
      <c r="H31" s="1" t="s">
        <v>236</v>
      </c>
      <c r="I31" t="s">
        <v>17</v>
      </c>
      <c r="J31" s="4">
        <v>2</v>
      </c>
      <c r="K31" s="4">
        <v>14.69</v>
      </c>
      <c r="L31" s="4">
        <v>9</v>
      </c>
      <c r="M31" s="4">
        <v>25.1</v>
      </c>
      <c r="N31" s="4">
        <v>116.9248</v>
      </c>
      <c r="O31" s="4">
        <v>224.01</v>
      </c>
      <c r="P31" s="4">
        <v>3.8764546470000001</v>
      </c>
      <c r="Q31" s="4">
        <v>39.106000000000002</v>
      </c>
      <c r="R31" t="str" cm="1">
        <f t="array" ref="R31">_xlfn.IFS(B31="NY","New York",B31="TX","Texas",B31="CA","California")</f>
        <v>New York</v>
      </c>
    </row>
    <row r="32" spans="1:18" x14ac:dyDescent="0.3">
      <c r="A32" t="s">
        <v>3</v>
      </c>
      <c r="B32" t="s">
        <v>8</v>
      </c>
      <c r="C32" s="2">
        <v>42810</v>
      </c>
      <c r="D32" s="11" t="s">
        <v>59</v>
      </c>
      <c r="E32" s="3">
        <f t="shared" ca="1" si="0"/>
        <v>755018113</v>
      </c>
      <c r="F32" t="s">
        <v>12</v>
      </c>
      <c r="G32" t="s">
        <v>15</v>
      </c>
      <c r="H32" s="1" t="s">
        <v>237</v>
      </c>
      <c r="I32" t="s">
        <v>22</v>
      </c>
      <c r="J32" s="4">
        <v>3</v>
      </c>
      <c r="K32" s="4">
        <v>24.56</v>
      </c>
      <c r="L32" s="4">
        <v>5</v>
      </c>
      <c r="M32" s="4">
        <v>87.14</v>
      </c>
      <c r="N32" s="4">
        <v>187.52760000000001</v>
      </c>
      <c r="O32" s="4">
        <v>470.65</v>
      </c>
      <c r="P32" s="4">
        <v>3.8764546470000001</v>
      </c>
      <c r="Q32" s="4">
        <v>18.02</v>
      </c>
      <c r="R32" t="str" cm="1">
        <f t="array" ref="R32">_xlfn.IFS(B32="NY","New York",B32="TX","Texas",B32="CA","California")</f>
        <v>California</v>
      </c>
    </row>
    <row r="33" spans="1:18" x14ac:dyDescent="0.3">
      <c r="A33" t="s">
        <v>3</v>
      </c>
      <c r="B33" t="s">
        <v>8</v>
      </c>
      <c r="C33" s="2">
        <v>42883</v>
      </c>
      <c r="D33" s="11" t="s">
        <v>60</v>
      </c>
      <c r="E33" s="3">
        <f t="shared" ca="1" si="0"/>
        <v>929065056</v>
      </c>
      <c r="F33" t="s">
        <v>12</v>
      </c>
      <c r="G33" t="s">
        <v>15</v>
      </c>
      <c r="H33" s="1" t="s">
        <v>236</v>
      </c>
      <c r="I33" t="s">
        <v>20</v>
      </c>
      <c r="J33" s="4">
        <v>7</v>
      </c>
      <c r="K33" s="4">
        <v>32.28</v>
      </c>
      <c r="L33" s="4">
        <v>9</v>
      </c>
      <c r="M33" s="4">
        <v>44.07</v>
      </c>
      <c r="N33" s="4">
        <v>161.79419999999999</v>
      </c>
      <c r="O33" s="4">
        <v>702.63</v>
      </c>
      <c r="P33" s="4">
        <v>3.8764546470000001</v>
      </c>
      <c r="Q33" s="4">
        <v>64.138000000000005</v>
      </c>
      <c r="R33" t="str" cm="1">
        <f t="array" ref="R33">_xlfn.IFS(B33="NY","New York",B33="TX","Texas",B33="CA","California")</f>
        <v>California</v>
      </c>
    </row>
    <row r="34" spans="1:18" x14ac:dyDescent="0.3">
      <c r="A34" t="s">
        <v>3</v>
      </c>
      <c r="B34" t="s">
        <v>8</v>
      </c>
      <c r="C34" s="2">
        <v>42913</v>
      </c>
      <c r="D34" s="11" t="s">
        <v>61</v>
      </c>
      <c r="E34" s="3">
        <f t="shared" ca="1" si="0"/>
        <v>394198956</v>
      </c>
      <c r="F34" t="s">
        <v>12</v>
      </c>
      <c r="G34" t="s">
        <v>15</v>
      </c>
      <c r="H34" s="1" t="s">
        <v>236</v>
      </c>
      <c r="I34" t="s">
        <v>20</v>
      </c>
      <c r="J34" s="4">
        <v>8</v>
      </c>
      <c r="K34" s="4">
        <v>23.58</v>
      </c>
      <c r="L34" s="4">
        <v>8</v>
      </c>
      <c r="M34" s="4">
        <v>71.3</v>
      </c>
      <c r="N34" s="4">
        <v>100.9837</v>
      </c>
      <c r="O34" s="4">
        <v>670.24</v>
      </c>
      <c r="P34" s="4">
        <v>3.8764546470000001</v>
      </c>
      <c r="Q34" s="4">
        <v>44.511000000000003</v>
      </c>
      <c r="R34" t="str" cm="1">
        <f t="array" ref="R34">_xlfn.IFS(B34="NY","New York",B34="TX","Texas",B34="CA","California")</f>
        <v>California</v>
      </c>
    </row>
    <row r="35" spans="1:18" x14ac:dyDescent="0.3">
      <c r="A35" t="s">
        <v>1</v>
      </c>
      <c r="B35" t="s">
        <v>6</v>
      </c>
      <c r="C35" s="2">
        <v>42797</v>
      </c>
      <c r="D35" s="11" t="s">
        <v>62</v>
      </c>
      <c r="E35" s="3">
        <f t="shared" ca="1" si="0"/>
        <v>958846064</v>
      </c>
      <c r="F35" t="s">
        <v>12</v>
      </c>
      <c r="G35" t="s">
        <v>15</v>
      </c>
      <c r="H35" s="1" t="s">
        <v>237</v>
      </c>
      <c r="I35" t="s">
        <v>17</v>
      </c>
      <c r="J35" s="4">
        <v>7</v>
      </c>
      <c r="K35" s="4">
        <v>45.62</v>
      </c>
      <c r="L35" s="4">
        <v>2</v>
      </c>
      <c r="M35" s="4">
        <v>45.45</v>
      </c>
      <c r="N35" s="4">
        <v>149.61660000000001</v>
      </c>
      <c r="O35" s="4">
        <v>193.16</v>
      </c>
      <c r="P35" s="4">
        <v>3.8764546470000001</v>
      </c>
      <c r="Q35" s="4">
        <v>66.75</v>
      </c>
      <c r="R35" t="str" cm="1">
        <f t="array" ref="R35">_xlfn.IFS(B35="NY","New York",B35="TX","Texas",B35="CA","California")</f>
        <v>New York</v>
      </c>
    </row>
    <row r="36" spans="1:18" x14ac:dyDescent="0.3">
      <c r="A36" t="s">
        <v>2</v>
      </c>
      <c r="B36" t="s">
        <v>7</v>
      </c>
      <c r="C36" s="2">
        <v>43035</v>
      </c>
      <c r="D36" s="11" t="s">
        <v>63</v>
      </c>
      <c r="E36" s="3">
        <f t="shared" ca="1" si="0"/>
        <v>30544509</v>
      </c>
      <c r="F36" t="s">
        <v>12</v>
      </c>
      <c r="G36" t="s">
        <v>15</v>
      </c>
      <c r="H36" s="1" t="s">
        <v>235</v>
      </c>
      <c r="I36" t="s">
        <v>21</v>
      </c>
      <c r="J36" s="4">
        <v>1</v>
      </c>
      <c r="K36" s="4">
        <v>83.56</v>
      </c>
      <c r="L36" s="4">
        <v>4</v>
      </c>
      <c r="M36" s="4">
        <v>13.6</v>
      </c>
      <c r="N36" s="4">
        <v>135.20140000000001</v>
      </c>
      <c r="O36" s="4">
        <v>397.68</v>
      </c>
      <c r="P36" s="4">
        <v>3.8764546470000001</v>
      </c>
      <c r="Q36" s="4">
        <v>26.34</v>
      </c>
      <c r="R36" t="str" cm="1">
        <f t="array" ref="R36">_xlfn.IFS(B36="NY","New York",B36="TX","Texas",B36="CA","California")</f>
        <v>Texas</v>
      </c>
    </row>
    <row r="37" spans="1:18" x14ac:dyDescent="0.3">
      <c r="A37" t="s">
        <v>2</v>
      </c>
      <c r="B37" t="s">
        <v>7</v>
      </c>
      <c r="C37" s="2">
        <v>43142</v>
      </c>
      <c r="D37" s="11" t="s">
        <v>41</v>
      </c>
      <c r="E37" s="3">
        <f t="shared" ca="1" si="0"/>
        <v>398376941</v>
      </c>
      <c r="F37" t="s">
        <v>12</v>
      </c>
      <c r="G37" t="s">
        <v>14</v>
      </c>
      <c r="H37" s="1" t="s">
        <v>235</v>
      </c>
      <c r="I37" t="s">
        <v>20</v>
      </c>
      <c r="J37" s="4">
        <v>10</v>
      </c>
      <c r="K37" s="4">
        <v>71.5</v>
      </c>
      <c r="L37" s="4">
        <v>1</v>
      </c>
      <c r="M37" s="4">
        <v>16.5</v>
      </c>
      <c r="N37" s="4">
        <v>122.84869999999999</v>
      </c>
      <c r="O37" s="4">
        <v>68.12</v>
      </c>
      <c r="P37" s="4">
        <v>3.8764546470000001</v>
      </c>
      <c r="Q37" s="4">
        <v>32.9</v>
      </c>
      <c r="R37" t="str" cm="1">
        <f t="array" ref="R37">_xlfn.IFS(B37="NY","New York",B37="TX","Texas",B37="CA","California")</f>
        <v>Texas</v>
      </c>
    </row>
    <row r="38" spans="1:18" x14ac:dyDescent="0.3">
      <c r="A38" t="s">
        <v>1</v>
      </c>
      <c r="B38" t="s">
        <v>6</v>
      </c>
      <c r="C38" s="2">
        <v>43052</v>
      </c>
      <c r="D38" s="11" t="s">
        <v>64</v>
      </c>
      <c r="E38" s="3">
        <f t="shared" ca="1" si="0"/>
        <v>367371424</v>
      </c>
      <c r="F38" t="s">
        <v>12</v>
      </c>
      <c r="G38" t="s">
        <v>14</v>
      </c>
      <c r="H38" s="1" t="s">
        <v>235</v>
      </c>
      <c r="I38" t="s">
        <v>20</v>
      </c>
      <c r="J38" s="4">
        <v>9.5</v>
      </c>
      <c r="K38" s="4">
        <v>36.43</v>
      </c>
      <c r="L38" s="4">
        <v>5</v>
      </c>
      <c r="M38" s="4">
        <v>82.4</v>
      </c>
      <c r="N38" s="4">
        <v>114.8165</v>
      </c>
      <c r="O38" s="4">
        <v>313.10000000000002</v>
      </c>
      <c r="P38" s="4">
        <v>3.8764546470000001</v>
      </c>
      <c r="Q38" s="4">
        <v>74.819999999999993</v>
      </c>
      <c r="R38" t="str" cm="1">
        <f t="array" ref="R38">_xlfn.IFS(B38="NY","New York",B38="TX","Texas",B38="CA","California")</f>
        <v>New York</v>
      </c>
    </row>
    <row r="39" spans="1:18" x14ac:dyDescent="0.3">
      <c r="A39" t="s">
        <v>1</v>
      </c>
      <c r="B39" t="s">
        <v>6</v>
      </c>
      <c r="C39" s="2">
        <v>42837</v>
      </c>
      <c r="D39" s="11" t="s">
        <v>65</v>
      </c>
      <c r="E39" s="3">
        <f t="shared" ca="1" si="0"/>
        <v>156804849</v>
      </c>
      <c r="F39" t="s">
        <v>11</v>
      </c>
      <c r="G39" t="s">
        <v>15</v>
      </c>
      <c r="H39" s="1" t="s">
        <v>235</v>
      </c>
      <c r="I39" t="s">
        <v>18</v>
      </c>
      <c r="J39" s="4">
        <v>6.5</v>
      </c>
      <c r="K39" s="4">
        <v>89.19</v>
      </c>
      <c r="L39" s="4">
        <v>9</v>
      </c>
      <c r="M39" s="4">
        <v>39.9</v>
      </c>
      <c r="N39" s="4">
        <v>159.06979999999999</v>
      </c>
      <c r="O39" s="4">
        <v>547.91999999999996</v>
      </c>
      <c r="P39" s="4">
        <v>3.8764546470000001</v>
      </c>
      <c r="Q39" s="4">
        <v>55.92</v>
      </c>
      <c r="R39" t="str" cm="1">
        <f t="array" ref="R39">_xlfn.IFS(B39="NY","New York",B39="TX","Texas",B39="CA","California")</f>
        <v>New York</v>
      </c>
    </row>
    <row r="40" spans="1:18" x14ac:dyDescent="0.3">
      <c r="A40" t="s">
        <v>2</v>
      </c>
      <c r="B40" t="s">
        <v>7</v>
      </c>
      <c r="C40" s="2">
        <v>43193</v>
      </c>
      <c r="D40" s="11" t="s">
        <v>66</v>
      </c>
      <c r="E40" s="3">
        <f t="shared" ca="1" si="0"/>
        <v>496832388</v>
      </c>
      <c r="F40" t="s">
        <v>11</v>
      </c>
      <c r="G40" t="s">
        <v>15</v>
      </c>
      <c r="H40" s="1" t="s">
        <v>235</v>
      </c>
      <c r="I40" t="s">
        <v>17</v>
      </c>
      <c r="J40" s="4">
        <v>9.4</v>
      </c>
      <c r="K40" s="4">
        <v>97.42</v>
      </c>
      <c r="L40" s="4">
        <v>7</v>
      </c>
      <c r="M40" s="4">
        <v>15.9</v>
      </c>
      <c r="N40" s="4">
        <v>139.63239999999999</v>
      </c>
      <c r="O40" s="4">
        <v>439.36</v>
      </c>
      <c r="P40" s="4">
        <v>3.8764546470000001</v>
      </c>
      <c r="Q40" s="4">
        <v>63.881</v>
      </c>
      <c r="R40" t="str" cm="1">
        <f t="array" ref="R40">_xlfn.IFS(B40="NY","New York",B40="TX","Texas",B40="CA","California")</f>
        <v>Texas</v>
      </c>
    </row>
    <row r="41" spans="1:18" x14ac:dyDescent="0.3">
      <c r="A41" t="s">
        <v>3</v>
      </c>
      <c r="B41" t="s">
        <v>8</v>
      </c>
      <c r="C41" s="2">
        <v>42991</v>
      </c>
      <c r="D41" s="11" t="s">
        <v>67</v>
      </c>
      <c r="E41" s="3">
        <f t="shared" ca="1" si="0"/>
        <v>389119545</v>
      </c>
      <c r="F41" t="s">
        <v>12</v>
      </c>
      <c r="G41" t="s">
        <v>14</v>
      </c>
      <c r="H41" s="1" t="s">
        <v>236</v>
      </c>
      <c r="I41" t="s">
        <v>19</v>
      </c>
      <c r="J41" s="4">
        <v>6.4</v>
      </c>
      <c r="K41" s="4">
        <v>49</v>
      </c>
      <c r="L41" s="4">
        <v>8</v>
      </c>
      <c r="M41" s="4">
        <v>52.2</v>
      </c>
      <c r="N41" s="4">
        <v>112.48520000000001</v>
      </c>
      <c r="O41" s="4">
        <v>240.96</v>
      </c>
      <c r="P41" s="4">
        <v>3.8764546470000001</v>
      </c>
      <c r="Q41" s="4">
        <v>60.203000000000003</v>
      </c>
      <c r="R41" t="str" cm="1">
        <f t="array" ref="R41">_xlfn.IFS(B41="NY","New York",B41="TX","Texas",B41="CA","California")</f>
        <v>California</v>
      </c>
    </row>
    <row r="42" spans="1:18" x14ac:dyDescent="0.3">
      <c r="A42" t="s">
        <v>3</v>
      </c>
      <c r="B42" t="s">
        <v>8</v>
      </c>
      <c r="C42" s="2">
        <v>43206</v>
      </c>
      <c r="D42" s="11" t="s">
        <v>68</v>
      </c>
      <c r="E42" s="3">
        <f t="shared" ca="1" si="0"/>
        <v>632467793</v>
      </c>
      <c r="F42" t="s">
        <v>11</v>
      </c>
      <c r="G42" t="s">
        <v>14</v>
      </c>
      <c r="H42" s="1" t="s">
        <v>235</v>
      </c>
      <c r="I42" t="s">
        <v>19</v>
      </c>
      <c r="J42" s="4">
        <v>2</v>
      </c>
      <c r="K42" s="4">
        <v>62.22</v>
      </c>
      <c r="L42" s="4">
        <v>1</v>
      </c>
      <c r="M42" s="4">
        <v>27.24</v>
      </c>
      <c r="N42" s="4">
        <v>158.6123</v>
      </c>
      <c r="O42" s="4">
        <v>86.72</v>
      </c>
      <c r="P42" s="4">
        <v>3.8764546470000001</v>
      </c>
      <c r="Q42" s="4">
        <v>32.095999999999997</v>
      </c>
      <c r="R42" t="str" cm="1">
        <f t="array" ref="R42">_xlfn.IFS(B42="NY","New York",B42="TX","Texas",B42="CA","California")</f>
        <v>California</v>
      </c>
    </row>
    <row r="43" spans="1:18" x14ac:dyDescent="0.3">
      <c r="A43" t="s">
        <v>2</v>
      </c>
      <c r="B43" t="s">
        <v>7</v>
      </c>
      <c r="C43" s="2">
        <v>43235</v>
      </c>
      <c r="D43" s="11" t="s">
        <v>69</v>
      </c>
      <c r="E43" s="3">
        <f t="shared" ca="1" si="0"/>
        <v>363216068</v>
      </c>
      <c r="F43" t="s">
        <v>12</v>
      </c>
      <c r="G43" t="s">
        <v>14</v>
      </c>
      <c r="H43" s="1" t="s">
        <v>236</v>
      </c>
      <c r="I43" t="s">
        <v>19</v>
      </c>
      <c r="J43" s="4">
        <v>8.9</v>
      </c>
      <c r="K43" s="4">
        <v>11.73</v>
      </c>
      <c r="L43" s="4">
        <v>2</v>
      </c>
      <c r="M43" s="4">
        <v>89.82</v>
      </c>
      <c r="N43" s="4">
        <v>185.5282</v>
      </c>
      <c r="O43" s="4">
        <v>112.22</v>
      </c>
      <c r="P43" s="4">
        <v>3.8764546470000001</v>
      </c>
      <c r="Q43" s="4">
        <v>99.51</v>
      </c>
      <c r="R43" t="str" cm="1">
        <f t="array" ref="R43">_xlfn.IFS(B43="NY","New York",B43="TX","Texas",B43="CA","California")</f>
        <v>Texas</v>
      </c>
    </row>
    <row r="44" spans="1:18" x14ac:dyDescent="0.3">
      <c r="A44" t="s">
        <v>3</v>
      </c>
      <c r="B44" t="s">
        <v>8</v>
      </c>
      <c r="C44" s="2">
        <v>43028</v>
      </c>
      <c r="D44" s="11" t="s">
        <v>70</v>
      </c>
      <c r="E44" s="3">
        <f t="shared" ca="1" si="0"/>
        <v>945485091</v>
      </c>
      <c r="F44" t="s">
        <v>11</v>
      </c>
      <c r="G44" t="s">
        <v>14</v>
      </c>
      <c r="H44" s="1" t="s">
        <v>236</v>
      </c>
      <c r="I44" t="s">
        <v>20</v>
      </c>
      <c r="J44" s="4">
        <v>2</v>
      </c>
      <c r="K44" s="4">
        <v>16.79</v>
      </c>
      <c r="L44" s="4">
        <v>6</v>
      </c>
      <c r="M44" s="4">
        <v>38.03</v>
      </c>
      <c r="N44" s="4">
        <v>106.426</v>
      </c>
      <c r="O44" s="4">
        <v>414.72</v>
      </c>
      <c r="P44" s="4">
        <v>3.8764546470000001</v>
      </c>
      <c r="Q44" s="4">
        <v>13.72</v>
      </c>
      <c r="R44" t="str" cm="1">
        <f t="array" ref="R44">_xlfn.IFS(B44="NY","New York",B44="TX","Texas",B44="CA","California")</f>
        <v>California</v>
      </c>
    </row>
    <row r="45" spans="1:18" x14ac:dyDescent="0.3">
      <c r="A45" t="s">
        <v>2</v>
      </c>
      <c r="B45" t="s">
        <v>7</v>
      </c>
      <c r="C45" s="2">
        <v>43286</v>
      </c>
      <c r="D45" s="11" t="s">
        <v>71</v>
      </c>
      <c r="E45" s="3">
        <f t="shared" ca="1" si="0"/>
        <v>550441288</v>
      </c>
      <c r="F45" t="s">
        <v>11</v>
      </c>
      <c r="G45" t="s">
        <v>14</v>
      </c>
      <c r="H45" s="1" t="s">
        <v>236</v>
      </c>
      <c r="I45" t="s">
        <v>21</v>
      </c>
      <c r="J45" s="4">
        <v>2</v>
      </c>
      <c r="K45" s="4">
        <v>68.59</v>
      </c>
      <c r="L45" s="4">
        <v>8</v>
      </c>
      <c r="M45" s="4">
        <v>62.45</v>
      </c>
      <c r="N45" s="4">
        <v>177.90870000000001</v>
      </c>
      <c r="O45" s="4">
        <v>789.6</v>
      </c>
      <c r="P45" s="4">
        <v>3.8764546470000001</v>
      </c>
      <c r="Q45" s="4">
        <v>59.92</v>
      </c>
      <c r="R45" t="str" cm="1">
        <f t="array" ref="R45">_xlfn.IFS(B45="NY","New York",B45="TX","Texas",B45="CA","California")</f>
        <v>Texas</v>
      </c>
    </row>
    <row r="46" spans="1:18" x14ac:dyDescent="0.3">
      <c r="A46" t="s">
        <v>2</v>
      </c>
      <c r="B46" t="s">
        <v>7</v>
      </c>
      <c r="C46" s="2">
        <v>43192</v>
      </c>
      <c r="D46" s="11" t="s">
        <v>72</v>
      </c>
      <c r="E46" s="3">
        <f t="shared" ca="1" si="0"/>
        <v>420607944</v>
      </c>
      <c r="F46" t="s">
        <v>12</v>
      </c>
      <c r="G46" t="s">
        <v>14</v>
      </c>
      <c r="H46" s="1" t="s">
        <v>236</v>
      </c>
      <c r="I46" t="s">
        <v>17</v>
      </c>
      <c r="J46" s="4">
        <v>8</v>
      </c>
      <c r="K46" s="4">
        <v>13.52</v>
      </c>
      <c r="L46" s="4">
        <v>2</v>
      </c>
      <c r="M46" s="4">
        <v>49.26</v>
      </c>
      <c r="N46" s="4">
        <v>146.0977</v>
      </c>
      <c r="O46" s="4">
        <v>30.74</v>
      </c>
      <c r="P46" s="4">
        <v>3.8764546470000001</v>
      </c>
      <c r="Q46" s="4">
        <v>54.56</v>
      </c>
      <c r="R46" t="str" cm="1">
        <f t="array" ref="R46">_xlfn.IFS(B46="NY","New York",B46="TX","Texas",B46="CA","California")</f>
        <v>Texas</v>
      </c>
    </row>
    <row r="47" spans="1:18" x14ac:dyDescent="0.3">
      <c r="A47" t="s">
        <v>3</v>
      </c>
      <c r="B47" t="s">
        <v>8</v>
      </c>
      <c r="C47" s="2">
        <v>42993</v>
      </c>
      <c r="D47" s="11" t="s">
        <v>73</v>
      </c>
      <c r="E47" s="3">
        <f t="shared" ca="1" si="0"/>
        <v>831801489</v>
      </c>
      <c r="F47" t="s">
        <v>11</v>
      </c>
      <c r="G47" t="s">
        <v>14</v>
      </c>
      <c r="H47" s="1" t="s">
        <v>236</v>
      </c>
      <c r="I47" t="s">
        <v>18</v>
      </c>
      <c r="J47" s="4">
        <v>2</v>
      </c>
      <c r="K47" s="4">
        <v>74.489999999999995</v>
      </c>
      <c r="L47" s="4">
        <v>4</v>
      </c>
      <c r="M47" s="4">
        <v>23.06</v>
      </c>
      <c r="N47" s="4">
        <v>186.1969</v>
      </c>
      <c r="O47" s="4">
        <v>375.84</v>
      </c>
      <c r="P47" s="4">
        <v>3.8764546470000001</v>
      </c>
      <c r="Q47" s="4">
        <v>60.19</v>
      </c>
      <c r="R47" t="str" cm="1">
        <f t="array" ref="R47">_xlfn.IFS(B47="NY","New York",B47="TX","Texas",B47="CA","California")</f>
        <v>California</v>
      </c>
    </row>
    <row r="48" spans="1:18" x14ac:dyDescent="0.3">
      <c r="A48" t="s">
        <v>3</v>
      </c>
      <c r="B48" t="s">
        <v>8</v>
      </c>
      <c r="C48" s="2">
        <v>43248</v>
      </c>
      <c r="D48" s="11" t="s">
        <v>74</v>
      </c>
      <c r="E48" s="3">
        <f t="shared" ca="1" si="0"/>
        <v>90928744</v>
      </c>
      <c r="F48" t="s">
        <v>12</v>
      </c>
      <c r="G48" t="s">
        <v>14</v>
      </c>
      <c r="H48" s="1" t="s">
        <v>237</v>
      </c>
      <c r="I48" t="s">
        <v>17</v>
      </c>
      <c r="J48" s="4">
        <v>5</v>
      </c>
      <c r="K48" s="4">
        <v>71.25</v>
      </c>
      <c r="L48" s="4">
        <v>9</v>
      </c>
      <c r="M48" s="4">
        <v>59.9</v>
      </c>
      <c r="N48" s="4">
        <v>155.98349999999999</v>
      </c>
      <c r="O48" s="4">
        <v>510.21</v>
      </c>
      <c r="P48" s="4">
        <v>3.8764546470000001</v>
      </c>
      <c r="Q48" s="4">
        <v>53.286999999999999</v>
      </c>
      <c r="R48" t="str" cm="1">
        <f t="array" ref="R48">_xlfn.IFS(B48="NY","New York",B48="TX","Texas",B48="CA","California")</f>
        <v>California</v>
      </c>
    </row>
    <row r="49" spans="1:18" x14ac:dyDescent="0.3">
      <c r="A49" t="s">
        <v>3</v>
      </c>
      <c r="B49" t="s">
        <v>8</v>
      </c>
      <c r="C49" s="2">
        <v>43342</v>
      </c>
      <c r="D49" s="11" t="s">
        <v>51</v>
      </c>
      <c r="E49" s="3">
        <f t="shared" ca="1" si="0"/>
        <v>200021781</v>
      </c>
      <c r="F49" t="s">
        <v>11</v>
      </c>
      <c r="G49" t="s">
        <v>14</v>
      </c>
      <c r="H49" s="1" t="s">
        <v>235</v>
      </c>
      <c r="I49" t="s">
        <v>21</v>
      </c>
      <c r="J49" s="4">
        <v>2</v>
      </c>
      <c r="K49" s="4">
        <v>54.01</v>
      </c>
      <c r="L49" s="4">
        <v>9</v>
      </c>
      <c r="M49" s="4">
        <v>56.9</v>
      </c>
      <c r="N49" s="4">
        <v>162.92740000000001</v>
      </c>
      <c r="O49" s="4">
        <v>180.09</v>
      </c>
      <c r="P49" s="4">
        <v>3.8764546470000001</v>
      </c>
      <c r="Q49" s="4">
        <v>47.84</v>
      </c>
      <c r="R49" t="str" cm="1">
        <f t="array" ref="R49">_xlfn.IFS(B49="NY","New York",B49="TX","Texas",B49="CA","California")</f>
        <v>California</v>
      </c>
    </row>
    <row r="50" spans="1:18" x14ac:dyDescent="0.3">
      <c r="A50" t="s">
        <v>3</v>
      </c>
      <c r="B50" t="s">
        <v>8</v>
      </c>
      <c r="C50" s="2">
        <v>42933</v>
      </c>
      <c r="D50" s="11" t="s">
        <v>75</v>
      </c>
      <c r="E50" s="3">
        <f t="shared" ca="1" si="0"/>
        <v>878570308</v>
      </c>
      <c r="F50" t="s">
        <v>12</v>
      </c>
      <c r="G50" t="s">
        <v>14</v>
      </c>
      <c r="H50" s="1" t="s">
        <v>237</v>
      </c>
      <c r="I50" t="s">
        <v>18</v>
      </c>
      <c r="J50" s="4">
        <v>9.1999999999999993</v>
      </c>
      <c r="K50" s="4">
        <v>72.12</v>
      </c>
      <c r="L50" s="4">
        <v>6</v>
      </c>
      <c r="M50" s="4">
        <v>68.900000000000006</v>
      </c>
      <c r="N50" s="4">
        <v>166.97460000000001</v>
      </c>
      <c r="O50" s="4">
        <v>113.58</v>
      </c>
      <c r="P50" s="4">
        <v>3.8764546470000001</v>
      </c>
      <c r="Q50" s="4">
        <v>77.677000000000007</v>
      </c>
      <c r="R50" t="str" cm="1">
        <f t="array" ref="R50">_xlfn.IFS(B50="NY","New York",B50="TX","Texas",B50="CA","California")</f>
        <v>California</v>
      </c>
    </row>
    <row r="51" spans="1:18" x14ac:dyDescent="0.3">
      <c r="A51" t="s">
        <v>2</v>
      </c>
      <c r="B51" t="s">
        <v>7</v>
      </c>
      <c r="C51" s="2">
        <v>43331</v>
      </c>
      <c r="D51" s="11" t="s">
        <v>76</v>
      </c>
      <c r="E51" s="3">
        <f t="shared" ca="1" si="0"/>
        <v>959828526</v>
      </c>
      <c r="F51" t="s">
        <v>11</v>
      </c>
      <c r="G51" t="s">
        <v>14</v>
      </c>
      <c r="H51" s="1" t="s">
        <v>235</v>
      </c>
      <c r="I51" t="s">
        <v>22</v>
      </c>
      <c r="J51" s="4">
        <v>7.9</v>
      </c>
      <c r="K51" s="4">
        <v>59.58</v>
      </c>
      <c r="L51" s="4">
        <v>10</v>
      </c>
      <c r="M51" s="4">
        <v>56.73</v>
      </c>
      <c r="N51" s="4">
        <v>159.9666</v>
      </c>
      <c r="O51" s="4">
        <v>826.3</v>
      </c>
      <c r="P51" s="4">
        <v>3.8764546470000001</v>
      </c>
      <c r="Q51" s="4">
        <v>52.116999999999997</v>
      </c>
      <c r="R51" t="str" cm="1">
        <f t="array" ref="R51">_xlfn.IFS(B51="NY","New York",B51="TX","Texas",B51="CA","California")</f>
        <v>Texas</v>
      </c>
    </row>
    <row r="52" spans="1:18" x14ac:dyDescent="0.3">
      <c r="A52" t="s">
        <v>2</v>
      </c>
      <c r="B52" t="s">
        <v>7</v>
      </c>
      <c r="C52" s="2">
        <v>42895</v>
      </c>
      <c r="D52" s="11" t="s">
        <v>77</v>
      </c>
      <c r="E52" s="3">
        <f t="shared" ca="1" si="0"/>
        <v>179356201</v>
      </c>
      <c r="F52" t="s">
        <v>11</v>
      </c>
      <c r="G52" t="s">
        <v>14</v>
      </c>
      <c r="H52" s="1" t="s">
        <v>236</v>
      </c>
      <c r="I52" t="s">
        <v>21</v>
      </c>
      <c r="J52" s="4">
        <v>6.7</v>
      </c>
      <c r="K52" s="4">
        <v>66.900000000000006</v>
      </c>
      <c r="L52" s="4">
        <v>7</v>
      </c>
      <c r="M52" s="4">
        <v>10.68</v>
      </c>
      <c r="N52" s="4">
        <v>170.0883</v>
      </c>
      <c r="O52" s="4">
        <v>639.79999999999995</v>
      </c>
      <c r="P52" s="4">
        <v>3.8764546470000001</v>
      </c>
      <c r="Q52" s="4">
        <v>44.323</v>
      </c>
      <c r="R52" t="str" cm="1">
        <f t="array" ref="R52">_xlfn.IFS(B52="NY","New York",B52="TX","Texas",B52="CA","California")</f>
        <v>Texas</v>
      </c>
    </row>
    <row r="53" spans="1:18" x14ac:dyDescent="0.3">
      <c r="A53" t="s">
        <v>1</v>
      </c>
      <c r="B53" t="s">
        <v>6</v>
      </c>
      <c r="C53" s="2">
        <v>43038</v>
      </c>
      <c r="D53" s="11" t="s">
        <v>78</v>
      </c>
      <c r="E53" s="3">
        <f t="shared" ca="1" si="0"/>
        <v>457069530</v>
      </c>
      <c r="F53" t="s">
        <v>11</v>
      </c>
      <c r="G53" t="s">
        <v>14</v>
      </c>
      <c r="H53" s="1" t="s">
        <v>236</v>
      </c>
      <c r="I53" t="s">
        <v>21</v>
      </c>
      <c r="J53" s="4">
        <v>3.2</v>
      </c>
      <c r="K53" s="4">
        <v>44.52</v>
      </c>
      <c r="L53" s="4">
        <v>5</v>
      </c>
      <c r="M53" s="4">
        <v>48.24</v>
      </c>
      <c r="N53" s="4">
        <v>184.56319999999999</v>
      </c>
      <c r="O53" s="4">
        <v>222.95</v>
      </c>
      <c r="P53" s="4">
        <v>3.8764546470000001</v>
      </c>
      <c r="Q53" s="4">
        <v>46.7</v>
      </c>
      <c r="R53" t="str" cm="1">
        <f t="array" ref="R53">_xlfn.IFS(B53="NY","New York",B53="TX","Texas",B53="CA","California")</f>
        <v>New York</v>
      </c>
    </row>
    <row r="54" spans="1:18" x14ac:dyDescent="0.3">
      <c r="A54" t="s">
        <v>3</v>
      </c>
      <c r="B54" t="s">
        <v>8</v>
      </c>
      <c r="C54" s="2">
        <v>42883</v>
      </c>
      <c r="D54" s="11" t="s">
        <v>54</v>
      </c>
      <c r="E54" s="3">
        <f t="shared" ca="1" si="0"/>
        <v>531003497</v>
      </c>
      <c r="F54" t="s">
        <v>11</v>
      </c>
      <c r="G54" t="s">
        <v>14</v>
      </c>
      <c r="H54" s="1" t="s">
        <v>235</v>
      </c>
      <c r="I54" t="s">
        <v>22</v>
      </c>
      <c r="J54" s="4">
        <v>7.9</v>
      </c>
      <c r="K54" s="4">
        <v>67.95</v>
      </c>
      <c r="L54" s="4">
        <v>4</v>
      </c>
      <c r="M54" s="4">
        <v>99.48</v>
      </c>
      <c r="N54" s="4">
        <v>113.79170000000001</v>
      </c>
      <c r="O54" s="4">
        <v>71.48</v>
      </c>
      <c r="P54" s="4">
        <v>3.8764546470000001</v>
      </c>
      <c r="Q54" s="4">
        <v>84.962000000000003</v>
      </c>
      <c r="R54" t="str" cm="1">
        <f t="array" ref="R54">_xlfn.IFS(B54="NY","New York",B54="TX","Texas",B54="CA","California")</f>
        <v>California</v>
      </c>
    </row>
    <row r="55" spans="1:18" x14ac:dyDescent="0.3">
      <c r="A55" t="s">
        <v>2</v>
      </c>
      <c r="B55" t="s">
        <v>7</v>
      </c>
      <c r="C55" s="2">
        <v>43001</v>
      </c>
      <c r="D55" s="11" t="s">
        <v>79</v>
      </c>
      <c r="E55" s="3">
        <f t="shared" ca="1" si="0"/>
        <v>176218500</v>
      </c>
      <c r="F55" t="s">
        <v>11</v>
      </c>
      <c r="G55" t="s">
        <v>14</v>
      </c>
      <c r="H55" s="1" t="s">
        <v>237</v>
      </c>
      <c r="I55" t="s">
        <v>22</v>
      </c>
      <c r="J55" s="4">
        <v>2.1</v>
      </c>
      <c r="K55" s="4">
        <v>96.58</v>
      </c>
      <c r="L55" s="4">
        <v>1</v>
      </c>
      <c r="M55" s="4">
        <v>75.099999999999994</v>
      </c>
      <c r="N55" s="4">
        <v>149.8306</v>
      </c>
      <c r="O55" s="4">
        <v>15.43</v>
      </c>
      <c r="P55" s="4">
        <v>3.8764546470000001</v>
      </c>
      <c r="Q55" s="4">
        <v>75.503</v>
      </c>
      <c r="R55" t="str" cm="1">
        <f t="array" ref="R55">_xlfn.IFS(B55="NY","New York",B55="TX","Texas",B55="CA","California")</f>
        <v>Texas</v>
      </c>
    </row>
    <row r="56" spans="1:18" x14ac:dyDescent="0.3">
      <c r="A56" t="s">
        <v>3</v>
      </c>
      <c r="B56" t="s">
        <v>8</v>
      </c>
      <c r="C56" s="2">
        <v>43149</v>
      </c>
      <c r="D56" s="11" t="s">
        <v>49</v>
      </c>
      <c r="E56" s="3">
        <f t="shared" ca="1" si="0"/>
        <v>49861306</v>
      </c>
      <c r="F56" t="s">
        <v>11</v>
      </c>
      <c r="G56" t="s">
        <v>14</v>
      </c>
      <c r="H56" s="1" t="s">
        <v>235</v>
      </c>
      <c r="I56" t="s">
        <v>19</v>
      </c>
      <c r="J56" s="4">
        <v>6.9</v>
      </c>
      <c r="K56" s="4">
        <v>13</v>
      </c>
      <c r="L56" s="4">
        <v>2</v>
      </c>
      <c r="M56" s="4">
        <v>50.9</v>
      </c>
      <c r="N56" s="4">
        <v>148.31200000000001</v>
      </c>
      <c r="O56" s="4">
        <v>32.32</v>
      </c>
      <c r="P56" s="4">
        <v>3.8764546470000001</v>
      </c>
      <c r="Q56" s="4">
        <v>59.191000000000003</v>
      </c>
      <c r="R56" t="str" cm="1">
        <f t="array" ref="R56">_xlfn.IFS(B56="NY","New York",B56="TX","Texas",B56="CA","California")</f>
        <v>California</v>
      </c>
    </row>
    <row r="57" spans="1:18" x14ac:dyDescent="0.3">
      <c r="A57" t="s">
        <v>2</v>
      </c>
      <c r="B57" t="s">
        <v>7</v>
      </c>
      <c r="C57" s="2">
        <v>43132</v>
      </c>
      <c r="D57" s="11" t="s">
        <v>80</v>
      </c>
      <c r="E57" s="3">
        <f t="shared" ca="1" si="0"/>
        <v>504406997</v>
      </c>
      <c r="F57" t="s">
        <v>11</v>
      </c>
      <c r="G57" t="s">
        <v>15</v>
      </c>
      <c r="H57" s="1" t="s">
        <v>236</v>
      </c>
      <c r="I57" t="s">
        <v>18</v>
      </c>
      <c r="J57" s="4">
        <v>2</v>
      </c>
      <c r="K57" s="4">
        <v>73.59</v>
      </c>
      <c r="L57" s="4">
        <v>8</v>
      </c>
      <c r="M57" s="4">
        <v>89.6</v>
      </c>
      <c r="N57" s="4">
        <v>136.15119999999999</v>
      </c>
      <c r="O57" s="4">
        <v>687.84</v>
      </c>
      <c r="P57" s="4">
        <v>3.8764546470000001</v>
      </c>
      <c r="Q57" s="4">
        <v>58.137</v>
      </c>
      <c r="R57" t="str" cm="1">
        <f t="array" ref="R57">_xlfn.IFS(B57="NY","New York",B57="TX","Texas",B57="CA","California")</f>
        <v>Texas</v>
      </c>
    </row>
    <row r="58" spans="1:18" x14ac:dyDescent="0.3">
      <c r="A58" t="s">
        <v>1</v>
      </c>
      <c r="B58" t="s">
        <v>6</v>
      </c>
      <c r="C58" s="2">
        <v>43213</v>
      </c>
      <c r="D58" s="11" t="s">
        <v>42</v>
      </c>
      <c r="E58" s="3">
        <f t="shared" ca="1" si="0"/>
        <v>948301905</v>
      </c>
      <c r="F58" t="s">
        <v>12</v>
      </c>
      <c r="G58" t="s">
        <v>14</v>
      </c>
      <c r="H58" s="1" t="s">
        <v>236</v>
      </c>
      <c r="I58" t="s">
        <v>19</v>
      </c>
      <c r="J58" s="4">
        <v>3.4</v>
      </c>
      <c r="K58" s="4">
        <v>91.14</v>
      </c>
      <c r="L58" s="4">
        <v>2</v>
      </c>
      <c r="M58" s="4">
        <v>86.6</v>
      </c>
      <c r="N58" s="4">
        <v>143.5949</v>
      </c>
      <c r="O58" s="4">
        <v>88.68</v>
      </c>
      <c r="P58" s="4">
        <v>3.8764546470000001</v>
      </c>
      <c r="Q58" s="4">
        <v>27.501000000000001</v>
      </c>
      <c r="R58" t="str" cm="1">
        <f t="array" ref="R58">_xlfn.IFS(B58="NY","New York",B58="TX","Texas",B58="CA","California")</f>
        <v>New York</v>
      </c>
    </row>
    <row r="59" spans="1:18" x14ac:dyDescent="0.3">
      <c r="A59" t="s">
        <v>1</v>
      </c>
      <c r="B59" t="s">
        <v>6</v>
      </c>
      <c r="C59" s="2">
        <v>43096</v>
      </c>
      <c r="D59" s="11" t="s">
        <v>70</v>
      </c>
      <c r="E59" s="3">
        <f t="shared" ca="1" si="0"/>
        <v>536927241</v>
      </c>
      <c r="F59" t="s">
        <v>12</v>
      </c>
      <c r="G59" t="s">
        <v>15</v>
      </c>
      <c r="H59" s="1" t="s">
        <v>235</v>
      </c>
      <c r="I59" t="s">
        <v>17</v>
      </c>
      <c r="J59" s="4">
        <v>6.5</v>
      </c>
      <c r="K59" s="4">
        <v>33.69</v>
      </c>
      <c r="L59" s="4">
        <v>8</v>
      </c>
      <c r="M59" s="4">
        <v>68.44</v>
      </c>
      <c r="N59" s="4">
        <v>133.22219999999999</v>
      </c>
      <c r="O59" s="4">
        <v>716.8</v>
      </c>
      <c r="P59" s="4">
        <v>3.8764546470000001</v>
      </c>
      <c r="Q59" s="4">
        <v>41.41</v>
      </c>
      <c r="R59" t="str" cm="1">
        <f t="array" ref="R59">_xlfn.IFS(B59="NY","New York",B59="TX","Texas",B59="CA","California")</f>
        <v>New York</v>
      </c>
    </row>
    <row r="60" spans="1:18" x14ac:dyDescent="0.3">
      <c r="A60" t="s">
        <v>1</v>
      </c>
      <c r="B60" t="s">
        <v>6</v>
      </c>
      <c r="C60" s="2">
        <v>43381</v>
      </c>
      <c r="D60" s="11" t="s">
        <v>81</v>
      </c>
      <c r="E60" s="3">
        <f t="shared" ca="1" si="0"/>
        <v>715953922</v>
      </c>
      <c r="F60" t="s">
        <v>11</v>
      </c>
      <c r="G60" t="s">
        <v>14</v>
      </c>
      <c r="H60" s="1" t="s">
        <v>236</v>
      </c>
      <c r="I60" t="s">
        <v>19</v>
      </c>
      <c r="J60" s="4">
        <v>2.5</v>
      </c>
      <c r="K60" s="4">
        <v>51.21</v>
      </c>
      <c r="L60" s="4">
        <v>10</v>
      </c>
      <c r="M60" s="4">
        <v>10.24</v>
      </c>
      <c r="N60" s="4">
        <v>180.78399999999999</v>
      </c>
      <c r="O60" s="4">
        <v>723.5</v>
      </c>
      <c r="P60" s="4">
        <v>3.8764546470000001</v>
      </c>
      <c r="Q60" s="4">
        <v>22.356999999999999</v>
      </c>
      <c r="R60" t="str" cm="1">
        <f t="array" ref="R60">_xlfn.IFS(B60="NY","New York",B60="TX","Texas",B60="CA","California")</f>
        <v>New York</v>
      </c>
    </row>
    <row r="61" spans="1:18" x14ac:dyDescent="0.3">
      <c r="A61" t="s">
        <v>2</v>
      </c>
      <c r="B61" t="s">
        <v>7</v>
      </c>
      <c r="C61" s="2">
        <v>42875</v>
      </c>
      <c r="D61" s="11" t="s">
        <v>82</v>
      </c>
      <c r="E61" s="3">
        <f t="shared" ca="1" si="0"/>
        <v>304844059</v>
      </c>
      <c r="F61" t="s">
        <v>12</v>
      </c>
      <c r="G61" t="s">
        <v>15</v>
      </c>
      <c r="H61" s="1" t="s">
        <v>236</v>
      </c>
      <c r="I61" t="s">
        <v>18</v>
      </c>
      <c r="J61" s="4">
        <v>2</v>
      </c>
      <c r="K61" s="4">
        <v>48.26</v>
      </c>
      <c r="L61" s="4">
        <v>6</v>
      </c>
      <c r="M61" s="4">
        <v>92.9</v>
      </c>
      <c r="N61" s="4">
        <v>129.09180000000001</v>
      </c>
      <c r="O61" s="4">
        <v>183.66</v>
      </c>
      <c r="P61" s="4">
        <v>3.8764546470000001</v>
      </c>
      <c r="Q61" s="4">
        <v>31.984000000000002</v>
      </c>
      <c r="R61" t="str" cm="1">
        <f t="array" ref="R61">_xlfn.IFS(B61="NY","New York",B61="TX","Texas",B61="CA","California")</f>
        <v>Texas</v>
      </c>
    </row>
    <row r="62" spans="1:18" x14ac:dyDescent="0.3">
      <c r="A62" t="s">
        <v>2</v>
      </c>
      <c r="B62" t="s">
        <v>7</v>
      </c>
      <c r="C62" s="2">
        <v>43358</v>
      </c>
      <c r="D62" s="11" t="s">
        <v>83</v>
      </c>
      <c r="E62" s="3">
        <f t="shared" ca="1" si="0"/>
        <v>566634998</v>
      </c>
      <c r="F62" t="s">
        <v>11</v>
      </c>
      <c r="G62" t="s">
        <v>14</v>
      </c>
      <c r="H62" s="1" t="s">
        <v>237</v>
      </c>
      <c r="I62" t="s">
        <v>20</v>
      </c>
      <c r="J62" s="4">
        <v>8</v>
      </c>
      <c r="K62" s="4">
        <v>93.47</v>
      </c>
      <c r="L62" s="4">
        <v>3</v>
      </c>
      <c r="M62" s="4">
        <v>74.400000000000006</v>
      </c>
      <c r="N62" s="4">
        <v>150.79669999999999</v>
      </c>
      <c r="O62" s="4">
        <v>74.22</v>
      </c>
      <c r="P62" s="4">
        <v>3.8764546470000001</v>
      </c>
      <c r="Q62" s="4">
        <v>84.462999999999994</v>
      </c>
      <c r="R62" t="str" cm="1">
        <f t="array" ref="R62">_xlfn.IFS(B62="NY","New York",B62="TX","Texas",B62="CA","California")</f>
        <v>Texas</v>
      </c>
    </row>
    <row r="63" spans="1:18" x14ac:dyDescent="0.3">
      <c r="A63" t="s">
        <v>2</v>
      </c>
      <c r="B63" t="s">
        <v>7</v>
      </c>
      <c r="C63" s="2">
        <v>43074</v>
      </c>
      <c r="D63" s="11" t="s">
        <v>84</v>
      </c>
      <c r="E63" s="3">
        <f t="shared" ca="1" si="0"/>
        <v>364269248</v>
      </c>
      <c r="F63" t="s">
        <v>12</v>
      </c>
      <c r="G63" t="s">
        <v>15</v>
      </c>
      <c r="H63" s="1" t="s">
        <v>235</v>
      </c>
      <c r="I63" t="s">
        <v>19</v>
      </c>
      <c r="J63" s="4">
        <v>5</v>
      </c>
      <c r="K63" s="4">
        <v>26.19</v>
      </c>
      <c r="L63" s="4">
        <v>6</v>
      </c>
      <c r="M63" s="4">
        <v>82.5</v>
      </c>
      <c r="N63" s="4">
        <v>157.1764</v>
      </c>
      <c r="O63" s="4">
        <v>334.38</v>
      </c>
      <c r="P63" s="4">
        <v>3.8764546470000001</v>
      </c>
      <c r="Q63" s="4">
        <v>84.701999999999998</v>
      </c>
      <c r="R63" t="str" cm="1">
        <f t="array" ref="R63">_xlfn.IFS(B63="NY","New York",B63="TX","Texas",B63="CA","California")</f>
        <v>Texas</v>
      </c>
    </row>
    <row r="64" spans="1:18" x14ac:dyDescent="0.3">
      <c r="A64" t="s">
        <v>3</v>
      </c>
      <c r="B64" t="s">
        <v>8</v>
      </c>
      <c r="C64" s="2">
        <v>43337</v>
      </c>
      <c r="D64" s="11" t="s">
        <v>85</v>
      </c>
      <c r="E64" s="3">
        <f t="shared" ca="1" si="0"/>
        <v>131758157</v>
      </c>
      <c r="F64" t="s">
        <v>11</v>
      </c>
      <c r="G64" t="s">
        <v>14</v>
      </c>
      <c r="H64" s="1" t="s">
        <v>235</v>
      </c>
      <c r="I64" t="s">
        <v>20</v>
      </c>
      <c r="J64" s="4">
        <v>7.8</v>
      </c>
      <c r="K64" s="4">
        <v>47.66</v>
      </c>
      <c r="L64" s="4">
        <v>9</v>
      </c>
      <c r="M64" s="4">
        <v>35.200000000000003</v>
      </c>
      <c r="N64" s="4">
        <v>140.1095</v>
      </c>
      <c r="O64" s="4">
        <v>495.63</v>
      </c>
      <c r="P64" s="4">
        <v>3.8764546470000001</v>
      </c>
      <c r="Q64" s="4">
        <v>65.150000000000006</v>
      </c>
      <c r="R64" t="str" cm="1">
        <f t="array" ref="R64">_xlfn.IFS(B64="NY","New York",B64="TX","Texas",B64="CA","California")</f>
        <v>California</v>
      </c>
    </row>
    <row r="65" spans="1:18" x14ac:dyDescent="0.3">
      <c r="A65" t="s">
        <v>1</v>
      </c>
      <c r="B65" t="s">
        <v>6</v>
      </c>
      <c r="C65" s="2">
        <v>42965</v>
      </c>
      <c r="D65" s="11" t="s">
        <v>86</v>
      </c>
      <c r="E65" s="3">
        <f t="shared" ca="1" si="0"/>
        <v>138759118</v>
      </c>
      <c r="F65" t="s">
        <v>12</v>
      </c>
      <c r="G65" t="s">
        <v>14</v>
      </c>
      <c r="H65" s="1" t="s">
        <v>237</v>
      </c>
      <c r="I65" t="s">
        <v>20</v>
      </c>
      <c r="J65" s="4">
        <v>7</v>
      </c>
      <c r="K65" s="4">
        <v>63.17</v>
      </c>
      <c r="L65" s="4">
        <v>10</v>
      </c>
      <c r="M65" s="4">
        <v>88.66</v>
      </c>
      <c r="N65" s="4">
        <v>115.2321</v>
      </c>
      <c r="O65" s="4">
        <v>158.1</v>
      </c>
      <c r="P65" s="4">
        <v>3.8764546470000001</v>
      </c>
      <c r="Q65" s="4">
        <v>40.299999999999997</v>
      </c>
      <c r="R65" t="str" cm="1">
        <f t="array" ref="R65">_xlfn.IFS(B65="NY","New York",B65="TX","Texas",B65="CA","California")</f>
        <v>New York</v>
      </c>
    </row>
    <row r="66" spans="1:18" x14ac:dyDescent="0.3">
      <c r="A66" t="s">
        <v>3</v>
      </c>
      <c r="B66" t="s">
        <v>8</v>
      </c>
      <c r="C66" s="2">
        <v>43067</v>
      </c>
      <c r="D66" s="11" t="s">
        <v>87</v>
      </c>
      <c r="E66" s="3">
        <f t="shared" ca="1" si="0"/>
        <v>255775945</v>
      </c>
      <c r="F66" t="s">
        <v>11</v>
      </c>
      <c r="G66" t="s">
        <v>14</v>
      </c>
      <c r="H66" s="1" t="s">
        <v>236</v>
      </c>
      <c r="I66" t="s">
        <v>17</v>
      </c>
      <c r="J66" s="4">
        <v>8.9</v>
      </c>
      <c r="K66" s="4">
        <v>75.540000000000006</v>
      </c>
      <c r="L66" s="4">
        <v>4</v>
      </c>
      <c r="M66" s="4">
        <v>23.67</v>
      </c>
      <c r="N66" s="4">
        <v>108.9449</v>
      </c>
      <c r="O66" s="4">
        <v>302.95999999999998</v>
      </c>
      <c r="P66" s="4">
        <v>3.8764546470000001</v>
      </c>
      <c r="Q66" s="4">
        <v>25.63</v>
      </c>
      <c r="R66" t="str" cm="1">
        <f t="array" ref="R66">_xlfn.IFS(B66="NY","New York",B66="TX","Texas",B66="CA","California")</f>
        <v>California</v>
      </c>
    </row>
    <row r="67" spans="1:18" x14ac:dyDescent="0.3">
      <c r="A67" t="s">
        <v>1</v>
      </c>
      <c r="B67" t="s">
        <v>6</v>
      </c>
      <c r="C67" s="2">
        <v>43339</v>
      </c>
      <c r="D67" s="11" t="s">
        <v>88</v>
      </c>
      <c r="E67" s="3">
        <f t="shared" ref="E67:E130" ca="1" si="1">RANDBETWEEN(10000000,1000000000)</f>
        <v>712688944</v>
      </c>
      <c r="F67" t="s">
        <v>11</v>
      </c>
      <c r="G67" t="s">
        <v>14</v>
      </c>
      <c r="H67" s="1" t="s">
        <v>236</v>
      </c>
      <c r="I67" t="s">
        <v>17</v>
      </c>
      <c r="J67" s="4">
        <v>2.2000000000000002</v>
      </c>
      <c r="K67" s="4">
        <v>70.430000000000007</v>
      </c>
      <c r="L67" s="4">
        <v>10</v>
      </c>
      <c r="M67" s="4">
        <v>94.35</v>
      </c>
      <c r="N67" s="4">
        <v>137.7191</v>
      </c>
      <c r="O67" s="4">
        <v>158.69999999999999</v>
      </c>
      <c r="P67" s="4">
        <v>3.8764546470000001</v>
      </c>
      <c r="Q67" s="4">
        <v>67.2</v>
      </c>
      <c r="R67" t="str" cm="1">
        <f t="array" ref="R67">_xlfn.IFS(B67="NY","New York",B67="TX","Texas",B67="CA","California")</f>
        <v>New York</v>
      </c>
    </row>
    <row r="68" spans="1:18" x14ac:dyDescent="0.3">
      <c r="A68" t="s">
        <v>2</v>
      </c>
      <c r="B68" t="s">
        <v>7</v>
      </c>
      <c r="C68" s="2">
        <v>42850</v>
      </c>
      <c r="D68" s="11" t="s">
        <v>89</v>
      </c>
      <c r="E68" s="3">
        <f t="shared" ca="1" si="1"/>
        <v>652280702</v>
      </c>
      <c r="F68" t="s">
        <v>11</v>
      </c>
      <c r="G68" t="s">
        <v>15</v>
      </c>
      <c r="H68" s="1" t="s">
        <v>235</v>
      </c>
      <c r="I68" t="s">
        <v>17</v>
      </c>
      <c r="J68" s="4">
        <v>5.7</v>
      </c>
      <c r="K68" s="4">
        <v>22.61</v>
      </c>
      <c r="L68" s="4">
        <v>2</v>
      </c>
      <c r="M68" s="4">
        <v>66.16</v>
      </c>
      <c r="N68" s="4">
        <v>184.7593</v>
      </c>
      <c r="O68" s="4">
        <v>66.94</v>
      </c>
      <c r="P68" s="4">
        <v>3.8764546470000001</v>
      </c>
      <c r="Q68" s="4">
        <v>80.638999999999996</v>
      </c>
      <c r="R68" t="str" cm="1">
        <f t="array" ref="R68">_xlfn.IFS(B68="NY","New York",B68="TX","Texas",B68="CA","California")</f>
        <v>Texas</v>
      </c>
    </row>
    <row r="69" spans="1:18" x14ac:dyDescent="0.3">
      <c r="A69" t="s">
        <v>3</v>
      </c>
      <c r="B69" t="s">
        <v>8</v>
      </c>
      <c r="C69" s="2">
        <v>42826</v>
      </c>
      <c r="D69" s="11" t="s">
        <v>90</v>
      </c>
      <c r="E69" s="3">
        <f t="shared" ca="1" si="1"/>
        <v>675516908</v>
      </c>
      <c r="F69" t="s">
        <v>11</v>
      </c>
      <c r="G69" t="s">
        <v>14</v>
      </c>
      <c r="H69" s="1" t="s">
        <v>235</v>
      </c>
      <c r="I69" t="s">
        <v>22</v>
      </c>
      <c r="J69" s="4">
        <v>3.2</v>
      </c>
      <c r="K69" s="4">
        <v>62.6</v>
      </c>
      <c r="L69" s="4">
        <v>6</v>
      </c>
      <c r="M69" s="4">
        <v>31.18</v>
      </c>
      <c r="N69" s="4">
        <v>167.4752</v>
      </c>
      <c r="O69" s="4">
        <v>585.66</v>
      </c>
      <c r="P69" s="4">
        <v>3.8764546470000001</v>
      </c>
      <c r="Q69" s="4">
        <v>31.76</v>
      </c>
      <c r="R69" t="str" cm="1">
        <f t="array" ref="R69">_xlfn.IFS(B69="NY","New York",B69="TX","Texas",B69="CA","California")</f>
        <v>California</v>
      </c>
    </row>
    <row r="70" spans="1:18" x14ac:dyDescent="0.3">
      <c r="A70" t="s">
        <v>1</v>
      </c>
      <c r="B70" t="s">
        <v>6</v>
      </c>
      <c r="C70" s="2">
        <v>42869</v>
      </c>
      <c r="D70" s="11" t="s">
        <v>91</v>
      </c>
      <c r="E70" s="3">
        <f t="shared" ca="1" si="1"/>
        <v>780059246</v>
      </c>
      <c r="F70" t="s">
        <v>12</v>
      </c>
      <c r="G70" t="s">
        <v>15</v>
      </c>
      <c r="H70" s="1" t="s">
        <v>236</v>
      </c>
      <c r="I70" t="s">
        <v>20</v>
      </c>
      <c r="J70" s="4">
        <v>1.3</v>
      </c>
      <c r="K70" s="4">
        <v>41.65</v>
      </c>
      <c r="L70" s="4">
        <v>10</v>
      </c>
      <c r="M70" s="4">
        <v>86.94</v>
      </c>
      <c r="N70" s="4">
        <v>117.6182</v>
      </c>
      <c r="O70" s="4">
        <v>787.7</v>
      </c>
      <c r="P70" s="4">
        <v>3.8764546470000001</v>
      </c>
      <c r="Q70" s="4">
        <v>45.688000000000002</v>
      </c>
      <c r="R70" t="str" cm="1">
        <f t="array" ref="R70">_xlfn.IFS(B70="NY","New York",B70="TX","Texas",B70="CA","California")</f>
        <v>New York</v>
      </c>
    </row>
    <row r="71" spans="1:18" x14ac:dyDescent="0.3">
      <c r="A71" t="s">
        <v>1</v>
      </c>
      <c r="B71" t="s">
        <v>6</v>
      </c>
      <c r="C71" s="2">
        <v>43133</v>
      </c>
      <c r="D71" s="11" t="s">
        <v>92</v>
      </c>
      <c r="E71" s="3">
        <f t="shared" ca="1" si="1"/>
        <v>731353870</v>
      </c>
      <c r="F71" t="s">
        <v>11</v>
      </c>
      <c r="G71" t="s">
        <v>14</v>
      </c>
      <c r="H71" s="1" t="s">
        <v>236</v>
      </c>
      <c r="I71" t="s">
        <v>17</v>
      </c>
      <c r="J71" s="4">
        <v>6.1</v>
      </c>
      <c r="K71" s="4">
        <v>74.87</v>
      </c>
      <c r="L71" s="4">
        <v>1</v>
      </c>
      <c r="M71" s="4">
        <v>37.049999999999997</v>
      </c>
      <c r="N71" s="4">
        <v>159.7612</v>
      </c>
      <c r="O71" s="4">
        <v>18.329999999999998</v>
      </c>
      <c r="P71" s="4">
        <v>3.8764546470000001</v>
      </c>
      <c r="Q71" s="4">
        <v>50</v>
      </c>
      <c r="R71" t="str" cm="1">
        <f t="array" ref="R71">_xlfn.IFS(B71="NY","New York",B71="TX","Texas",B71="CA","California")</f>
        <v>New York</v>
      </c>
    </row>
    <row r="72" spans="1:18" x14ac:dyDescent="0.3">
      <c r="A72" t="s">
        <v>2</v>
      </c>
      <c r="B72" t="s">
        <v>7</v>
      </c>
      <c r="C72" s="2">
        <v>43087</v>
      </c>
      <c r="D72" s="11" t="s">
        <v>93</v>
      </c>
      <c r="E72" s="3">
        <f t="shared" ca="1" si="1"/>
        <v>295274674</v>
      </c>
      <c r="F72" t="s">
        <v>12</v>
      </c>
      <c r="G72" t="s">
        <v>15</v>
      </c>
      <c r="H72" s="1" t="s">
        <v>237</v>
      </c>
      <c r="I72" t="s">
        <v>21</v>
      </c>
      <c r="J72" s="4">
        <v>6</v>
      </c>
      <c r="K72" s="4">
        <v>94.17</v>
      </c>
      <c r="L72" s="4">
        <v>10</v>
      </c>
      <c r="M72" s="4">
        <v>47</v>
      </c>
      <c r="N72" s="4">
        <v>125.1067</v>
      </c>
      <c r="O72" s="4">
        <v>894.8</v>
      </c>
      <c r="P72" s="4">
        <v>3.8764546470000001</v>
      </c>
      <c r="Q72" s="4">
        <v>67.2</v>
      </c>
      <c r="R72" t="str" cm="1">
        <f t="array" ref="R72">_xlfn.IFS(B72="NY","New York",B72="TX","Texas",B72="CA","California")</f>
        <v>Texas</v>
      </c>
    </row>
    <row r="73" spans="1:18" x14ac:dyDescent="0.3">
      <c r="A73" t="s">
        <v>2</v>
      </c>
      <c r="B73" t="s">
        <v>7</v>
      </c>
      <c r="C73" s="2">
        <v>43122</v>
      </c>
      <c r="D73" s="11" t="s">
        <v>94</v>
      </c>
      <c r="E73" s="3">
        <f t="shared" ca="1" si="1"/>
        <v>234215497</v>
      </c>
      <c r="F73" t="s">
        <v>12</v>
      </c>
      <c r="G73" t="s">
        <v>15</v>
      </c>
      <c r="H73" s="1" t="s">
        <v>236</v>
      </c>
      <c r="I73" t="s">
        <v>22</v>
      </c>
      <c r="J73" s="4">
        <v>9.8000000000000007</v>
      </c>
      <c r="K73" s="4">
        <v>17.18</v>
      </c>
      <c r="L73" s="4">
        <v>10</v>
      </c>
      <c r="M73" s="4">
        <v>98.14</v>
      </c>
      <c r="N73" s="4">
        <v>157.8115</v>
      </c>
      <c r="O73" s="4">
        <v>621.20000000000005</v>
      </c>
      <c r="P73" s="4">
        <v>3.8764546470000001</v>
      </c>
      <c r="Q73" s="4">
        <v>61.89</v>
      </c>
      <c r="R73" t="str" cm="1">
        <f t="array" ref="R73">_xlfn.IFS(B73="NY","New York",B73="TX","Texas",B73="CA","California")</f>
        <v>Texas</v>
      </c>
    </row>
    <row r="74" spans="1:18" x14ac:dyDescent="0.3">
      <c r="A74" t="s">
        <v>3</v>
      </c>
      <c r="B74" t="s">
        <v>8</v>
      </c>
      <c r="C74" s="2">
        <v>43376</v>
      </c>
      <c r="D74" s="11" t="s">
        <v>95</v>
      </c>
      <c r="E74" s="3">
        <f t="shared" ca="1" si="1"/>
        <v>44199643</v>
      </c>
      <c r="F74" t="s">
        <v>11</v>
      </c>
      <c r="G74" t="s">
        <v>14</v>
      </c>
      <c r="H74" s="1" t="s">
        <v>235</v>
      </c>
      <c r="I74" t="s">
        <v>21</v>
      </c>
      <c r="J74" s="4">
        <v>2</v>
      </c>
      <c r="K74" s="4">
        <v>76.52</v>
      </c>
      <c r="L74" s="4">
        <v>3</v>
      </c>
      <c r="M74" s="4">
        <v>71.67</v>
      </c>
      <c r="N74" s="4">
        <v>121.0557</v>
      </c>
      <c r="O74" s="4">
        <v>145.56</v>
      </c>
      <c r="P74" s="4">
        <v>3.8764546470000001</v>
      </c>
      <c r="Q74" s="4">
        <v>89.88</v>
      </c>
      <c r="R74" t="str" cm="1">
        <f t="array" ref="R74">_xlfn.IFS(B74="NY","New York",B74="TX","Texas",B74="CA","California")</f>
        <v>California</v>
      </c>
    </row>
    <row r="75" spans="1:18" x14ac:dyDescent="0.3">
      <c r="A75" t="s">
        <v>2</v>
      </c>
      <c r="B75" t="s">
        <v>7</v>
      </c>
      <c r="C75" s="2">
        <v>42987</v>
      </c>
      <c r="D75" s="11" t="s">
        <v>51</v>
      </c>
      <c r="E75" s="3">
        <f t="shared" ca="1" si="1"/>
        <v>642092210</v>
      </c>
      <c r="F75" t="s">
        <v>11</v>
      </c>
      <c r="G75" t="s">
        <v>15</v>
      </c>
      <c r="H75" s="1" t="s">
        <v>236</v>
      </c>
      <c r="I75" t="s">
        <v>18</v>
      </c>
      <c r="J75" s="4">
        <v>4.5999999999999996</v>
      </c>
      <c r="K75" s="4">
        <v>58.5</v>
      </c>
      <c r="L75" s="4">
        <v>6</v>
      </c>
      <c r="M75" s="4">
        <v>93.11</v>
      </c>
      <c r="N75" s="4">
        <v>165.1121</v>
      </c>
      <c r="O75" s="4">
        <v>455.46</v>
      </c>
      <c r="P75" s="4">
        <v>3.8764546470000001</v>
      </c>
      <c r="Q75" s="4">
        <v>68.959999999999994</v>
      </c>
      <c r="R75" t="str" cm="1">
        <f t="array" ref="R75">_xlfn.IFS(B75="NY","New York",B75="TX","Texas",B75="CA","California")</f>
        <v>Texas</v>
      </c>
    </row>
    <row r="76" spans="1:18" x14ac:dyDescent="0.3">
      <c r="A76" t="s">
        <v>1</v>
      </c>
      <c r="B76" t="s">
        <v>6</v>
      </c>
      <c r="C76" s="2">
        <v>43053</v>
      </c>
      <c r="D76" s="11" t="s">
        <v>96</v>
      </c>
      <c r="E76" s="3">
        <f t="shared" ca="1" si="1"/>
        <v>732415582</v>
      </c>
      <c r="F76" t="s">
        <v>12</v>
      </c>
      <c r="G76" t="s">
        <v>15</v>
      </c>
      <c r="H76" s="1" t="s">
        <v>235</v>
      </c>
      <c r="I76" t="s">
        <v>19</v>
      </c>
      <c r="J76" s="4">
        <v>7.9</v>
      </c>
      <c r="K76" s="4">
        <v>22.26</v>
      </c>
      <c r="L76" s="4">
        <v>9</v>
      </c>
      <c r="M76" s="4">
        <v>36.1</v>
      </c>
      <c r="N76" s="4">
        <v>180.197</v>
      </c>
      <c r="O76" s="4">
        <v>672.03</v>
      </c>
      <c r="P76" s="4">
        <v>3.8764546470000001</v>
      </c>
      <c r="Q76" s="4">
        <v>34.06</v>
      </c>
      <c r="R76" t="str" cm="1">
        <f t="array" ref="R76">_xlfn.IFS(B76="NY","New York",B76="TX","Texas",B76="CA","California")</f>
        <v>New York</v>
      </c>
    </row>
    <row r="77" spans="1:18" x14ac:dyDescent="0.3">
      <c r="A77" t="s">
        <v>2</v>
      </c>
      <c r="B77" t="s">
        <v>7</v>
      </c>
      <c r="C77" s="2">
        <v>43195</v>
      </c>
      <c r="D77" s="11" t="s">
        <v>29</v>
      </c>
      <c r="E77" s="3">
        <f t="shared" ca="1" si="1"/>
        <v>480149680</v>
      </c>
      <c r="F77" t="s">
        <v>11</v>
      </c>
      <c r="G77" t="s">
        <v>15</v>
      </c>
      <c r="H77" s="1" t="s">
        <v>237</v>
      </c>
      <c r="I77" t="s">
        <v>18</v>
      </c>
      <c r="J77" s="4">
        <v>2.2000000000000002</v>
      </c>
      <c r="K77" s="4">
        <v>19.350000000000001</v>
      </c>
      <c r="L77" s="4">
        <v>10</v>
      </c>
      <c r="M77" s="4">
        <v>19.53</v>
      </c>
      <c r="N77" s="4">
        <v>183.96379999999999</v>
      </c>
      <c r="O77" s="4">
        <v>416.5</v>
      </c>
      <c r="P77" s="4">
        <v>3.8764546470000001</v>
      </c>
      <c r="Q77" s="4">
        <v>75.44</v>
      </c>
      <c r="R77" t="str" cm="1">
        <f t="array" ref="R77">_xlfn.IFS(B77="NY","New York",B77="TX","Texas",B77="CA","California")</f>
        <v>Texas</v>
      </c>
    </row>
    <row r="78" spans="1:18" x14ac:dyDescent="0.3">
      <c r="A78" t="s">
        <v>2</v>
      </c>
      <c r="B78" t="s">
        <v>7</v>
      </c>
      <c r="C78" s="2">
        <v>42957</v>
      </c>
      <c r="D78" s="11" t="s">
        <v>76</v>
      </c>
      <c r="E78" s="3">
        <f t="shared" ca="1" si="1"/>
        <v>622560655</v>
      </c>
      <c r="F78" t="s">
        <v>12</v>
      </c>
      <c r="G78" t="s">
        <v>14</v>
      </c>
      <c r="H78" s="1" t="s">
        <v>237</v>
      </c>
      <c r="I78" t="s">
        <v>22</v>
      </c>
      <c r="J78" s="4">
        <v>1.2</v>
      </c>
      <c r="K78" s="4">
        <v>59.89</v>
      </c>
      <c r="L78" s="4">
        <v>9</v>
      </c>
      <c r="M78" s="4">
        <v>50.64</v>
      </c>
      <c r="N78" s="4">
        <v>173.48869999999999</v>
      </c>
      <c r="O78" s="4">
        <v>441.36</v>
      </c>
      <c r="P78" s="4">
        <v>3.8764546470000001</v>
      </c>
      <c r="Q78" s="4">
        <v>78.92</v>
      </c>
      <c r="R78" t="str" cm="1">
        <f t="array" ref="R78">_xlfn.IFS(B78="NY","New York",B78="TX","Texas",B78="CA","California")</f>
        <v>Texas</v>
      </c>
    </row>
    <row r="79" spans="1:18" x14ac:dyDescent="0.3">
      <c r="A79" t="s">
        <v>1</v>
      </c>
      <c r="B79" t="s">
        <v>6</v>
      </c>
      <c r="C79" s="2">
        <v>42963</v>
      </c>
      <c r="D79" s="11" t="s">
        <v>97</v>
      </c>
      <c r="E79" s="3">
        <f t="shared" ca="1" si="1"/>
        <v>731603857</v>
      </c>
      <c r="F79" t="s">
        <v>11</v>
      </c>
      <c r="G79" t="s">
        <v>14</v>
      </c>
      <c r="H79" s="1" t="s">
        <v>237</v>
      </c>
      <c r="I79" t="s">
        <v>22</v>
      </c>
      <c r="J79" s="4">
        <v>5</v>
      </c>
      <c r="K79" s="4">
        <v>71.69</v>
      </c>
      <c r="L79" s="4">
        <v>9</v>
      </c>
      <c r="M79" s="4">
        <v>94.4</v>
      </c>
      <c r="N79" s="4">
        <v>121.3931</v>
      </c>
      <c r="O79" s="4">
        <v>180.09</v>
      </c>
      <c r="P79" s="4">
        <v>3.8764546470000001</v>
      </c>
      <c r="Q79" s="4">
        <v>42.000999999999998</v>
      </c>
      <c r="R79" t="str" cm="1">
        <f t="array" ref="R79">_xlfn.IFS(B79="NY","New York",B79="TX","Texas",B79="CA","California")</f>
        <v>New York</v>
      </c>
    </row>
    <row r="80" spans="1:18" x14ac:dyDescent="0.3">
      <c r="A80" t="s">
        <v>2</v>
      </c>
      <c r="B80" t="s">
        <v>7</v>
      </c>
      <c r="C80" s="2">
        <v>42848</v>
      </c>
      <c r="D80" s="11" t="s">
        <v>98</v>
      </c>
      <c r="E80" s="3">
        <f t="shared" ca="1" si="1"/>
        <v>216615949</v>
      </c>
      <c r="F80" t="s">
        <v>11</v>
      </c>
      <c r="G80" t="s">
        <v>14</v>
      </c>
      <c r="H80" s="1" t="s">
        <v>235</v>
      </c>
      <c r="I80" t="s">
        <v>21</v>
      </c>
      <c r="J80" s="4">
        <v>5.7</v>
      </c>
      <c r="K80" s="4">
        <v>15.67</v>
      </c>
      <c r="L80" s="4">
        <v>10</v>
      </c>
      <c r="M80" s="4">
        <v>69.739999999999995</v>
      </c>
      <c r="N80" s="4">
        <v>162.8897</v>
      </c>
      <c r="O80" s="4">
        <v>783.1</v>
      </c>
      <c r="P80" s="4">
        <v>3.8764546470000001</v>
      </c>
      <c r="Q80" s="4">
        <v>62.58</v>
      </c>
      <c r="R80" t="str" cm="1">
        <f t="array" ref="R80">_xlfn.IFS(B80="NY","New York",B80="TX","Texas",B80="CA","California")</f>
        <v>Texas</v>
      </c>
    </row>
    <row r="81" spans="1:18" x14ac:dyDescent="0.3">
      <c r="A81" t="s">
        <v>2</v>
      </c>
      <c r="B81" t="s">
        <v>7</v>
      </c>
      <c r="C81" s="2">
        <v>43269</v>
      </c>
      <c r="D81" s="11" t="s">
        <v>94</v>
      </c>
      <c r="E81" s="3">
        <f t="shared" ca="1" si="1"/>
        <v>52416375</v>
      </c>
      <c r="F81" t="s">
        <v>11</v>
      </c>
      <c r="G81" t="s">
        <v>14</v>
      </c>
      <c r="H81" s="1" t="s">
        <v>236</v>
      </c>
      <c r="I81" t="s">
        <v>17</v>
      </c>
      <c r="J81" s="4">
        <v>7.5</v>
      </c>
      <c r="K81" s="4">
        <v>78.89</v>
      </c>
      <c r="L81" s="4">
        <v>5</v>
      </c>
      <c r="M81" s="4">
        <v>15.6</v>
      </c>
      <c r="N81" s="4">
        <v>147.52860000000001</v>
      </c>
      <c r="O81" s="4">
        <v>101.9</v>
      </c>
      <c r="P81" s="4">
        <v>3.8764546470000001</v>
      </c>
      <c r="Q81" s="4">
        <v>97.805000000000007</v>
      </c>
      <c r="R81" t="str" cm="1">
        <f t="array" ref="R81">_xlfn.IFS(B81="NY","New York",B81="TX","Texas",B81="CA","California")</f>
        <v>Texas</v>
      </c>
    </row>
    <row r="82" spans="1:18" x14ac:dyDescent="0.3">
      <c r="A82" t="s">
        <v>2</v>
      </c>
      <c r="B82" t="s">
        <v>7</v>
      </c>
      <c r="C82" s="2">
        <v>43422</v>
      </c>
      <c r="D82" s="11" t="s">
        <v>45</v>
      </c>
      <c r="E82" s="3">
        <f t="shared" ca="1" si="1"/>
        <v>133513166</v>
      </c>
      <c r="F82" t="s">
        <v>11</v>
      </c>
      <c r="G82" t="s">
        <v>14</v>
      </c>
      <c r="H82" s="1" t="s">
        <v>237</v>
      </c>
      <c r="I82" t="s">
        <v>17</v>
      </c>
      <c r="J82" s="4">
        <v>4.4000000000000004</v>
      </c>
      <c r="K82" s="4">
        <v>53.28</v>
      </c>
      <c r="L82" s="4">
        <v>6</v>
      </c>
      <c r="M82" s="4">
        <v>82.86</v>
      </c>
      <c r="N82" s="4">
        <v>119.4041</v>
      </c>
      <c r="O82" s="4">
        <v>595.14</v>
      </c>
      <c r="P82" s="4">
        <v>3.8764546470000001</v>
      </c>
      <c r="Q82" s="4">
        <v>17.315000000000001</v>
      </c>
      <c r="R82" t="str" cm="1">
        <f t="array" ref="R82">_xlfn.IFS(B82="NY","New York",B82="TX","Texas",B82="CA","California")</f>
        <v>Texas</v>
      </c>
    </row>
    <row r="83" spans="1:18" x14ac:dyDescent="0.3">
      <c r="A83" t="s">
        <v>3</v>
      </c>
      <c r="B83" t="s">
        <v>8</v>
      </c>
      <c r="C83" s="2">
        <v>43434</v>
      </c>
      <c r="D83" s="11" t="s">
        <v>99</v>
      </c>
      <c r="E83" s="3">
        <f t="shared" ca="1" si="1"/>
        <v>227299365</v>
      </c>
      <c r="F83" t="s">
        <v>11</v>
      </c>
      <c r="G83" t="s">
        <v>14</v>
      </c>
      <c r="H83" s="1" t="s">
        <v>235</v>
      </c>
      <c r="I83" t="s">
        <v>21</v>
      </c>
      <c r="J83" s="4">
        <v>4</v>
      </c>
      <c r="K83" s="4">
        <v>50.96</v>
      </c>
      <c r="L83" s="4">
        <v>3</v>
      </c>
      <c r="M83" s="4">
        <v>65.739999999999995</v>
      </c>
      <c r="N83" s="4">
        <v>124.9208</v>
      </c>
      <c r="O83" s="4">
        <v>290.04000000000002</v>
      </c>
      <c r="P83" s="4">
        <v>3.8764546470000001</v>
      </c>
      <c r="Q83" s="4">
        <v>38.24</v>
      </c>
      <c r="R83" t="str" cm="1">
        <f t="array" ref="R83">_xlfn.IFS(B83="NY","New York",B83="TX","Texas",B83="CA","California")</f>
        <v>California</v>
      </c>
    </row>
    <row r="84" spans="1:18" x14ac:dyDescent="0.3">
      <c r="A84" t="s">
        <v>2</v>
      </c>
      <c r="B84" t="s">
        <v>7</v>
      </c>
      <c r="C84" s="2">
        <v>42795</v>
      </c>
      <c r="D84" s="11" t="s">
        <v>100</v>
      </c>
      <c r="E84" s="3">
        <f t="shared" ca="1" si="1"/>
        <v>583242994</v>
      </c>
      <c r="F84" t="s">
        <v>12</v>
      </c>
      <c r="G84" t="s">
        <v>15</v>
      </c>
      <c r="H84" s="1" t="s">
        <v>235</v>
      </c>
      <c r="I84" t="s">
        <v>21</v>
      </c>
      <c r="J84" s="4">
        <v>4</v>
      </c>
      <c r="K84" s="4">
        <v>85.61</v>
      </c>
      <c r="L84" s="4">
        <v>8</v>
      </c>
      <c r="M84" s="4">
        <v>56.9</v>
      </c>
      <c r="N84" s="4">
        <v>161.26439999999999</v>
      </c>
      <c r="O84" s="4">
        <v>154</v>
      </c>
      <c r="P84" s="4">
        <v>3.8764546470000001</v>
      </c>
      <c r="Q84" s="4">
        <v>65.459999999999994</v>
      </c>
      <c r="R84" t="str" cm="1">
        <f t="array" ref="R84">_xlfn.IFS(B84="NY","New York",B84="TX","Texas",B84="CA","California")</f>
        <v>Texas</v>
      </c>
    </row>
    <row r="85" spans="1:18" x14ac:dyDescent="0.3">
      <c r="A85" t="s">
        <v>2</v>
      </c>
      <c r="B85" t="s">
        <v>7</v>
      </c>
      <c r="C85" s="2">
        <v>42842</v>
      </c>
      <c r="D85" s="11" t="s">
        <v>101</v>
      </c>
      <c r="E85" s="3">
        <f t="shared" ca="1" si="1"/>
        <v>151283417</v>
      </c>
      <c r="F85" t="s">
        <v>11</v>
      </c>
      <c r="G85" t="s">
        <v>14</v>
      </c>
      <c r="H85" s="1" t="s">
        <v>237</v>
      </c>
      <c r="I85" t="s">
        <v>21</v>
      </c>
      <c r="J85" s="4">
        <v>5</v>
      </c>
      <c r="K85" s="4">
        <v>63.72</v>
      </c>
      <c r="L85" s="4">
        <v>4</v>
      </c>
      <c r="M85" s="4">
        <v>81.849999999999994</v>
      </c>
      <c r="N85" s="4">
        <v>141.80690000000001</v>
      </c>
      <c r="O85" s="4">
        <v>321.44</v>
      </c>
      <c r="P85" s="4">
        <v>3.8764546470000001</v>
      </c>
      <c r="Q85" s="4">
        <v>33.590000000000003</v>
      </c>
      <c r="R85" t="str" cm="1">
        <f t="array" ref="R85">_xlfn.IFS(B85="NY","New York",B85="TX","Texas",B85="CA","California")</f>
        <v>Texas</v>
      </c>
    </row>
    <row r="86" spans="1:18" x14ac:dyDescent="0.3">
      <c r="A86" t="s">
        <v>2</v>
      </c>
      <c r="B86" t="s">
        <v>7</v>
      </c>
      <c r="C86" s="2">
        <v>43245</v>
      </c>
      <c r="D86" s="11" t="s">
        <v>94</v>
      </c>
      <c r="E86" s="3">
        <f t="shared" ca="1" si="1"/>
        <v>14742838</v>
      </c>
      <c r="F86" t="s">
        <v>12</v>
      </c>
      <c r="G86" t="s">
        <v>14</v>
      </c>
      <c r="H86" s="1" t="s">
        <v>236</v>
      </c>
      <c r="I86" t="s">
        <v>20</v>
      </c>
      <c r="J86" s="4">
        <v>8</v>
      </c>
      <c r="K86" s="4">
        <v>23.35</v>
      </c>
      <c r="L86" s="4">
        <v>5</v>
      </c>
      <c r="M86" s="4">
        <v>74.5</v>
      </c>
      <c r="N86" s="4">
        <v>107.38809999999999</v>
      </c>
      <c r="O86" s="4">
        <v>244.55</v>
      </c>
      <c r="P86" s="4">
        <v>3.8764546470000001</v>
      </c>
      <c r="Q86" s="4">
        <v>28.63</v>
      </c>
      <c r="R86" t="str" cm="1">
        <f t="array" ref="R86">_xlfn.IFS(B86="NY","New York",B86="TX","Texas",B86="CA","California")</f>
        <v>Texas</v>
      </c>
    </row>
    <row r="87" spans="1:18" x14ac:dyDescent="0.3">
      <c r="A87" t="s">
        <v>2</v>
      </c>
      <c r="B87" t="s">
        <v>7</v>
      </c>
      <c r="C87" s="2">
        <v>42983</v>
      </c>
      <c r="D87" s="11" t="s">
        <v>84</v>
      </c>
      <c r="E87" s="3">
        <f t="shared" ca="1" si="1"/>
        <v>330841397</v>
      </c>
      <c r="F87" t="s">
        <v>11</v>
      </c>
      <c r="G87" t="s">
        <v>15</v>
      </c>
      <c r="H87" s="1" t="s">
        <v>235</v>
      </c>
      <c r="I87" t="s">
        <v>20</v>
      </c>
      <c r="J87" s="4">
        <v>2</v>
      </c>
      <c r="K87" s="4">
        <v>30.87</v>
      </c>
      <c r="L87" s="4">
        <v>7</v>
      </c>
      <c r="M87" s="4">
        <v>54.8</v>
      </c>
      <c r="N87" s="4">
        <v>166.02850000000001</v>
      </c>
      <c r="O87" s="4">
        <v>581.41999999999996</v>
      </c>
      <c r="P87" s="4">
        <v>3.8764546470000001</v>
      </c>
      <c r="Q87" s="4">
        <v>19.658999999999999</v>
      </c>
      <c r="R87" t="str" cm="1">
        <f t="array" ref="R87">_xlfn.IFS(B87="NY","New York",B87="TX","Texas",B87="CA","California")</f>
        <v>Texas</v>
      </c>
    </row>
    <row r="88" spans="1:18" x14ac:dyDescent="0.3">
      <c r="A88" t="s">
        <v>2</v>
      </c>
      <c r="B88" t="s">
        <v>7</v>
      </c>
      <c r="C88" s="2">
        <v>43238</v>
      </c>
      <c r="D88" s="11" t="s">
        <v>102</v>
      </c>
      <c r="E88" s="3">
        <f t="shared" ca="1" si="1"/>
        <v>340000074</v>
      </c>
      <c r="F88" t="s">
        <v>12</v>
      </c>
      <c r="G88" t="s">
        <v>15</v>
      </c>
      <c r="H88" s="1" t="s">
        <v>236</v>
      </c>
      <c r="I88" t="s">
        <v>22</v>
      </c>
      <c r="J88" s="4">
        <v>2.1</v>
      </c>
      <c r="K88" s="4">
        <v>11.24</v>
      </c>
      <c r="L88" s="4">
        <v>5</v>
      </c>
      <c r="M88" s="4">
        <v>43.57</v>
      </c>
      <c r="N88" s="4">
        <v>106.3719</v>
      </c>
      <c r="O88" s="4">
        <v>382.6</v>
      </c>
      <c r="P88" s="4">
        <v>3.8764546470000001</v>
      </c>
      <c r="Q88" s="4">
        <v>64.885999999999996</v>
      </c>
      <c r="R88" t="str" cm="1">
        <f t="array" ref="R88">_xlfn.IFS(B88="NY","New York",B88="TX","Texas",B88="CA","California")</f>
        <v>Texas</v>
      </c>
    </row>
    <row r="89" spans="1:18" x14ac:dyDescent="0.3">
      <c r="A89" t="s">
        <v>1</v>
      </c>
      <c r="B89" t="s">
        <v>6</v>
      </c>
      <c r="C89" s="2">
        <v>42820</v>
      </c>
      <c r="D89" s="11" t="s">
        <v>103</v>
      </c>
      <c r="E89" s="3">
        <f t="shared" ca="1" si="1"/>
        <v>251392274</v>
      </c>
      <c r="F89" t="s">
        <v>12</v>
      </c>
      <c r="G89" t="s">
        <v>14</v>
      </c>
      <c r="H89" s="1" t="s">
        <v>237</v>
      </c>
      <c r="I89" t="s">
        <v>21</v>
      </c>
      <c r="J89" s="4">
        <v>9.6</v>
      </c>
      <c r="K89" s="4">
        <v>23.4</v>
      </c>
      <c r="L89" s="4">
        <v>7</v>
      </c>
      <c r="M89" s="4">
        <v>89.24</v>
      </c>
      <c r="N89" s="4">
        <v>144.83320000000001</v>
      </c>
      <c r="O89" s="4">
        <v>345.66</v>
      </c>
      <c r="P89" s="4">
        <v>3.8764546470000001</v>
      </c>
      <c r="Q89" s="4">
        <v>17.184000000000001</v>
      </c>
      <c r="R89" t="str" cm="1">
        <f t="array" ref="R89">_xlfn.IFS(B89="NY","New York",B89="TX","Texas",B89="CA","California")</f>
        <v>New York</v>
      </c>
    </row>
    <row r="90" spans="1:18" x14ac:dyDescent="0.3">
      <c r="A90" t="s">
        <v>1</v>
      </c>
      <c r="B90" t="s">
        <v>6</v>
      </c>
      <c r="C90" s="2">
        <v>43273</v>
      </c>
      <c r="D90" s="11" t="s">
        <v>104</v>
      </c>
      <c r="E90" s="3">
        <f t="shared" ca="1" si="1"/>
        <v>910946328</v>
      </c>
      <c r="F90" t="s">
        <v>12</v>
      </c>
      <c r="G90" t="s">
        <v>15</v>
      </c>
      <c r="H90" s="1" t="s">
        <v>236</v>
      </c>
      <c r="I90" t="s">
        <v>20</v>
      </c>
      <c r="J90" s="4">
        <v>6.5</v>
      </c>
      <c r="K90" s="4">
        <v>44.7</v>
      </c>
      <c r="L90" s="4">
        <v>1</v>
      </c>
      <c r="M90" s="4">
        <v>29.42</v>
      </c>
      <c r="N90" s="4">
        <v>128.33250000000001</v>
      </c>
      <c r="O90" s="4">
        <v>42.47</v>
      </c>
      <c r="P90" s="4">
        <v>3.8764546470000001</v>
      </c>
      <c r="Q90" s="4">
        <v>63.69</v>
      </c>
      <c r="R90" t="str" cm="1">
        <f t="array" ref="R90">_xlfn.IFS(B90="NY","New York",B90="TX","Texas",B90="CA","California")</f>
        <v>New York</v>
      </c>
    </row>
    <row r="91" spans="1:18" x14ac:dyDescent="0.3">
      <c r="A91" t="s">
        <v>3</v>
      </c>
      <c r="B91" t="s">
        <v>8</v>
      </c>
      <c r="C91" s="2">
        <v>42846</v>
      </c>
      <c r="D91" s="11" t="s">
        <v>74</v>
      </c>
      <c r="E91" s="3">
        <f t="shared" ca="1" si="1"/>
        <v>628120006</v>
      </c>
      <c r="F91" t="s">
        <v>11</v>
      </c>
      <c r="G91" t="s">
        <v>15</v>
      </c>
      <c r="H91" s="1" t="s">
        <v>236</v>
      </c>
      <c r="I91" t="s">
        <v>17</v>
      </c>
      <c r="J91" s="4">
        <v>1.8</v>
      </c>
      <c r="K91" s="4">
        <v>35.79</v>
      </c>
      <c r="L91" s="4">
        <v>6</v>
      </c>
      <c r="M91" s="4">
        <v>11</v>
      </c>
      <c r="N91" s="4">
        <v>152.2893</v>
      </c>
      <c r="O91" s="4">
        <v>461.94</v>
      </c>
      <c r="P91" s="4">
        <v>3.8764546470000001</v>
      </c>
      <c r="Q91" s="4">
        <v>37.091000000000001</v>
      </c>
      <c r="R91" t="str" cm="1">
        <f t="array" ref="R91">_xlfn.IFS(B91="NY","New York",B91="TX","Texas",B91="CA","California")</f>
        <v>California</v>
      </c>
    </row>
    <row r="92" spans="1:18" x14ac:dyDescent="0.3">
      <c r="A92" t="s">
        <v>2</v>
      </c>
      <c r="B92" t="s">
        <v>7</v>
      </c>
      <c r="C92" s="2">
        <v>42970</v>
      </c>
      <c r="D92" s="11" t="s">
        <v>105</v>
      </c>
      <c r="E92" s="3">
        <f t="shared" ca="1" si="1"/>
        <v>866025901</v>
      </c>
      <c r="F92" t="s">
        <v>11</v>
      </c>
      <c r="G92" t="s">
        <v>14</v>
      </c>
      <c r="H92" s="1" t="s">
        <v>236</v>
      </c>
      <c r="I92" t="s">
        <v>19</v>
      </c>
      <c r="J92" s="4">
        <v>6.6</v>
      </c>
      <c r="K92" s="4">
        <v>15.88</v>
      </c>
      <c r="L92" s="4">
        <v>4</v>
      </c>
      <c r="M92" s="4">
        <v>67.5</v>
      </c>
      <c r="N92" s="4">
        <v>109.883</v>
      </c>
      <c r="O92" s="4">
        <v>189.52</v>
      </c>
      <c r="P92" s="4">
        <v>3.8764546470000001</v>
      </c>
      <c r="Q92" s="4">
        <v>26.184999999999999</v>
      </c>
      <c r="R92" t="str" cm="1">
        <f t="array" ref="R92">_xlfn.IFS(B92="NY","New York",B92="TX","Texas",B92="CA","California")</f>
        <v>Texas</v>
      </c>
    </row>
    <row r="93" spans="1:18" x14ac:dyDescent="0.3">
      <c r="A93" t="s">
        <v>2</v>
      </c>
      <c r="B93" t="s">
        <v>7</v>
      </c>
      <c r="C93" s="2">
        <v>43130</v>
      </c>
      <c r="D93" s="11" t="s">
        <v>106</v>
      </c>
      <c r="E93" s="3">
        <f t="shared" ca="1" si="1"/>
        <v>53892300</v>
      </c>
      <c r="F93" t="s">
        <v>11</v>
      </c>
      <c r="G93" t="s">
        <v>15</v>
      </c>
      <c r="H93" s="1" t="s">
        <v>235</v>
      </c>
      <c r="I93" t="s">
        <v>20</v>
      </c>
      <c r="J93" s="4">
        <v>2.4</v>
      </c>
      <c r="K93" s="4">
        <v>76.900000000000006</v>
      </c>
      <c r="L93" s="4">
        <v>10</v>
      </c>
      <c r="M93" s="4">
        <v>84.84</v>
      </c>
      <c r="N93" s="4">
        <v>149.19120000000001</v>
      </c>
      <c r="O93" s="4">
        <v>448.6</v>
      </c>
      <c r="P93" s="4">
        <v>3.8764546470000001</v>
      </c>
      <c r="Q93" s="4">
        <v>78.05</v>
      </c>
      <c r="R93" t="str" cm="1">
        <f t="array" ref="R93">_xlfn.IFS(B93="NY","New York",B93="TX","Texas",B93="CA","California")</f>
        <v>Texas</v>
      </c>
    </row>
    <row r="94" spans="1:18" x14ac:dyDescent="0.3">
      <c r="A94" t="s">
        <v>1</v>
      </c>
      <c r="B94" t="s">
        <v>6</v>
      </c>
      <c r="C94" s="2">
        <v>42795</v>
      </c>
      <c r="D94" s="11" t="s">
        <v>107</v>
      </c>
      <c r="E94" s="3">
        <f t="shared" ca="1" si="1"/>
        <v>183790369</v>
      </c>
      <c r="F94" t="s">
        <v>11</v>
      </c>
      <c r="G94" t="s">
        <v>14</v>
      </c>
      <c r="H94" s="1" t="s">
        <v>235</v>
      </c>
      <c r="I94" t="s">
        <v>20</v>
      </c>
      <c r="J94" s="4">
        <v>2</v>
      </c>
      <c r="K94" s="4">
        <v>94.12</v>
      </c>
      <c r="L94" s="4">
        <v>7</v>
      </c>
      <c r="M94" s="4">
        <v>89.65</v>
      </c>
      <c r="N94" s="4">
        <v>135.18790000000001</v>
      </c>
      <c r="O94" s="4">
        <v>153.86000000000001</v>
      </c>
      <c r="P94" s="4">
        <v>3.8764546470000001</v>
      </c>
      <c r="Q94" s="4">
        <v>82.14</v>
      </c>
      <c r="R94" t="str" cm="1">
        <f t="array" ref="R94">_xlfn.IFS(B94="NY","New York",B94="TX","Texas",B94="CA","California")</f>
        <v>New York</v>
      </c>
    </row>
    <row r="95" spans="1:18" x14ac:dyDescent="0.3">
      <c r="A95" t="s">
        <v>3</v>
      </c>
      <c r="B95" t="s">
        <v>8</v>
      </c>
      <c r="C95" s="2">
        <v>42986</v>
      </c>
      <c r="D95" s="11" t="s">
        <v>108</v>
      </c>
      <c r="E95" s="3">
        <f t="shared" ca="1" si="1"/>
        <v>767596469</v>
      </c>
      <c r="F95" t="s">
        <v>12</v>
      </c>
      <c r="G95" t="s">
        <v>14</v>
      </c>
      <c r="H95" s="1" t="s">
        <v>237</v>
      </c>
      <c r="I95" t="s">
        <v>17</v>
      </c>
      <c r="J95" s="4">
        <v>2</v>
      </c>
      <c r="K95" s="4">
        <v>44.43</v>
      </c>
      <c r="L95" s="4">
        <v>9</v>
      </c>
      <c r="M95" s="4">
        <v>67.239999999999995</v>
      </c>
      <c r="N95" s="4">
        <v>157.30840000000001</v>
      </c>
      <c r="O95" s="4">
        <v>579.24</v>
      </c>
      <c r="P95" s="4">
        <v>3.8764546470000001</v>
      </c>
      <c r="Q95" s="4">
        <v>88.94</v>
      </c>
      <c r="R95" t="str" cm="1">
        <f t="array" ref="R95">_xlfn.IFS(B95="NY","New York",B95="TX","Texas",B95="CA","California")</f>
        <v>California</v>
      </c>
    </row>
    <row r="96" spans="1:18" x14ac:dyDescent="0.3">
      <c r="A96" t="s">
        <v>2</v>
      </c>
      <c r="B96" t="s">
        <v>7</v>
      </c>
      <c r="C96" s="2">
        <v>42825</v>
      </c>
      <c r="D96" s="11" t="s">
        <v>109</v>
      </c>
      <c r="E96" s="3">
        <f t="shared" ca="1" si="1"/>
        <v>89027151</v>
      </c>
      <c r="F96" t="s">
        <v>12</v>
      </c>
      <c r="G96" t="s">
        <v>15</v>
      </c>
      <c r="H96" s="1" t="s">
        <v>237</v>
      </c>
      <c r="I96" t="s">
        <v>17</v>
      </c>
      <c r="J96" s="4">
        <v>2</v>
      </c>
      <c r="K96" s="4">
        <v>21.55</v>
      </c>
      <c r="L96" s="4">
        <v>1</v>
      </c>
      <c r="M96" s="4">
        <v>82.58</v>
      </c>
      <c r="N96" s="4">
        <v>174.2825</v>
      </c>
      <c r="O96" s="4">
        <v>89.75</v>
      </c>
      <c r="P96" s="4">
        <v>3.8764546470000001</v>
      </c>
      <c r="Q96" s="4">
        <v>38.770000000000003</v>
      </c>
      <c r="R96" t="str" cm="1">
        <f t="array" ref="R96">_xlfn.IFS(B96="NY","New York",B96="TX","Texas",B96="CA","California")</f>
        <v>Texas</v>
      </c>
    </row>
    <row r="97" spans="1:18" x14ac:dyDescent="0.3">
      <c r="A97" t="s">
        <v>1</v>
      </c>
      <c r="B97" t="s">
        <v>6</v>
      </c>
      <c r="C97" s="2">
        <v>42840</v>
      </c>
      <c r="D97" s="11" t="s">
        <v>110</v>
      </c>
      <c r="E97" s="3">
        <f t="shared" ca="1" si="1"/>
        <v>661064955</v>
      </c>
      <c r="F97" t="s">
        <v>12</v>
      </c>
      <c r="G97" t="s">
        <v>15</v>
      </c>
      <c r="H97" s="1" t="s">
        <v>235</v>
      </c>
      <c r="I97" t="s">
        <v>18</v>
      </c>
      <c r="J97" s="4">
        <v>8</v>
      </c>
      <c r="K97" s="4">
        <v>66.209999999999994</v>
      </c>
      <c r="L97" s="4">
        <v>1</v>
      </c>
      <c r="M97" s="4">
        <v>35.75</v>
      </c>
      <c r="N97" s="4">
        <v>117.1014</v>
      </c>
      <c r="O97" s="4">
        <v>97.16</v>
      </c>
      <c r="P97" s="4">
        <v>3.8764546470000001</v>
      </c>
      <c r="Q97" s="4">
        <v>42.13</v>
      </c>
      <c r="R97" t="str" cm="1">
        <f t="array" ref="R97">_xlfn.IFS(B97="NY","New York",B97="TX","Texas",B97="CA","California")</f>
        <v>New York</v>
      </c>
    </row>
    <row r="98" spans="1:18" x14ac:dyDescent="0.3">
      <c r="A98" t="s">
        <v>3</v>
      </c>
      <c r="B98" t="s">
        <v>8</v>
      </c>
      <c r="C98" s="2">
        <v>42963</v>
      </c>
      <c r="D98" s="11" t="s">
        <v>84</v>
      </c>
      <c r="E98" s="3">
        <f t="shared" ca="1" si="1"/>
        <v>55795787</v>
      </c>
      <c r="F98" t="s">
        <v>12</v>
      </c>
      <c r="G98" t="s">
        <v>15</v>
      </c>
      <c r="H98" s="1" t="s">
        <v>235</v>
      </c>
      <c r="I98" t="s">
        <v>17</v>
      </c>
      <c r="J98" s="4">
        <v>5.6</v>
      </c>
      <c r="K98" s="4">
        <v>24.23</v>
      </c>
      <c r="L98" s="4">
        <v>10</v>
      </c>
      <c r="M98" s="4">
        <v>39.47</v>
      </c>
      <c r="N98" s="4">
        <v>136.31469999999999</v>
      </c>
      <c r="O98" s="4">
        <v>878.7</v>
      </c>
      <c r="P98" s="4">
        <v>3.8764546470000001</v>
      </c>
      <c r="Q98" s="4">
        <v>73.16</v>
      </c>
      <c r="R98" t="str" cm="1">
        <f t="array" ref="R98">_xlfn.IFS(B98="NY","New York",B98="TX","Texas",B98="CA","California")</f>
        <v>California</v>
      </c>
    </row>
    <row r="99" spans="1:18" x14ac:dyDescent="0.3">
      <c r="A99" t="s">
        <v>4</v>
      </c>
      <c r="B99" t="s">
        <v>7</v>
      </c>
      <c r="C99" s="2">
        <v>42801</v>
      </c>
      <c r="D99" s="11" t="s">
        <v>52</v>
      </c>
      <c r="E99" s="3">
        <f t="shared" ca="1" si="1"/>
        <v>845618250</v>
      </c>
      <c r="F99" t="s">
        <v>11</v>
      </c>
      <c r="G99" t="s">
        <v>15</v>
      </c>
      <c r="H99" s="1" t="s">
        <v>236</v>
      </c>
      <c r="I99" t="s">
        <v>18</v>
      </c>
      <c r="J99" s="4">
        <v>6.5</v>
      </c>
      <c r="K99" s="4">
        <v>33.69</v>
      </c>
      <c r="L99" s="4">
        <v>6</v>
      </c>
      <c r="M99" s="4">
        <v>17.260000000000002</v>
      </c>
      <c r="N99" s="4">
        <v>145.25299999999999</v>
      </c>
      <c r="O99" s="4">
        <v>74.7</v>
      </c>
      <c r="P99" s="4">
        <v>3.8764546470000001</v>
      </c>
      <c r="Q99" s="4">
        <v>52.04</v>
      </c>
      <c r="R99" t="str" cm="1">
        <f t="array" ref="R99">_xlfn.IFS(B99="NY","New York",B99="TX","Texas",B99="CA","California")</f>
        <v>Texas</v>
      </c>
    </row>
    <row r="100" spans="1:18" x14ac:dyDescent="0.3">
      <c r="A100" t="s">
        <v>1</v>
      </c>
      <c r="B100" t="s">
        <v>6</v>
      </c>
      <c r="C100" s="2">
        <v>43400</v>
      </c>
      <c r="D100" s="11" t="s">
        <v>111</v>
      </c>
      <c r="E100" s="3">
        <f t="shared" ca="1" si="1"/>
        <v>612689584</v>
      </c>
      <c r="F100" t="s">
        <v>12</v>
      </c>
      <c r="G100" t="s">
        <v>15</v>
      </c>
      <c r="H100" s="1" t="s">
        <v>235</v>
      </c>
      <c r="I100" t="s">
        <v>21</v>
      </c>
      <c r="J100" s="4">
        <v>8</v>
      </c>
      <c r="K100" s="4">
        <v>20.36</v>
      </c>
      <c r="L100" s="4">
        <v>3</v>
      </c>
      <c r="M100" s="4">
        <v>35.29</v>
      </c>
      <c r="N100" s="4">
        <v>185.75360000000001</v>
      </c>
      <c r="O100" s="4">
        <v>158.25</v>
      </c>
      <c r="P100" s="4">
        <v>3.8764546470000001</v>
      </c>
      <c r="Q100" s="4">
        <v>40.14</v>
      </c>
      <c r="R100" t="str" cm="1">
        <f t="array" ref="R100">_xlfn.IFS(B100="NY","New York",B100="TX","Texas",B100="CA","California")</f>
        <v>New York</v>
      </c>
    </row>
    <row r="101" spans="1:18" x14ac:dyDescent="0.3">
      <c r="A101" t="s">
        <v>3</v>
      </c>
      <c r="B101" t="s">
        <v>8</v>
      </c>
      <c r="C101" s="2">
        <v>43234</v>
      </c>
      <c r="D101" s="11" t="s">
        <v>96</v>
      </c>
      <c r="E101" s="3">
        <f t="shared" ca="1" si="1"/>
        <v>243856634</v>
      </c>
      <c r="F101" t="s">
        <v>12</v>
      </c>
      <c r="G101" t="s">
        <v>15</v>
      </c>
      <c r="H101" s="1" t="s">
        <v>236</v>
      </c>
      <c r="I101" t="s">
        <v>19</v>
      </c>
      <c r="J101" s="4">
        <v>4.7</v>
      </c>
      <c r="K101" s="4">
        <v>39.549999999999997</v>
      </c>
      <c r="L101" s="4">
        <v>6</v>
      </c>
      <c r="M101" s="4">
        <v>32.67</v>
      </c>
      <c r="N101" s="4">
        <v>117.60769999999999</v>
      </c>
      <c r="O101" s="4">
        <v>496.2</v>
      </c>
      <c r="P101" s="4">
        <v>3.8764546470000001</v>
      </c>
      <c r="Q101" s="4">
        <v>44.79</v>
      </c>
      <c r="R101" t="str" cm="1">
        <f t="array" ref="R101">_xlfn.IFS(B101="NY","New York",B101="TX","Texas",B101="CA","California")</f>
        <v>California</v>
      </c>
    </row>
    <row r="102" spans="1:18" x14ac:dyDescent="0.3">
      <c r="A102" t="s">
        <v>2</v>
      </c>
      <c r="B102" t="s">
        <v>7</v>
      </c>
      <c r="C102" s="2">
        <v>42996</v>
      </c>
      <c r="D102" s="11" t="s">
        <v>112</v>
      </c>
      <c r="E102" s="3">
        <f t="shared" ca="1" si="1"/>
        <v>142029885</v>
      </c>
      <c r="F102" t="s">
        <v>12</v>
      </c>
      <c r="G102" t="s">
        <v>14</v>
      </c>
      <c r="H102" s="1" t="s">
        <v>236</v>
      </c>
      <c r="I102" t="s">
        <v>22</v>
      </c>
      <c r="J102" s="4">
        <v>3.2</v>
      </c>
      <c r="K102" s="4">
        <v>61.74</v>
      </c>
      <c r="L102" s="4">
        <v>1</v>
      </c>
      <c r="M102" s="4">
        <v>13.25</v>
      </c>
      <c r="N102" s="4">
        <v>184.7808</v>
      </c>
      <c r="O102" s="4">
        <v>48.71</v>
      </c>
      <c r="P102" s="4">
        <v>3.8764546470000001</v>
      </c>
      <c r="Q102" s="4">
        <v>35.14</v>
      </c>
      <c r="R102" t="str" cm="1">
        <f t="array" ref="R102">_xlfn.IFS(B102="NY","New York",B102="TX","Texas",B102="CA","California")</f>
        <v>Texas</v>
      </c>
    </row>
    <row r="103" spans="1:18" x14ac:dyDescent="0.3">
      <c r="A103" t="s">
        <v>2</v>
      </c>
      <c r="B103" t="s">
        <v>7</v>
      </c>
      <c r="C103" s="2">
        <v>43447</v>
      </c>
      <c r="D103" s="11" t="s">
        <v>113</v>
      </c>
      <c r="E103" s="3">
        <f t="shared" ca="1" si="1"/>
        <v>446796375</v>
      </c>
      <c r="F103" t="s">
        <v>12</v>
      </c>
      <c r="G103" t="s">
        <v>15</v>
      </c>
      <c r="H103" s="1" t="s">
        <v>236</v>
      </c>
      <c r="I103" t="s">
        <v>22</v>
      </c>
      <c r="J103" s="4">
        <v>5.6</v>
      </c>
      <c r="K103" s="4">
        <v>69.27</v>
      </c>
      <c r="L103" s="4">
        <v>9</v>
      </c>
      <c r="M103" s="4">
        <v>69.709999999999994</v>
      </c>
      <c r="N103" s="4">
        <v>175.88069999999999</v>
      </c>
      <c r="O103" s="4">
        <v>706.95</v>
      </c>
      <c r="P103" s="4">
        <v>3.8764546470000001</v>
      </c>
      <c r="Q103" s="4">
        <v>37.72</v>
      </c>
      <c r="R103" t="str" cm="1">
        <f t="array" ref="R103">_xlfn.IFS(B103="NY","New York",B103="TX","Texas",B103="CA","California")</f>
        <v>Texas</v>
      </c>
    </row>
    <row r="104" spans="1:18" x14ac:dyDescent="0.3">
      <c r="A104" t="s">
        <v>2</v>
      </c>
      <c r="B104" t="s">
        <v>7</v>
      </c>
      <c r="C104" s="2">
        <v>42840</v>
      </c>
      <c r="D104" s="11" t="s">
        <v>98</v>
      </c>
      <c r="E104" s="3">
        <f t="shared" ca="1" si="1"/>
        <v>944597131</v>
      </c>
      <c r="F104" t="s">
        <v>11</v>
      </c>
      <c r="G104" t="s">
        <v>15</v>
      </c>
      <c r="H104" s="1" t="s">
        <v>236</v>
      </c>
      <c r="I104" t="s">
        <v>18</v>
      </c>
      <c r="J104" s="4">
        <v>7.8</v>
      </c>
      <c r="K104" s="4">
        <v>33.15</v>
      </c>
      <c r="L104" s="4">
        <v>9</v>
      </c>
      <c r="M104" s="4">
        <v>72.97</v>
      </c>
      <c r="N104" s="4">
        <v>125.87139999999999</v>
      </c>
      <c r="O104" s="4">
        <v>207.63</v>
      </c>
      <c r="P104" s="4">
        <v>3.8764546470000001</v>
      </c>
      <c r="Q104" s="4">
        <v>42.12</v>
      </c>
      <c r="R104" t="str" cm="1">
        <f t="array" ref="R104">_xlfn.IFS(B104="NY","New York",B104="TX","Texas",B104="CA","California")</f>
        <v>Texas</v>
      </c>
    </row>
    <row r="105" spans="1:18" x14ac:dyDescent="0.3">
      <c r="A105" t="s">
        <v>1</v>
      </c>
      <c r="B105" t="s">
        <v>6</v>
      </c>
      <c r="C105" s="2">
        <v>43088</v>
      </c>
      <c r="D105" s="11" t="s">
        <v>114</v>
      </c>
      <c r="E105" s="3">
        <f t="shared" ca="1" si="1"/>
        <v>558463537</v>
      </c>
      <c r="F105" t="s">
        <v>12</v>
      </c>
      <c r="G105" t="s">
        <v>15</v>
      </c>
      <c r="H105" s="1" t="s">
        <v>236</v>
      </c>
      <c r="I105" t="s">
        <v>21</v>
      </c>
      <c r="J105" s="4">
        <v>7.8</v>
      </c>
      <c r="K105" s="4">
        <v>20.66</v>
      </c>
      <c r="L105" s="4">
        <v>6</v>
      </c>
      <c r="M105" s="4">
        <v>16.95</v>
      </c>
      <c r="N105" s="4">
        <v>102.8843</v>
      </c>
      <c r="O105" s="4">
        <v>349.56</v>
      </c>
      <c r="P105" s="4">
        <v>3.8764546470000001</v>
      </c>
      <c r="Q105" s="4">
        <v>25.311</v>
      </c>
      <c r="R105" t="str" cm="1">
        <f t="array" ref="R105">_xlfn.IFS(B105="NY","New York",B105="TX","Texas",B105="CA","California")</f>
        <v>New York</v>
      </c>
    </row>
    <row r="106" spans="1:18" x14ac:dyDescent="0.3">
      <c r="A106" t="s">
        <v>3</v>
      </c>
      <c r="B106" t="s">
        <v>8</v>
      </c>
      <c r="C106" s="2">
        <v>42947</v>
      </c>
      <c r="D106" s="11" t="s">
        <v>115</v>
      </c>
      <c r="E106" s="3">
        <f t="shared" ca="1" si="1"/>
        <v>764449525</v>
      </c>
      <c r="F106" t="s">
        <v>12</v>
      </c>
      <c r="G106" t="s">
        <v>15</v>
      </c>
      <c r="H106" s="1" t="s">
        <v>236</v>
      </c>
      <c r="I106" t="s">
        <v>17</v>
      </c>
      <c r="J106" s="4">
        <v>5</v>
      </c>
      <c r="K106" s="4">
        <v>23.52</v>
      </c>
      <c r="L106" s="4">
        <v>7</v>
      </c>
      <c r="M106" s="4">
        <v>40.1</v>
      </c>
      <c r="N106" s="4">
        <v>179.20500000000001</v>
      </c>
      <c r="O106" s="4">
        <v>212.45</v>
      </c>
      <c r="P106" s="4">
        <v>3.8764546470000001</v>
      </c>
      <c r="Q106" s="4">
        <v>47.027000000000001</v>
      </c>
      <c r="R106" t="str" cm="1">
        <f t="array" ref="R106">_xlfn.IFS(B106="NY","New York",B106="TX","Texas",B106="CA","California")</f>
        <v>California</v>
      </c>
    </row>
    <row r="107" spans="1:18" x14ac:dyDescent="0.3">
      <c r="A107" t="s">
        <v>1</v>
      </c>
      <c r="B107" t="s">
        <v>6</v>
      </c>
      <c r="C107" s="2">
        <v>43463</v>
      </c>
      <c r="D107" s="11" t="s">
        <v>116</v>
      </c>
      <c r="E107" s="3">
        <f t="shared" ca="1" si="1"/>
        <v>183437531</v>
      </c>
      <c r="F107" t="s">
        <v>12</v>
      </c>
      <c r="G107" t="s">
        <v>14</v>
      </c>
      <c r="H107" s="1" t="s">
        <v>235</v>
      </c>
      <c r="I107" t="s">
        <v>18</v>
      </c>
      <c r="J107" s="4">
        <v>5.3</v>
      </c>
      <c r="K107" s="4">
        <v>47.41</v>
      </c>
      <c r="L107" s="4">
        <v>10</v>
      </c>
      <c r="M107" s="4">
        <v>70</v>
      </c>
      <c r="N107" s="4">
        <v>152.98920000000001</v>
      </c>
      <c r="O107" s="4">
        <v>886.7</v>
      </c>
      <c r="P107" s="4">
        <v>3.8764546470000001</v>
      </c>
      <c r="Q107" s="4">
        <v>69.59</v>
      </c>
      <c r="R107" t="str" cm="1">
        <f t="array" ref="R107">_xlfn.IFS(B107="NY","New York",B107="TX","Texas",B107="CA","California")</f>
        <v>New York</v>
      </c>
    </row>
    <row r="108" spans="1:18" x14ac:dyDescent="0.3">
      <c r="A108" t="s">
        <v>2</v>
      </c>
      <c r="B108" t="s">
        <v>7</v>
      </c>
      <c r="C108" s="2">
        <v>42813</v>
      </c>
      <c r="D108" s="11" t="s">
        <v>103</v>
      </c>
      <c r="E108" s="3">
        <f t="shared" ca="1" si="1"/>
        <v>123189155</v>
      </c>
      <c r="F108" t="s">
        <v>12</v>
      </c>
      <c r="G108" t="s">
        <v>15</v>
      </c>
      <c r="H108" s="1" t="s">
        <v>237</v>
      </c>
      <c r="I108" t="s">
        <v>22</v>
      </c>
      <c r="J108" s="4">
        <v>4.2</v>
      </c>
      <c r="K108" s="4">
        <v>45.74</v>
      </c>
      <c r="L108" s="4">
        <v>6</v>
      </c>
      <c r="M108" s="4">
        <v>30.2</v>
      </c>
      <c r="N108" s="4">
        <v>166.81309999999999</v>
      </c>
      <c r="O108" s="4">
        <v>164.28</v>
      </c>
      <c r="P108" s="4">
        <v>3.8764546470000001</v>
      </c>
      <c r="Q108" s="4">
        <v>63.59</v>
      </c>
      <c r="R108" t="str" cm="1">
        <f t="array" ref="R108">_xlfn.IFS(B108="NY","New York",B108="TX","Texas",B108="CA","California")</f>
        <v>Texas</v>
      </c>
    </row>
    <row r="109" spans="1:18" x14ac:dyDescent="0.3">
      <c r="A109" t="s">
        <v>1</v>
      </c>
      <c r="B109" t="s">
        <v>6</v>
      </c>
      <c r="C109" s="2">
        <v>43049</v>
      </c>
      <c r="D109" s="11" t="s">
        <v>42</v>
      </c>
      <c r="E109" s="3">
        <f t="shared" ca="1" si="1"/>
        <v>899768229</v>
      </c>
      <c r="F109" t="s">
        <v>12</v>
      </c>
      <c r="G109" t="s">
        <v>15</v>
      </c>
      <c r="H109" s="1" t="s">
        <v>236</v>
      </c>
      <c r="I109" t="s">
        <v>20</v>
      </c>
      <c r="J109" s="4">
        <v>9.9</v>
      </c>
      <c r="K109" s="4">
        <v>65.23</v>
      </c>
      <c r="L109" s="4">
        <v>6</v>
      </c>
      <c r="M109" s="4">
        <v>41.03</v>
      </c>
      <c r="N109" s="4">
        <v>123.15819999999999</v>
      </c>
      <c r="O109" s="4">
        <v>372.78</v>
      </c>
      <c r="P109" s="4">
        <v>3.8764546470000001</v>
      </c>
      <c r="Q109" s="4">
        <v>17.86</v>
      </c>
      <c r="R109" t="str" cm="1">
        <f t="array" ref="R109">_xlfn.IFS(B109="NY","New York",B109="TX","Texas",B109="CA","California")</f>
        <v>New York</v>
      </c>
    </row>
    <row r="110" spans="1:18" x14ac:dyDescent="0.3">
      <c r="A110" t="s">
        <v>2</v>
      </c>
      <c r="B110" t="s">
        <v>7</v>
      </c>
      <c r="C110" s="2">
        <v>43257</v>
      </c>
      <c r="D110" s="11" t="s">
        <v>117</v>
      </c>
      <c r="E110" s="3">
        <f t="shared" ca="1" si="1"/>
        <v>47357561</v>
      </c>
      <c r="F110" t="s">
        <v>11</v>
      </c>
      <c r="G110" t="s">
        <v>15</v>
      </c>
      <c r="H110" s="1" t="s">
        <v>236</v>
      </c>
      <c r="I110" t="s">
        <v>21</v>
      </c>
      <c r="J110" s="4">
        <v>7.4</v>
      </c>
      <c r="K110" s="4">
        <v>96.22</v>
      </c>
      <c r="L110" s="4">
        <v>9</v>
      </c>
      <c r="M110" s="4">
        <v>21.84</v>
      </c>
      <c r="N110" s="4">
        <v>171.25069999999999</v>
      </c>
      <c r="O110" s="4">
        <v>305.82</v>
      </c>
      <c r="P110" s="4">
        <v>3.8764546470000001</v>
      </c>
      <c r="Q110" s="4">
        <v>56.29</v>
      </c>
      <c r="R110" t="str" cm="1">
        <f t="array" ref="R110">_xlfn.IFS(B110="NY","New York",B110="TX","Texas",B110="CA","California")</f>
        <v>Texas</v>
      </c>
    </row>
    <row r="111" spans="1:18" x14ac:dyDescent="0.3">
      <c r="A111" t="s">
        <v>2</v>
      </c>
      <c r="B111" t="s">
        <v>7</v>
      </c>
      <c r="C111" s="2">
        <v>43333</v>
      </c>
      <c r="D111" s="11" t="s">
        <v>118</v>
      </c>
      <c r="E111" s="3">
        <f t="shared" ca="1" si="1"/>
        <v>126733285</v>
      </c>
      <c r="F111" t="s">
        <v>12</v>
      </c>
      <c r="G111" t="s">
        <v>14</v>
      </c>
      <c r="H111" s="1" t="s">
        <v>236</v>
      </c>
      <c r="I111" t="s">
        <v>18</v>
      </c>
      <c r="J111" s="4">
        <v>8.4</v>
      </c>
      <c r="K111" s="4">
        <v>51.37</v>
      </c>
      <c r="L111" s="4">
        <v>10</v>
      </c>
      <c r="M111" s="4">
        <v>36.6</v>
      </c>
      <c r="N111" s="4">
        <v>156.91919999999999</v>
      </c>
      <c r="O111" s="4">
        <v>819.7</v>
      </c>
      <c r="P111" s="4">
        <v>3.8764546470000001</v>
      </c>
      <c r="Q111" s="4">
        <v>11.85</v>
      </c>
      <c r="R111" t="str" cm="1">
        <f t="array" ref="R111">_xlfn.IFS(B111="NY","New York",B111="TX","Texas",B111="CA","California")</f>
        <v>Texas</v>
      </c>
    </row>
    <row r="112" spans="1:18" x14ac:dyDescent="0.3">
      <c r="A112" t="s">
        <v>3</v>
      </c>
      <c r="B112" t="s">
        <v>8</v>
      </c>
      <c r="C112" s="2">
        <v>43153</v>
      </c>
      <c r="D112" s="11" t="s">
        <v>119</v>
      </c>
      <c r="E112" s="3">
        <f t="shared" ca="1" si="1"/>
        <v>547069498</v>
      </c>
      <c r="F112" t="s">
        <v>11</v>
      </c>
      <c r="G112" t="s">
        <v>14</v>
      </c>
      <c r="H112" s="1" t="s">
        <v>235</v>
      </c>
      <c r="I112" t="s">
        <v>20</v>
      </c>
      <c r="J112" s="4">
        <v>2.7</v>
      </c>
      <c r="K112" s="4">
        <v>39.06</v>
      </c>
      <c r="L112" s="4">
        <v>2</v>
      </c>
      <c r="M112" s="4">
        <v>33.9</v>
      </c>
      <c r="N112" s="4">
        <v>103.7657</v>
      </c>
      <c r="O112" s="4">
        <v>32.979999999999997</v>
      </c>
      <c r="P112" s="4">
        <v>3.8764546470000001</v>
      </c>
      <c r="Q112" s="4">
        <v>21.03</v>
      </c>
      <c r="R112" t="str" cm="1">
        <f t="array" ref="R112">_xlfn.IFS(B112="NY","New York",B112="TX","Texas",B112="CA","California")</f>
        <v>California</v>
      </c>
    </row>
    <row r="113" spans="1:18" x14ac:dyDescent="0.3">
      <c r="A113" t="s">
        <v>2</v>
      </c>
      <c r="B113" t="s">
        <v>7</v>
      </c>
      <c r="C113" s="2">
        <v>43256</v>
      </c>
      <c r="D113" s="11" t="s">
        <v>54</v>
      </c>
      <c r="E113" s="3">
        <f t="shared" ca="1" si="1"/>
        <v>280604545</v>
      </c>
      <c r="F113" t="s">
        <v>11</v>
      </c>
      <c r="G113" t="s">
        <v>14</v>
      </c>
      <c r="H113" s="1" t="s">
        <v>237</v>
      </c>
      <c r="I113" t="s">
        <v>17</v>
      </c>
      <c r="J113" s="4">
        <v>7</v>
      </c>
      <c r="K113" s="4">
        <v>37.9</v>
      </c>
      <c r="L113" s="4">
        <v>3</v>
      </c>
      <c r="M113" s="4">
        <v>40.18</v>
      </c>
      <c r="N113" s="4">
        <v>117.67749999999999</v>
      </c>
      <c r="O113" s="4">
        <v>294.63</v>
      </c>
      <c r="P113" s="4">
        <v>3.8764546470000001</v>
      </c>
      <c r="Q113" s="4">
        <v>73.84</v>
      </c>
      <c r="R113" t="str" cm="1">
        <f t="array" ref="R113">_xlfn.IFS(B113="NY","New York",B113="TX","Texas",B113="CA","California")</f>
        <v>Texas</v>
      </c>
    </row>
    <row r="114" spans="1:18" x14ac:dyDescent="0.3">
      <c r="A114" t="s">
        <v>3</v>
      </c>
      <c r="B114" t="s">
        <v>8</v>
      </c>
      <c r="C114" s="2">
        <v>42834</v>
      </c>
      <c r="D114" s="11" t="s">
        <v>120</v>
      </c>
      <c r="E114" s="3">
        <f t="shared" ca="1" si="1"/>
        <v>883398208</v>
      </c>
      <c r="F114" t="s">
        <v>11</v>
      </c>
      <c r="G114" t="s">
        <v>15</v>
      </c>
      <c r="H114" s="1" t="s">
        <v>236</v>
      </c>
      <c r="I114" t="s">
        <v>22</v>
      </c>
      <c r="J114" s="4">
        <v>4</v>
      </c>
      <c r="K114" s="4">
        <v>31.9</v>
      </c>
      <c r="L114" s="4">
        <v>7</v>
      </c>
      <c r="M114" s="4">
        <v>36.85</v>
      </c>
      <c r="N114" s="4">
        <v>114.59699999999999</v>
      </c>
      <c r="O114" s="4">
        <v>509.88</v>
      </c>
      <c r="P114" s="4">
        <v>3.8764546470000001</v>
      </c>
      <c r="Q114" s="4">
        <v>32.159999999999997</v>
      </c>
      <c r="R114" t="str" cm="1">
        <f t="array" ref="R114">_xlfn.IFS(B114="NY","New York",B114="TX","Texas",B114="CA","California")</f>
        <v>California</v>
      </c>
    </row>
    <row r="115" spans="1:18" x14ac:dyDescent="0.3">
      <c r="A115" t="s">
        <v>1</v>
      </c>
      <c r="B115" t="s">
        <v>6</v>
      </c>
      <c r="C115" s="2">
        <v>43422</v>
      </c>
      <c r="D115" s="11" t="s">
        <v>121</v>
      </c>
      <c r="E115" s="3">
        <f t="shared" ca="1" si="1"/>
        <v>478540022</v>
      </c>
      <c r="F115" t="s">
        <v>12</v>
      </c>
      <c r="G115" t="s">
        <v>14</v>
      </c>
      <c r="H115" s="1" t="s">
        <v>235</v>
      </c>
      <c r="I115" t="s">
        <v>19</v>
      </c>
      <c r="J115" s="4">
        <v>7.2</v>
      </c>
      <c r="K115" s="4">
        <v>99.98</v>
      </c>
      <c r="L115" s="4">
        <v>9</v>
      </c>
      <c r="M115" s="4">
        <v>48.59</v>
      </c>
      <c r="N115" s="4">
        <v>181.5384</v>
      </c>
      <c r="O115" s="4">
        <v>522.63</v>
      </c>
      <c r="P115" s="4">
        <v>3.8764546470000001</v>
      </c>
      <c r="Q115" s="4">
        <v>35.64</v>
      </c>
      <c r="R115" t="str" cm="1">
        <f t="array" ref="R115">_xlfn.IFS(B115="NY","New York",B115="TX","Texas",B115="CA","California")</f>
        <v>New York</v>
      </c>
    </row>
    <row r="116" spans="1:18" x14ac:dyDescent="0.3">
      <c r="A116" t="s">
        <v>2</v>
      </c>
      <c r="B116" t="s">
        <v>7</v>
      </c>
      <c r="C116" s="2">
        <v>43328</v>
      </c>
      <c r="D116" s="11" t="s">
        <v>98</v>
      </c>
      <c r="E116" s="3">
        <f t="shared" ca="1" si="1"/>
        <v>399326803</v>
      </c>
      <c r="F116" t="s">
        <v>11</v>
      </c>
      <c r="G116" t="s">
        <v>14</v>
      </c>
      <c r="H116" s="1" t="s">
        <v>237</v>
      </c>
      <c r="I116" t="s">
        <v>19</v>
      </c>
      <c r="J116" s="4">
        <v>4.5</v>
      </c>
      <c r="K116" s="4">
        <v>58.46</v>
      </c>
      <c r="L116" s="4">
        <v>9</v>
      </c>
      <c r="M116" s="4">
        <v>31.31</v>
      </c>
      <c r="N116" s="4">
        <v>131.285</v>
      </c>
      <c r="O116" s="4">
        <v>727.11</v>
      </c>
      <c r="P116" s="4">
        <v>3.8764546470000001</v>
      </c>
      <c r="Q116" s="4">
        <v>13.92</v>
      </c>
      <c r="R116" t="str" cm="1">
        <f t="array" ref="R116">_xlfn.IFS(B116="NY","New York",B116="TX","Texas",B116="CA","California")</f>
        <v>Texas</v>
      </c>
    </row>
    <row r="117" spans="1:18" x14ac:dyDescent="0.3">
      <c r="A117" t="s">
        <v>2</v>
      </c>
      <c r="B117" t="s">
        <v>7</v>
      </c>
      <c r="C117" s="2">
        <v>43199</v>
      </c>
      <c r="D117" s="11" t="s">
        <v>122</v>
      </c>
      <c r="E117" s="3">
        <f t="shared" ca="1" si="1"/>
        <v>306249137</v>
      </c>
      <c r="F117" t="s">
        <v>11</v>
      </c>
      <c r="G117" t="s">
        <v>15</v>
      </c>
      <c r="H117" s="1" t="s">
        <v>237</v>
      </c>
      <c r="I117" t="s">
        <v>22</v>
      </c>
      <c r="J117" s="4">
        <v>8.1999999999999993</v>
      </c>
      <c r="K117" s="4">
        <v>35.26</v>
      </c>
      <c r="L117" s="4">
        <v>3</v>
      </c>
      <c r="M117" s="4">
        <v>25.8</v>
      </c>
      <c r="N117" s="4">
        <v>107.3077</v>
      </c>
      <c r="O117" s="4">
        <v>81.06</v>
      </c>
      <c r="P117" s="4">
        <v>3.8764546470000001</v>
      </c>
      <c r="Q117" s="4">
        <v>73.44</v>
      </c>
      <c r="R117" t="str" cm="1">
        <f t="array" ref="R117">_xlfn.IFS(B117="NY","New York",B117="TX","Texas",B117="CA","California")</f>
        <v>Texas</v>
      </c>
    </row>
    <row r="118" spans="1:18" x14ac:dyDescent="0.3">
      <c r="A118" t="s">
        <v>3</v>
      </c>
      <c r="B118" t="s">
        <v>8</v>
      </c>
      <c r="C118" s="2">
        <v>43386</v>
      </c>
      <c r="D118" s="11" t="s">
        <v>123</v>
      </c>
      <c r="E118" s="3">
        <f t="shared" ca="1" si="1"/>
        <v>720600613</v>
      </c>
      <c r="F118" t="s">
        <v>12</v>
      </c>
      <c r="G118" t="s">
        <v>14</v>
      </c>
      <c r="H118" s="1" t="s">
        <v>235</v>
      </c>
      <c r="I118" t="s">
        <v>22</v>
      </c>
      <c r="J118" s="4">
        <v>7.9</v>
      </c>
      <c r="K118" s="4">
        <v>81.14</v>
      </c>
      <c r="L118" s="4">
        <v>5</v>
      </c>
      <c r="M118" s="4">
        <v>61.8</v>
      </c>
      <c r="N118" s="4">
        <v>157.55860000000001</v>
      </c>
      <c r="O118" s="4">
        <v>109.7</v>
      </c>
      <c r="P118" s="4">
        <v>3.8764546470000001</v>
      </c>
      <c r="Q118" s="4">
        <v>30.97</v>
      </c>
      <c r="R118" t="str" cm="1">
        <f t="array" ref="R118">_xlfn.IFS(B118="NY","New York",B118="TX","Texas",B118="CA","California")</f>
        <v>California</v>
      </c>
    </row>
    <row r="119" spans="1:18" x14ac:dyDescent="0.3">
      <c r="A119" t="s">
        <v>3</v>
      </c>
      <c r="B119" t="s">
        <v>8</v>
      </c>
      <c r="C119" s="2">
        <v>42911</v>
      </c>
      <c r="D119" s="11" t="s">
        <v>124</v>
      </c>
      <c r="E119" s="3">
        <f t="shared" ca="1" si="1"/>
        <v>827981922</v>
      </c>
      <c r="F119" t="s">
        <v>12</v>
      </c>
      <c r="G119" t="s">
        <v>14</v>
      </c>
      <c r="H119" s="1" t="s">
        <v>235</v>
      </c>
      <c r="I119" t="s">
        <v>22</v>
      </c>
      <c r="J119" s="4">
        <v>6</v>
      </c>
      <c r="K119" s="4">
        <v>69.95</v>
      </c>
      <c r="L119" s="4">
        <v>1</v>
      </c>
      <c r="M119" s="4">
        <v>43.6</v>
      </c>
      <c r="N119" s="4">
        <v>106.1968</v>
      </c>
      <c r="O119" s="4">
        <v>51.36</v>
      </c>
      <c r="P119" s="4">
        <v>3.8764546470000001</v>
      </c>
      <c r="Q119" s="4">
        <v>34.091000000000001</v>
      </c>
      <c r="R119" t="str" cm="1">
        <f t="array" ref="R119">_xlfn.IFS(B119="NY","New York",B119="TX","Texas",B119="CA","California")</f>
        <v>California</v>
      </c>
    </row>
    <row r="120" spans="1:18" x14ac:dyDescent="0.3">
      <c r="A120" t="s">
        <v>1</v>
      </c>
      <c r="B120" t="s">
        <v>6</v>
      </c>
      <c r="C120" s="2">
        <v>43269</v>
      </c>
      <c r="D120" s="11" t="s">
        <v>55</v>
      </c>
      <c r="E120" s="3">
        <f t="shared" ca="1" si="1"/>
        <v>928018752</v>
      </c>
      <c r="F120" t="s">
        <v>11</v>
      </c>
      <c r="G120" t="s">
        <v>15</v>
      </c>
      <c r="H120" s="1" t="s">
        <v>235</v>
      </c>
      <c r="I120" t="s">
        <v>21</v>
      </c>
      <c r="J120" s="4">
        <v>7</v>
      </c>
      <c r="K120" s="4">
        <v>40.6</v>
      </c>
      <c r="L120" s="4">
        <v>10</v>
      </c>
      <c r="M120" s="4">
        <v>39.64</v>
      </c>
      <c r="N120" s="4">
        <v>158.42830000000001</v>
      </c>
      <c r="O120" s="4">
        <v>109.6</v>
      </c>
      <c r="P120" s="4">
        <v>3.8764546470000001</v>
      </c>
      <c r="Q120" s="4">
        <v>42.115000000000002</v>
      </c>
      <c r="R120" t="str" cm="1">
        <f t="array" ref="R120">_xlfn.IFS(B120="NY","New York",B120="TX","Texas",B120="CA","California")</f>
        <v>New York</v>
      </c>
    </row>
    <row r="121" spans="1:18" x14ac:dyDescent="0.3">
      <c r="A121" t="s">
        <v>3</v>
      </c>
      <c r="B121" t="s">
        <v>8</v>
      </c>
      <c r="C121" s="2">
        <v>43087</v>
      </c>
      <c r="D121" s="11" t="s">
        <v>106</v>
      </c>
      <c r="E121" s="3">
        <f t="shared" ca="1" si="1"/>
        <v>352195699</v>
      </c>
      <c r="F121" t="s">
        <v>12</v>
      </c>
      <c r="G121" t="s">
        <v>15</v>
      </c>
      <c r="H121" s="1" t="s">
        <v>235</v>
      </c>
      <c r="I121" t="s">
        <v>19</v>
      </c>
      <c r="J121" s="4">
        <v>3</v>
      </c>
      <c r="K121" s="4">
        <v>75.22</v>
      </c>
      <c r="L121" s="4">
        <v>2</v>
      </c>
      <c r="M121" s="4">
        <v>69.12</v>
      </c>
      <c r="N121" s="4">
        <v>180.32560000000001</v>
      </c>
      <c r="O121" s="4">
        <v>106.88</v>
      </c>
      <c r="P121" s="4">
        <v>3.8764546470000001</v>
      </c>
      <c r="Q121" s="4">
        <v>93.81</v>
      </c>
      <c r="R121" t="str" cm="1">
        <f t="array" ref="R121">_xlfn.IFS(B121="NY","New York",B121="TX","Texas",B121="CA","California")</f>
        <v>California</v>
      </c>
    </row>
    <row r="122" spans="1:18" x14ac:dyDescent="0.3">
      <c r="A122" t="s">
        <v>1</v>
      </c>
      <c r="B122" t="s">
        <v>6</v>
      </c>
      <c r="C122" s="2">
        <v>43432</v>
      </c>
      <c r="D122" s="11" t="s">
        <v>121</v>
      </c>
      <c r="E122" s="3">
        <f t="shared" ca="1" si="1"/>
        <v>679471794</v>
      </c>
      <c r="F122" t="s">
        <v>11</v>
      </c>
      <c r="G122" t="s">
        <v>15</v>
      </c>
      <c r="H122" s="1" t="s">
        <v>237</v>
      </c>
      <c r="I122" t="s">
        <v>18</v>
      </c>
      <c r="J122" s="4">
        <v>2.8</v>
      </c>
      <c r="K122" s="4">
        <v>66.37</v>
      </c>
      <c r="L122" s="4">
        <v>8</v>
      </c>
      <c r="M122" s="4">
        <v>13.26</v>
      </c>
      <c r="N122" s="4">
        <v>159.3674</v>
      </c>
      <c r="O122" s="4">
        <v>796.48</v>
      </c>
      <c r="P122" s="4">
        <v>3.8764546470000001</v>
      </c>
      <c r="Q122" s="4">
        <v>43.98</v>
      </c>
      <c r="R122" t="str" cm="1">
        <f t="array" ref="R122">_xlfn.IFS(B122="NY","New York",B122="TX","Texas",B122="CA","California")</f>
        <v>New York</v>
      </c>
    </row>
    <row r="123" spans="1:18" x14ac:dyDescent="0.3">
      <c r="A123" t="s">
        <v>2</v>
      </c>
      <c r="B123" t="s">
        <v>7</v>
      </c>
      <c r="C123" s="2">
        <v>42808</v>
      </c>
      <c r="D123" s="11" t="s">
        <v>125</v>
      </c>
      <c r="E123" s="3">
        <f t="shared" ca="1" si="1"/>
        <v>603987802</v>
      </c>
      <c r="F123" t="s">
        <v>12</v>
      </c>
      <c r="G123" t="s">
        <v>14</v>
      </c>
      <c r="H123" s="1" t="s">
        <v>237</v>
      </c>
      <c r="I123" t="s">
        <v>20</v>
      </c>
      <c r="J123" s="4">
        <v>4.0999999999999996</v>
      </c>
      <c r="K123" s="4">
        <v>73.989999999999995</v>
      </c>
      <c r="L123" s="4">
        <v>7</v>
      </c>
      <c r="M123" s="4">
        <v>67.06</v>
      </c>
      <c r="N123" s="4">
        <v>172.77809999999999</v>
      </c>
      <c r="O123" s="4">
        <v>399.84</v>
      </c>
      <c r="P123" s="4">
        <v>3.8764546470000001</v>
      </c>
      <c r="Q123" s="4">
        <v>68.58</v>
      </c>
      <c r="R123" t="str" cm="1">
        <f t="array" ref="R123">_xlfn.IFS(B123="NY","New York",B123="TX","Texas",B123="CA","California")</f>
        <v>Texas</v>
      </c>
    </row>
    <row r="124" spans="1:18" x14ac:dyDescent="0.3">
      <c r="A124" t="s">
        <v>3</v>
      </c>
      <c r="B124" t="s">
        <v>8</v>
      </c>
      <c r="C124" s="2">
        <v>43445</v>
      </c>
      <c r="D124" s="11" t="s">
        <v>126</v>
      </c>
      <c r="E124" s="3">
        <f t="shared" ca="1" si="1"/>
        <v>495124392</v>
      </c>
      <c r="F124" t="s">
        <v>12</v>
      </c>
      <c r="G124" t="s">
        <v>14</v>
      </c>
      <c r="H124" s="1" t="s">
        <v>237</v>
      </c>
      <c r="I124" t="s">
        <v>20</v>
      </c>
      <c r="J124" s="4">
        <v>9.8000000000000007</v>
      </c>
      <c r="K124" s="4">
        <v>67.81</v>
      </c>
      <c r="L124" s="4">
        <v>9</v>
      </c>
      <c r="M124" s="4">
        <v>90.8</v>
      </c>
      <c r="N124" s="4">
        <v>119.38630000000001</v>
      </c>
      <c r="O124" s="4">
        <v>899.64</v>
      </c>
      <c r="P124" s="4">
        <v>3.8764546470000001</v>
      </c>
      <c r="Q124" s="4">
        <v>18.343</v>
      </c>
      <c r="R124" t="str" cm="1">
        <f t="array" ref="R124">_xlfn.IFS(B124="NY","New York",B124="TX","Texas",B124="CA","California")</f>
        <v>California</v>
      </c>
    </row>
    <row r="125" spans="1:18" x14ac:dyDescent="0.3">
      <c r="A125" t="s">
        <v>2</v>
      </c>
      <c r="B125" t="s">
        <v>7</v>
      </c>
      <c r="C125" s="2">
        <v>43123</v>
      </c>
      <c r="D125" s="11" t="s">
        <v>61</v>
      </c>
      <c r="E125" s="3">
        <f t="shared" ca="1" si="1"/>
        <v>478685421</v>
      </c>
      <c r="F125" t="s">
        <v>12</v>
      </c>
      <c r="G125" t="s">
        <v>14</v>
      </c>
      <c r="H125" s="1" t="s">
        <v>237</v>
      </c>
      <c r="I125" t="s">
        <v>19</v>
      </c>
      <c r="J125" s="4">
        <v>3.7</v>
      </c>
      <c r="K125" s="4">
        <v>70.56</v>
      </c>
      <c r="L125" s="4">
        <v>8</v>
      </c>
      <c r="M125" s="4">
        <v>62.7</v>
      </c>
      <c r="N125" s="4">
        <v>120.2908</v>
      </c>
      <c r="O125" s="4">
        <v>511.28</v>
      </c>
      <c r="P125" s="4">
        <v>3.8764546470000001</v>
      </c>
      <c r="Q125" s="4">
        <v>96.965999999999994</v>
      </c>
      <c r="R125" t="str" cm="1">
        <f t="array" ref="R125">_xlfn.IFS(B125="NY","New York",B125="TX","Texas",B125="CA","California")</f>
        <v>Texas</v>
      </c>
    </row>
    <row r="126" spans="1:18" x14ac:dyDescent="0.3">
      <c r="A126" t="s">
        <v>3</v>
      </c>
      <c r="B126" t="s">
        <v>8</v>
      </c>
      <c r="C126" s="2">
        <v>42852</v>
      </c>
      <c r="D126" s="11" t="s">
        <v>40</v>
      </c>
      <c r="E126" s="3">
        <f t="shared" ca="1" si="1"/>
        <v>608677170</v>
      </c>
      <c r="F126" t="s">
        <v>11</v>
      </c>
      <c r="G126" t="s">
        <v>14</v>
      </c>
      <c r="H126" s="1" t="s">
        <v>235</v>
      </c>
      <c r="I126" t="s">
        <v>22</v>
      </c>
      <c r="J126" s="4">
        <v>8.3000000000000007</v>
      </c>
      <c r="K126" s="4">
        <v>72.94</v>
      </c>
      <c r="L126" s="4">
        <v>8</v>
      </c>
      <c r="M126" s="4">
        <v>97.7</v>
      </c>
      <c r="N126" s="4">
        <v>182.1345</v>
      </c>
      <c r="O126" s="4">
        <v>451.76</v>
      </c>
      <c r="P126" s="4">
        <v>3.8764546470000001</v>
      </c>
      <c r="Q126" s="4">
        <v>23.69</v>
      </c>
      <c r="R126" t="str" cm="1">
        <f t="array" ref="R126">_xlfn.IFS(B126="NY","New York",B126="TX","Texas",B126="CA","California")</f>
        <v>California</v>
      </c>
    </row>
    <row r="127" spans="1:18" x14ac:dyDescent="0.3">
      <c r="A127" t="s">
        <v>1</v>
      </c>
      <c r="B127" t="s">
        <v>6</v>
      </c>
      <c r="C127" s="2">
        <v>43095</v>
      </c>
      <c r="D127" s="11" t="s">
        <v>127</v>
      </c>
      <c r="E127" s="3">
        <f t="shared" ca="1" si="1"/>
        <v>782703129</v>
      </c>
      <c r="F127" t="s">
        <v>11</v>
      </c>
      <c r="G127" t="s">
        <v>15</v>
      </c>
      <c r="H127" s="1" t="s">
        <v>237</v>
      </c>
      <c r="I127" t="s">
        <v>19</v>
      </c>
      <c r="J127" s="4">
        <v>8</v>
      </c>
      <c r="K127" s="4">
        <v>62.88</v>
      </c>
      <c r="L127" s="4">
        <v>7</v>
      </c>
      <c r="M127" s="4">
        <v>85.2</v>
      </c>
      <c r="N127" s="4">
        <v>129.93430000000001</v>
      </c>
      <c r="O127" s="4">
        <v>655.83</v>
      </c>
      <c r="P127" s="4">
        <v>3.8764546470000001</v>
      </c>
      <c r="Q127" s="4">
        <v>59.97</v>
      </c>
      <c r="R127" t="str" cm="1">
        <f t="array" ref="R127">_xlfn.IFS(B127="NY","New York",B127="TX","Texas",B127="CA","California")</f>
        <v>New York</v>
      </c>
    </row>
    <row r="128" spans="1:18" x14ac:dyDescent="0.3">
      <c r="A128" t="s">
        <v>1</v>
      </c>
      <c r="B128" t="s">
        <v>6</v>
      </c>
      <c r="C128" s="2">
        <v>43091</v>
      </c>
      <c r="D128" s="11" t="s">
        <v>84</v>
      </c>
      <c r="E128" s="3">
        <f t="shared" ca="1" si="1"/>
        <v>129023023</v>
      </c>
      <c r="F128" t="s">
        <v>11</v>
      </c>
      <c r="G128" t="s">
        <v>15</v>
      </c>
      <c r="H128" s="1" t="s">
        <v>236</v>
      </c>
      <c r="I128" t="s">
        <v>20</v>
      </c>
      <c r="J128" s="4">
        <v>1.6</v>
      </c>
      <c r="K128" s="4">
        <v>43.14</v>
      </c>
      <c r="L128" s="4">
        <v>5</v>
      </c>
      <c r="M128" s="4">
        <v>33.21</v>
      </c>
      <c r="N128" s="4">
        <v>166.12530000000001</v>
      </c>
      <c r="O128" s="4">
        <v>161.25</v>
      </c>
      <c r="P128" s="4">
        <v>3.8764546470000001</v>
      </c>
      <c r="Q128" s="4">
        <v>27.04</v>
      </c>
      <c r="R128" t="str" cm="1">
        <f t="array" ref="R128">_xlfn.IFS(B128="NY","New York",B128="TX","Texas",B128="CA","California")</f>
        <v>New York</v>
      </c>
    </row>
    <row r="129" spans="1:18" x14ac:dyDescent="0.3">
      <c r="A129" t="s">
        <v>2</v>
      </c>
      <c r="B129" t="s">
        <v>7</v>
      </c>
      <c r="C129" s="2">
        <v>43425</v>
      </c>
      <c r="D129" s="11" t="s">
        <v>111</v>
      </c>
      <c r="E129" s="3">
        <f t="shared" ca="1" si="1"/>
        <v>146290657</v>
      </c>
      <c r="F129" t="s">
        <v>11</v>
      </c>
      <c r="G129" t="s">
        <v>15</v>
      </c>
      <c r="H129" s="1" t="s">
        <v>237</v>
      </c>
      <c r="I129" t="s">
        <v>22</v>
      </c>
      <c r="J129" s="4">
        <v>4</v>
      </c>
      <c r="K129" s="4">
        <v>14.15</v>
      </c>
      <c r="L129" s="4">
        <v>9</v>
      </c>
      <c r="M129" s="4">
        <v>64.39</v>
      </c>
      <c r="N129" s="4">
        <v>187.1575</v>
      </c>
      <c r="O129" s="4">
        <v>285.57</v>
      </c>
      <c r="P129" s="4">
        <v>3.8764546470000001</v>
      </c>
      <c r="Q129" s="4">
        <v>88.45</v>
      </c>
      <c r="R129" t="str" cm="1">
        <f t="array" ref="R129">_xlfn.IFS(B129="NY","New York",B129="TX","Texas",B129="CA","California")</f>
        <v>Texas</v>
      </c>
    </row>
    <row r="130" spans="1:18" x14ac:dyDescent="0.3">
      <c r="A130" t="s">
        <v>2</v>
      </c>
      <c r="B130" t="s">
        <v>7</v>
      </c>
      <c r="C130" s="2">
        <v>43311</v>
      </c>
      <c r="D130" s="11" t="s">
        <v>101</v>
      </c>
      <c r="E130" s="3">
        <f t="shared" ca="1" si="1"/>
        <v>189220357</v>
      </c>
      <c r="F130" t="s">
        <v>11</v>
      </c>
      <c r="G130" t="s">
        <v>14</v>
      </c>
      <c r="H130" s="1" t="s">
        <v>235</v>
      </c>
      <c r="I130" t="s">
        <v>21</v>
      </c>
      <c r="J130" s="4">
        <v>9</v>
      </c>
      <c r="K130" s="4">
        <v>68.599999999999994</v>
      </c>
      <c r="L130" s="4">
        <v>8</v>
      </c>
      <c r="M130" s="4">
        <v>96.85</v>
      </c>
      <c r="N130" s="4">
        <v>116.6294</v>
      </c>
      <c r="O130" s="4">
        <v>548.32000000000005</v>
      </c>
      <c r="P130" s="4">
        <v>3.8764546470000001</v>
      </c>
      <c r="Q130" s="4">
        <v>65.41</v>
      </c>
      <c r="R130" t="str" cm="1">
        <f t="array" ref="R130">_xlfn.IFS(B130="NY","New York",B130="TX","Texas",B130="CA","California")</f>
        <v>Texas</v>
      </c>
    </row>
    <row r="131" spans="1:18" x14ac:dyDescent="0.3">
      <c r="A131" t="s">
        <v>3</v>
      </c>
      <c r="B131" t="s">
        <v>8</v>
      </c>
      <c r="C131" s="2">
        <v>43182</v>
      </c>
      <c r="D131" s="11" t="s">
        <v>128</v>
      </c>
      <c r="E131" s="3">
        <f t="shared" ref="E131:E194" ca="1" si="2">RANDBETWEEN(10000000,1000000000)</f>
        <v>472628758</v>
      </c>
      <c r="F131" t="s">
        <v>11</v>
      </c>
      <c r="G131" t="s">
        <v>15</v>
      </c>
      <c r="H131" s="1" t="s">
        <v>235</v>
      </c>
      <c r="I131" t="s">
        <v>20</v>
      </c>
      <c r="J131" s="4">
        <v>2</v>
      </c>
      <c r="K131" s="4">
        <v>30.11</v>
      </c>
      <c r="L131" s="4">
        <v>9</v>
      </c>
      <c r="M131" s="4">
        <v>21.99</v>
      </c>
      <c r="N131" s="4">
        <v>142.5949</v>
      </c>
      <c r="O131" s="4">
        <v>812.52</v>
      </c>
      <c r="P131" s="4">
        <v>3.8764546470000001</v>
      </c>
      <c r="Q131" s="4">
        <v>61.423999999999999</v>
      </c>
      <c r="R131" t="str" cm="1">
        <f t="array" ref="R131">_xlfn.IFS(B131="NY","New York",B131="TX","Texas",B131="CA","California")</f>
        <v>California</v>
      </c>
    </row>
    <row r="132" spans="1:18" x14ac:dyDescent="0.3">
      <c r="A132" t="s">
        <v>3</v>
      </c>
      <c r="B132" t="s">
        <v>8</v>
      </c>
      <c r="C132" s="2">
        <v>43309</v>
      </c>
      <c r="D132" s="11" t="s">
        <v>47</v>
      </c>
      <c r="E132" s="3">
        <f t="shared" ca="1" si="2"/>
        <v>967697123</v>
      </c>
      <c r="F132" t="s">
        <v>11</v>
      </c>
      <c r="G132" t="s">
        <v>15</v>
      </c>
      <c r="H132" s="1" t="s">
        <v>236</v>
      </c>
      <c r="I132" t="s">
        <v>22</v>
      </c>
      <c r="J132" s="4">
        <v>3.5</v>
      </c>
      <c r="K132" s="4">
        <v>64.33</v>
      </c>
      <c r="L132" s="4">
        <v>7</v>
      </c>
      <c r="M132" s="4">
        <v>57.2</v>
      </c>
      <c r="N132" s="4">
        <v>102.6422</v>
      </c>
      <c r="O132" s="4">
        <v>277.33999999999997</v>
      </c>
      <c r="P132" s="4">
        <v>3.8764546470000001</v>
      </c>
      <c r="Q132" s="4">
        <v>29.8</v>
      </c>
      <c r="R132" t="str" cm="1">
        <f t="array" ref="R132">_xlfn.IFS(B132="NY","New York",B132="TX","Texas",B132="CA","California")</f>
        <v>California</v>
      </c>
    </row>
    <row r="133" spans="1:18" x14ac:dyDescent="0.3">
      <c r="A133" t="s">
        <v>1</v>
      </c>
      <c r="B133" t="s">
        <v>6</v>
      </c>
      <c r="C133" s="2">
        <v>43300</v>
      </c>
      <c r="D133" s="11" t="s">
        <v>127</v>
      </c>
      <c r="E133" s="3">
        <f t="shared" ca="1" si="2"/>
        <v>907339025</v>
      </c>
      <c r="F133" t="s">
        <v>11</v>
      </c>
      <c r="G133" t="s">
        <v>14</v>
      </c>
      <c r="H133" s="1" t="s">
        <v>236</v>
      </c>
      <c r="I133" t="s">
        <v>20</v>
      </c>
      <c r="J133" s="4">
        <v>7.9</v>
      </c>
      <c r="K133" s="4">
        <v>10.89</v>
      </c>
      <c r="L133" s="4">
        <v>6</v>
      </c>
      <c r="M133" s="4">
        <v>80.72</v>
      </c>
      <c r="N133" s="4">
        <v>144.74019999999999</v>
      </c>
      <c r="O133" s="4">
        <v>552.78</v>
      </c>
      <c r="P133" s="4">
        <v>3.8764546470000001</v>
      </c>
      <c r="Q133" s="4">
        <v>43.097999999999999</v>
      </c>
      <c r="R133" t="str" cm="1">
        <f t="array" ref="R133">_xlfn.IFS(B133="NY","New York",B133="TX","Texas",B133="CA","California")</f>
        <v>New York</v>
      </c>
    </row>
    <row r="134" spans="1:18" x14ac:dyDescent="0.3">
      <c r="A134" t="s">
        <v>3</v>
      </c>
      <c r="B134" t="s">
        <v>8</v>
      </c>
      <c r="C134" s="2">
        <v>43009</v>
      </c>
      <c r="D134" s="11" t="s">
        <v>129</v>
      </c>
      <c r="E134" s="3">
        <f t="shared" ca="1" si="2"/>
        <v>752524652</v>
      </c>
      <c r="F134" t="s">
        <v>11</v>
      </c>
      <c r="G134" t="s">
        <v>15</v>
      </c>
      <c r="H134" s="1" t="s">
        <v>236</v>
      </c>
      <c r="I134" t="s">
        <v>20</v>
      </c>
      <c r="J134" s="4">
        <v>2.4</v>
      </c>
      <c r="K134" s="4">
        <v>91.44</v>
      </c>
      <c r="L134" s="4">
        <v>4</v>
      </c>
      <c r="M134" s="4">
        <v>97.71</v>
      </c>
      <c r="N134" s="4">
        <v>149.90940000000001</v>
      </c>
      <c r="O134" s="4">
        <v>139.36000000000001</v>
      </c>
      <c r="P134" s="4">
        <v>3.8764546470000001</v>
      </c>
      <c r="Q134" s="4">
        <v>59.929000000000002</v>
      </c>
      <c r="R134" t="str" cm="1">
        <f t="array" ref="R134">_xlfn.IFS(B134="NY","New York",B134="TX","Texas",B134="CA","California")</f>
        <v>California</v>
      </c>
    </row>
    <row r="135" spans="1:18" x14ac:dyDescent="0.3">
      <c r="A135" t="s">
        <v>3</v>
      </c>
      <c r="B135" t="s">
        <v>8</v>
      </c>
      <c r="C135" s="2">
        <v>43201</v>
      </c>
      <c r="D135" s="11" t="s">
        <v>75</v>
      </c>
      <c r="E135" s="3">
        <f t="shared" ca="1" si="2"/>
        <v>855526072</v>
      </c>
      <c r="F135" t="s">
        <v>12</v>
      </c>
      <c r="G135" t="s">
        <v>14</v>
      </c>
      <c r="H135" s="1" t="s">
        <v>237</v>
      </c>
      <c r="I135" t="s">
        <v>18</v>
      </c>
      <c r="J135" s="4">
        <v>6</v>
      </c>
      <c r="K135" s="4">
        <v>11.71</v>
      </c>
      <c r="L135" s="4">
        <v>6</v>
      </c>
      <c r="M135" s="4">
        <v>88</v>
      </c>
      <c r="N135" s="4">
        <v>125.7427</v>
      </c>
      <c r="O135" s="4">
        <v>524.70000000000005</v>
      </c>
      <c r="P135" s="4">
        <v>3.8764546470000001</v>
      </c>
      <c r="Q135" s="4">
        <v>14.127000000000001</v>
      </c>
      <c r="R135" t="str" cm="1">
        <f t="array" ref="R135">_xlfn.IFS(B135="NY","New York",B135="TX","Texas",B135="CA","California")</f>
        <v>California</v>
      </c>
    </row>
    <row r="136" spans="1:18" x14ac:dyDescent="0.3">
      <c r="A136" t="s">
        <v>2</v>
      </c>
      <c r="B136" t="s">
        <v>7</v>
      </c>
      <c r="C136" s="2">
        <v>43392</v>
      </c>
      <c r="D136" s="11" t="s">
        <v>130</v>
      </c>
      <c r="E136" s="3">
        <f t="shared" ca="1" si="2"/>
        <v>751422656</v>
      </c>
      <c r="F136" t="s">
        <v>11</v>
      </c>
      <c r="G136" t="s">
        <v>15</v>
      </c>
      <c r="H136" s="1" t="s">
        <v>235</v>
      </c>
      <c r="I136" t="s">
        <v>17</v>
      </c>
      <c r="J136" s="4">
        <v>2</v>
      </c>
      <c r="K136" s="4">
        <v>71.31</v>
      </c>
      <c r="L136" s="4">
        <v>6</v>
      </c>
      <c r="M136" s="4">
        <v>11.12</v>
      </c>
      <c r="N136" s="4">
        <v>131.88499999999999</v>
      </c>
      <c r="O136" s="4">
        <v>487.8</v>
      </c>
      <c r="P136" s="4">
        <v>3.8764546470000001</v>
      </c>
      <c r="Q136" s="4">
        <v>92.32</v>
      </c>
      <c r="R136" t="str" cm="1">
        <f t="array" ref="R136">_xlfn.IFS(B136="NY","New York",B136="TX","Texas",B136="CA","California")</f>
        <v>Texas</v>
      </c>
    </row>
    <row r="137" spans="1:18" x14ac:dyDescent="0.3">
      <c r="A137" t="s">
        <v>2</v>
      </c>
      <c r="B137" t="s">
        <v>7</v>
      </c>
      <c r="C137" s="2">
        <v>43459</v>
      </c>
      <c r="D137" s="11" t="s">
        <v>116</v>
      </c>
      <c r="E137" s="3">
        <f t="shared" ca="1" si="2"/>
        <v>32394454</v>
      </c>
      <c r="F137" t="s">
        <v>12</v>
      </c>
      <c r="G137" t="s">
        <v>15</v>
      </c>
      <c r="H137" s="1" t="s">
        <v>236</v>
      </c>
      <c r="I137" t="s">
        <v>22</v>
      </c>
      <c r="J137" s="4">
        <v>6.7</v>
      </c>
      <c r="K137" s="4">
        <v>63.81</v>
      </c>
      <c r="L137" s="4">
        <v>3</v>
      </c>
      <c r="M137" s="4">
        <v>88.4</v>
      </c>
      <c r="N137" s="4">
        <v>109.9654</v>
      </c>
      <c r="O137" s="4">
        <v>270.66000000000003</v>
      </c>
      <c r="P137" s="4">
        <v>3.8764546470000001</v>
      </c>
      <c r="Q137" s="4">
        <v>48.4</v>
      </c>
      <c r="R137" t="str" cm="1">
        <f t="array" ref="R137">_xlfn.IFS(B137="NY","New York",B137="TX","Texas",B137="CA","California")</f>
        <v>Texas</v>
      </c>
    </row>
    <row r="138" spans="1:18" x14ac:dyDescent="0.3">
      <c r="A138" t="s">
        <v>1</v>
      </c>
      <c r="B138" t="s">
        <v>6</v>
      </c>
      <c r="C138" s="2">
        <v>43039</v>
      </c>
      <c r="D138" s="11" t="s">
        <v>131</v>
      </c>
      <c r="E138" s="3">
        <f t="shared" ca="1" si="2"/>
        <v>293878044</v>
      </c>
      <c r="F138" t="s">
        <v>11</v>
      </c>
      <c r="G138" t="s">
        <v>15</v>
      </c>
      <c r="H138" s="1" t="s">
        <v>237</v>
      </c>
      <c r="I138" t="s">
        <v>18</v>
      </c>
      <c r="J138" s="4">
        <v>8.1999999999999993</v>
      </c>
      <c r="K138" s="4">
        <v>64.23</v>
      </c>
      <c r="L138" s="4">
        <v>5</v>
      </c>
      <c r="M138" s="4">
        <v>45.43</v>
      </c>
      <c r="N138" s="4">
        <v>189.83799999999999</v>
      </c>
      <c r="O138" s="4">
        <v>131.55000000000001</v>
      </c>
      <c r="P138" s="4">
        <v>3.8764546470000001</v>
      </c>
      <c r="Q138" s="4">
        <v>90.802000000000007</v>
      </c>
      <c r="R138" t="str" cm="1">
        <f t="array" ref="R138">_xlfn.IFS(B138="NY","New York",B138="TX","Texas",B138="CA","California")</f>
        <v>New York</v>
      </c>
    </row>
    <row r="139" spans="1:18" x14ac:dyDescent="0.3">
      <c r="A139" t="s">
        <v>1</v>
      </c>
      <c r="B139" t="s">
        <v>6</v>
      </c>
      <c r="C139" s="2">
        <v>43206</v>
      </c>
      <c r="D139" s="11" t="s">
        <v>132</v>
      </c>
      <c r="E139" s="3">
        <f t="shared" ca="1" si="2"/>
        <v>643027131</v>
      </c>
      <c r="F139" t="s">
        <v>11</v>
      </c>
      <c r="G139" t="s">
        <v>14</v>
      </c>
      <c r="H139" s="1" t="s">
        <v>236</v>
      </c>
      <c r="I139" t="s">
        <v>19</v>
      </c>
      <c r="J139" s="4">
        <v>3</v>
      </c>
      <c r="K139" s="4">
        <v>12.43</v>
      </c>
      <c r="L139" s="4">
        <v>6</v>
      </c>
      <c r="M139" s="4">
        <v>25.1</v>
      </c>
      <c r="N139" s="4">
        <v>189.685</v>
      </c>
      <c r="O139" s="4">
        <v>206.52</v>
      </c>
      <c r="P139" s="4">
        <v>3.8764546470000001</v>
      </c>
      <c r="Q139" s="4">
        <v>96.635999999999996</v>
      </c>
      <c r="R139" t="str" cm="1">
        <f t="array" ref="R139">_xlfn.IFS(B139="NY","New York",B139="TX","Texas",B139="CA","California")</f>
        <v>New York</v>
      </c>
    </row>
    <row r="140" spans="1:18" x14ac:dyDescent="0.3">
      <c r="A140" t="s">
        <v>3</v>
      </c>
      <c r="B140" t="s">
        <v>8</v>
      </c>
      <c r="C140" s="2">
        <v>43411</v>
      </c>
      <c r="D140" s="11" t="s">
        <v>133</v>
      </c>
      <c r="E140" s="3">
        <f t="shared" ca="1" si="2"/>
        <v>697859086</v>
      </c>
      <c r="F140" t="s">
        <v>12</v>
      </c>
      <c r="G140" t="s">
        <v>15</v>
      </c>
      <c r="H140" s="1" t="s">
        <v>236</v>
      </c>
      <c r="I140" t="s">
        <v>20</v>
      </c>
      <c r="J140" s="4">
        <v>1</v>
      </c>
      <c r="K140" s="4">
        <v>42.98</v>
      </c>
      <c r="L140" s="4">
        <v>10</v>
      </c>
      <c r="M140" s="4">
        <v>17.920000000000002</v>
      </c>
      <c r="N140" s="4">
        <v>136.73920000000001</v>
      </c>
      <c r="O140" s="4">
        <v>519.1</v>
      </c>
      <c r="P140" s="4">
        <v>3.8764546470000001</v>
      </c>
      <c r="Q140" s="4">
        <v>12.294</v>
      </c>
      <c r="R140" t="str" cm="1">
        <f t="array" ref="R140">_xlfn.IFS(B140="NY","New York",B140="TX","Texas",B140="CA","California")</f>
        <v>California</v>
      </c>
    </row>
    <row r="141" spans="1:18" x14ac:dyDescent="0.3">
      <c r="A141" t="s">
        <v>1</v>
      </c>
      <c r="B141" t="s">
        <v>6</v>
      </c>
      <c r="C141" s="2">
        <v>42799</v>
      </c>
      <c r="D141" s="11" t="s">
        <v>134</v>
      </c>
      <c r="E141" s="3">
        <f t="shared" ca="1" si="2"/>
        <v>605043983</v>
      </c>
      <c r="F141" t="s">
        <v>12</v>
      </c>
      <c r="G141" t="s">
        <v>15</v>
      </c>
      <c r="H141" s="1" t="s">
        <v>235</v>
      </c>
      <c r="I141" t="s">
        <v>20</v>
      </c>
      <c r="J141" s="4">
        <v>9.6999999999999993</v>
      </c>
      <c r="K141" s="4">
        <v>37.86</v>
      </c>
      <c r="L141" s="4">
        <v>8</v>
      </c>
      <c r="M141" s="4">
        <v>90.8</v>
      </c>
      <c r="N141" s="4">
        <v>187.99930000000001</v>
      </c>
      <c r="O141" s="4">
        <v>580</v>
      </c>
      <c r="P141" s="4">
        <v>3.8764546470000001</v>
      </c>
      <c r="Q141" s="4">
        <v>99.766999999999996</v>
      </c>
      <c r="R141" t="str" cm="1">
        <f t="array" ref="R141">_xlfn.IFS(B141="NY","New York",B141="TX","Texas",B141="CA","California")</f>
        <v>New York</v>
      </c>
    </row>
    <row r="142" spans="1:18" x14ac:dyDescent="0.3">
      <c r="A142" t="s">
        <v>2</v>
      </c>
      <c r="B142" t="s">
        <v>7</v>
      </c>
      <c r="C142" s="2">
        <v>43090</v>
      </c>
      <c r="D142" s="11" t="s">
        <v>124</v>
      </c>
      <c r="E142" s="3">
        <f t="shared" ca="1" si="2"/>
        <v>483669379</v>
      </c>
      <c r="F142" t="s">
        <v>11</v>
      </c>
      <c r="G142" t="s">
        <v>14</v>
      </c>
      <c r="H142" s="1" t="s">
        <v>237</v>
      </c>
      <c r="I142" t="s">
        <v>20</v>
      </c>
      <c r="J142" s="4">
        <v>5</v>
      </c>
      <c r="K142" s="4">
        <v>84.17</v>
      </c>
      <c r="L142" s="4">
        <v>10</v>
      </c>
      <c r="M142" s="4">
        <v>28.06</v>
      </c>
      <c r="N142" s="4">
        <v>174.94970000000001</v>
      </c>
      <c r="O142" s="4">
        <v>898</v>
      </c>
      <c r="P142" s="4">
        <v>3.8764546470000001</v>
      </c>
      <c r="Q142" s="4">
        <v>28.33</v>
      </c>
      <c r="R142" t="str" cm="1">
        <f t="array" ref="R142">_xlfn.IFS(B142="NY","New York",B142="TX","Texas",B142="CA","California")</f>
        <v>Texas</v>
      </c>
    </row>
    <row r="143" spans="1:18" x14ac:dyDescent="0.3">
      <c r="A143" t="s">
        <v>2</v>
      </c>
      <c r="B143" t="s">
        <v>7</v>
      </c>
      <c r="C143" s="2">
        <v>43409</v>
      </c>
      <c r="D143" s="11" t="s">
        <v>135</v>
      </c>
      <c r="E143" s="3">
        <f t="shared" ca="1" si="2"/>
        <v>125932217</v>
      </c>
      <c r="F143" t="s">
        <v>12</v>
      </c>
      <c r="G143" t="s">
        <v>14</v>
      </c>
      <c r="H143" s="1" t="s">
        <v>236</v>
      </c>
      <c r="I143" t="s">
        <v>17</v>
      </c>
      <c r="J143" s="4">
        <v>7.2</v>
      </c>
      <c r="K143" s="4">
        <v>72.510000000000005</v>
      </c>
      <c r="L143" s="4">
        <v>10</v>
      </c>
      <c r="M143" s="4">
        <v>13.85</v>
      </c>
      <c r="N143" s="4">
        <v>144.30109999999999</v>
      </c>
      <c r="O143" s="4">
        <v>905</v>
      </c>
      <c r="P143" s="4">
        <v>3.8764546470000001</v>
      </c>
      <c r="Q143" s="4">
        <v>59.45</v>
      </c>
      <c r="R143" t="str" cm="1">
        <f t="array" ref="R143">_xlfn.IFS(B143="NY","New York",B143="TX","Texas",B143="CA","California")</f>
        <v>Texas</v>
      </c>
    </row>
    <row r="144" spans="1:18" x14ac:dyDescent="0.3">
      <c r="A144" t="s">
        <v>2</v>
      </c>
      <c r="B144" t="s">
        <v>7</v>
      </c>
      <c r="C144" s="2">
        <v>42952</v>
      </c>
      <c r="D144" s="11" t="s">
        <v>136</v>
      </c>
      <c r="E144" s="3">
        <f t="shared" ca="1" si="2"/>
        <v>374002850</v>
      </c>
      <c r="F144" t="s">
        <v>11</v>
      </c>
      <c r="G144" t="s">
        <v>14</v>
      </c>
      <c r="H144" s="1" t="s">
        <v>236</v>
      </c>
      <c r="I144" t="s">
        <v>17</v>
      </c>
      <c r="J144" s="4">
        <v>1</v>
      </c>
      <c r="K144" s="4">
        <v>22.82</v>
      </c>
      <c r="L144" s="4">
        <v>10</v>
      </c>
      <c r="M144" s="4">
        <v>88.54</v>
      </c>
      <c r="N144" s="4">
        <v>154.0224</v>
      </c>
      <c r="O144" s="4">
        <v>686</v>
      </c>
      <c r="P144" s="4">
        <v>3.8764546470000001</v>
      </c>
      <c r="Q144" s="4">
        <v>58.41</v>
      </c>
      <c r="R144" t="str" cm="1">
        <f t="array" ref="R144">_xlfn.IFS(B144="NY","New York",B144="TX","Texas",B144="CA","California")</f>
        <v>Texas</v>
      </c>
    </row>
    <row r="145" spans="1:18" x14ac:dyDescent="0.3">
      <c r="A145" t="s">
        <v>2</v>
      </c>
      <c r="B145" t="s">
        <v>7</v>
      </c>
      <c r="C145" s="2">
        <v>43395</v>
      </c>
      <c r="D145" s="11" t="s">
        <v>137</v>
      </c>
      <c r="E145" s="3">
        <f t="shared" ca="1" si="2"/>
        <v>896157082</v>
      </c>
      <c r="F145" t="s">
        <v>11</v>
      </c>
      <c r="G145" t="s">
        <v>14</v>
      </c>
      <c r="H145" s="1" t="s">
        <v>237</v>
      </c>
      <c r="I145" t="s">
        <v>21</v>
      </c>
      <c r="J145" s="4">
        <v>8.1999999999999993</v>
      </c>
      <c r="K145" s="4">
        <v>76.14</v>
      </c>
      <c r="L145" s="4">
        <v>1</v>
      </c>
      <c r="M145" s="4">
        <v>26.23</v>
      </c>
      <c r="N145" s="4">
        <v>158.32069999999999</v>
      </c>
      <c r="O145" s="4">
        <v>30.41</v>
      </c>
      <c r="P145" s="4">
        <v>3.8764546470000001</v>
      </c>
      <c r="Q145" s="4">
        <v>72.947999999999993</v>
      </c>
      <c r="R145" t="str" cm="1">
        <f t="array" ref="R145">_xlfn.IFS(B145="NY","New York",B145="TX","Texas",B145="CA","California")</f>
        <v>Texas</v>
      </c>
    </row>
    <row r="146" spans="1:18" x14ac:dyDescent="0.3">
      <c r="A146" t="s">
        <v>1</v>
      </c>
      <c r="B146" t="s">
        <v>6</v>
      </c>
      <c r="C146" s="2">
        <v>43103</v>
      </c>
      <c r="D146" s="11" t="s">
        <v>79</v>
      </c>
      <c r="E146" s="3">
        <f t="shared" ca="1" si="2"/>
        <v>655046355</v>
      </c>
      <c r="F146" t="s">
        <v>11</v>
      </c>
      <c r="G146" t="s">
        <v>15</v>
      </c>
      <c r="H146" s="1" t="s">
        <v>235</v>
      </c>
      <c r="I146" t="s">
        <v>19</v>
      </c>
      <c r="J146" s="4">
        <v>4</v>
      </c>
      <c r="K146" s="4">
        <v>48.83</v>
      </c>
      <c r="L146" s="4">
        <v>6</v>
      </c>
      <c r="M146" s="4">
        <v>83.52</v>
      </c>
      <c r="N146" s="4">
        <v>134.73009999999999</v>
      </c>
      <c r="O146" s="4">
        <v>467.7</v>
      </c>
      <c r="P146" s="4">
        <v>3.8764546470000001</v>
      </c>
      <c r="Q146" s="4">
        <v>22.081</v>
      </c>
      <c r="R146" t="str" cm="1">
        <f t="array" ref="R146">_xlfn.IFS(B146="NY","New York",B146="TX","Texas",B146="CA","California")</f>
        <v>New York</v>
      </c>
    </row>
    <row r="147" spans="1:18" x14ac:dyDescent="0.3">
      <c r="A147" t="s">
        <v>2</v>
      </c>
      <c r="B147" t="s">
        <v>7</v>
      </c>
      <c r="C147" s="2">
        <v>42908</v>
      </c>
      <c r="D147" s="11" t="s">
        <v>138</v>
      </c>
      <c r="E147" s="3">
        <f t="shared" ca="1" si="2"/>
        <v>832394707</v>
      </c>
      <c r="F147" t="s">
        <v>11</v>
      </c>
      <c r="G147" t="s">
        <v>15</v>
      </c>
      <c r="H147" s="1" t="s">
        <v>237</v>
      </c>
      <c r="I147" t="s">
        <v>17</v>
      </c>
      <c r="J147" s="4">
        <v>7.8</v>
      </c>
      <c r="K147" s="4">
        <v>35.049999999999997</v>
      </c>
      <c r="L147" s="4">
        <v>6</v>
      </c>
      <c r="M147" s="4">
        <v>56.67</v>
      </c>
      <c r="N147" s="4">
        <v>136.12880000000001</v>
      </c>
      <c r="O147" s="4">
        <v>277.56</v>
      </c>
      <c r="P147" s="4">
        <v>3.8764546470000001</v>
      </c>
      <c r="Q147" s="4">
        <v>93.947000000000003</v>
      </c>
      <c r="R147" t="str" cm="1">
        <f t="array" ref="R147">_xlfn.IFS(B147="NY","New York",B147="TX","Texas",B147="CA","California")</f>
        <v>Texas</v>
      </c>
    </row>
    <row r="148" spans="1:18" x14ac:dyDescent="0.3">
      <c r="A148" t="s">
        <v>1</v>
      </c>
      <c r="B148" t="s">
        <v>6</v>
      </c>
      <c r="C148" s="2">
        <v>42932</v>
      </c>
      <c r="D148" s="11" t="s">
        <v>139</v>
      </c>
      <c r="E148" s="3">
        <f t="shared" ca="1" si="2"/>
        <v>22487458</v>
      </c>
      <c r="F148" t="s">
        <v>11</v>
      </c>
      <c r="G148" t="s">
        <v>14</v>
      </c>
      <c r="H148" s="1" t="s">
        <v>235</v>
      </c>
      <c r="I148" t="s">
        <v>22</v>
      </c>
      <c r="J148" s="4">
        <v>5</v>
      </c>
      <c r="K148" s="4">
        <v>35.200000000000003</v>
      </c>
      <c r="L148" s="4">
        <v>10</v>
      </c>
      <c r="M148" s="4">
        <v>86.2</v>
      </c>
      <c r="N148" s="4">
        <v>113.23480000000001</v>
      </c>
      <c r="O148" s="4">
        <v>301.39999999999998</v>
      </c>
      <c r="P148" s="4">
        <v>3.8764546470000001</v>
      </c>
      <c r="Q148" s="4">
        <v>75.3</v>
      </c>
      <c r="R148" t="str" cm="1">
        <f t="array" ref="R148">_xlfn.IFS(B148="NY","New York",B148="TX","Texas",B148="CA","California")</f>
        <v>New York</v>
      </c>
    </row>
    <row r="149" spans="1:18" x14ac:dyDescent="0.3">
      <c r="A149" t="s">
        <v>2</v>
      </c>
      <c r="B149" t="s">
        <v>7</v>
      </c>
      <c r="C149" s="2">
        <v>42995</v>
      </c>
      <c r="D149" s="11" t="s">
        <v>59</v>
      </c>
      <c r="E149" s="3">
        <f t="shared" ca="1" si="2"/>
        <v>981382085</v>
      </c>
      <c r="F149" t="s">
        <v>12</v>
      </c>
      <c r="G149" t="s">
        <v>15</v>
      </c>
      <c r="H149" s="1" t="s">
        <v>237</v>
      </c>
      <c r="I149" t="s">
        <v>17</v>
      </c>
      <c r="J149" s="4">
        <v>9.8000000000000007</v>
      </c>
      <c r="K149" s="4">
        <v>23.57</v>
      </c>
      <c r="L149" s="4">
        <v>4</v>
      </c>
      <c r="M149" s="4">
        <v>31.79</v>
      </c>
      <c r="N149" s="4">
        <v>155.71190000000001</v>
      </c>
      <c r="O149" s="4">
        <v>264.56</v>
      </c>
      <c r="P149" s="4">
        <v>3.8764546470000001</v>
      </c>
      <c r="Q149" s="4">
        <v>45.62</v>
      </c>
      <c r="R149" t="str" cm="1">
        <f t="array" ref="R149">_xlfn.IFS(B149="NY","New York",B149="TX","Texas",B149="CA","California")</f>
        <v>Texas</v>
      </c>
    </row>
    <row r="150" spans="1:18" x14ac:dyDescent="0.3">
      <c r="A150" t="s">
        <v>3</v>
      </c>
      <c r="B150" t="s">
        <v>8</v>
      </c>
      <c r="C150" s="2">
        <v>43392</v>
      </c>
      <c r="D150" s="11" t="s">
        <v>96</v>
      </c>
      <c r="E150" s="3">
        <f t="shared" ca="1" si="2"/>
        <v>370806685</v>
      </c>
      <c r="F150" t="s">
        <v>12</v>
      </c>
      <c r="G150" t="s">
        <v>14</v>
      </c>
      <c r="H150" s="1" t="s">
        <v>237</v>
      </c>
      <c r="I150" t="s">
        <v>19</v>
      </c>
      <c r="J150" s="4">
        <v>9.6</v>
      </c>
      <c r="K150" s="4">
        <v>30.8</v>
      </c>
      <c r="L150" s="4">
        <v>8</v>
      </c>
      <c r="M150" s="4">
        <v>89.67</v>
      </c>
      <c r="N150" s="4">
        <v>104.34180000000001</v>
      </c>
      <c r="O150" s="4">
        <v>574.88</v>
      </c>
      <c r="P150" s="4">
        <v>3.8764546470000001</v>
      </c>
      <c r="Q150" s="4">
        <v>88.48</v>
      </c>
      <c r="R150" t="str" cm="1">
        <f t="array" ref="R150">_xlfn.IFS(B150="NY","New York",B150="TX","Texas",B150="CA","California")</f>
        <v>California</v>
      </c>
    </row>
    <row r="151" spans="1:18" x14ac:dyDescent="0.3">
      <c r="A151" t="s">
        <v>1</v>
      </c>
      <c r="B151" t="s">
        <v>6</v>
      </c>
      <c r="C151" s="2">
        <v>43278</v>
      </c>
      <c r="D151" s="11" t="s">
        <v>86</v>
      </c>
      <c r="E151" s="3">
        <f t="shared" ca="1" si="2"/>
        <v>628120117</v>
      </c>
      <c r="F151" t="s">
        <v>12</v>
      </c>
      <c r="G151" t="s">
        <v>15</v>
      </c>
      <c r="H151" s="1" t="s">
        <v>237</v>
      </c>
      <c r="I151" t="s">
        <v>17</v>
      </c>
      <c r="J151" s="4">
        <v>5</v>
      </c>
      <c r="K151" s="4">
        <v>85.02</v>
      </c>
      <c r="L151" s="4">
        <v>8</v>
      </c>
      <c r="M151" s="4">
        <v>48.43</v>
      </c>
      <c r="N151" s="4">
        <v>136.95480000000001</v>
      </c>
      <c r="O151" s="4">
        <v>259.68</v>
      </c>
      <c r="P151" s="4">
        <v>3.8764546470000001</v>
      </c>
      <c r="Q151" s="4">
        <v>21.42</v>
      </c>
      <c r="R151" t="str" cm="1">
        <f t="array" ref="R151">_xlfn.IFS(B151="NY","New York",B151="TX","Texas",B151="CA","California")</f>
        <v>New York</v>
      </c>
    </row>
    <row r="152" spans="1:18" x14ac:dyDescent="0.3">
      <c r="A152" t="s">
        <v>3</v>
      </c>
      <c r="B152" t="s">
        <v>8</v>
      </c>
      <c r="C152" s="2">
        <v>43440</v>
      </c>
      <c r="D152" s="11" t="s">
        <v>140</v>
      </c>
      <c r="E152" s="3">
        <f t="shared" ca="1" si="2"/>
        <v>591777299</v>
      </c>
      <c r="F152" t="s">
        <v>11</v>
      </c>
      <c r="G152" t="s">
        <v>14</v>
      </c>
      <c r="H152" s="1" t="s">
        <v>237</v>
      </c>
      <c r="I152" t="s">
        <v>22</v>
      </c>
      <c r="J152" s="4">
        <v>4</v>
      </c>
      <c r="K152" s="4">
        <v>37.75</v>
      </c>
      <c r="L152" s="4">
        <v>4</v>
      </c>
      <c r="M152" s="4">
        <v>19.920000000000002</v>
      </c>
      <c r="N152" s="4">
        <v>189.51840000000001</v>
      </c>
      <c r="O152" s="4">
        <v>366.16</v>
      </c>
      <c r="P152" s="4">
        <v>3.8764546470000001</v>
      </c>
      <c r="Q152" s="4">
        <v>92.34</v>
      </c>
      <c r="R152" t="str" cm="1">
        <f t="array" ref="R152">_xlfn.IFS(B152="NY","New York",B152="TX","Texas",B152="CA","California")</f>
        <v>California</v>
      </c>
    </row>
    <row r="153" spans="1:18" x14ac:dyDescent="0.3">
      <c r="A153" t="s">
        <v>2</v>
      </c>
      <c r="B153" t="s">
        <v>7</v>
      </c>
      <c r="C153" s="2">
        <v>42887</v>
      </c>
      <c r="D153" s="11" t="s">
        <v>35</v>
      </c>
      <c r="E153" s="3">
        <f t="shared" ca="1" si="2"/>
        <v>875539623</v>
      </c>
      <c r="F153" t="s">
        <v>12</v>
      </c>
      <c r="G153" t="s">
        <v>14</v>
      </c>
      <c r="H153" s="1" t="s">
        <v>237</v>
      </c>
      <c r="I153" t="s">
        <v>20</v>
      </c>
      <c r="J153" s="4">
        <v>2</v>
      </c>
      <c r="K153" s="4">
        <v>56.5</v>
      </c>
      <c r="L153" s="4">
        <v>7</v>
      </c>
      <c r="M153" s="4">
        <v>21.5</v>
      </c>
      <c r="N153" s="4">
        <v>100.1893</v>
      </c>
      <c r="O153" s="4">
        <v>241.92</v>
      </c>
      <c r="P153" s="4">
        <v>3.8764546470000001</v>
      </c>
      <c r="Q153" s="4">
        <v>43.164000000000001</v>
      </c>
      <c r="R153" t="str" cm="1">
        <f t="array" ref="R153">_xlfn.IFS(B153="NY","New York",B153="TX","Texas",B153="CA","California")</f>
        <v>Texas</v>
      </c>
    </row>
    <row r="154" spans="1:18" x14ac:dyDescent="0.3">
      <c r="A154" t="s">
        <v>1</v>
      </c>
      <c r="B154" t="s">
        <v>6</v>
      </c>
      <c r="C154" s="2">
        <v>42892</v>
      </c>
      <c r="D154" s="11" t="s">
        <v>78</v>
      </c>
      <c r="E154" s="3">
        <f t="shared" ca="1" si="2"/>
        <v>535919065</v>
      </c>
      <c r="F154" t="s">
        <v>12</v>
      </c>
      <c r="G154" t="s">
        <v>15</v>
      </c>
      <c r="H154" s="1" t="s">
        <v>237</v>
      </c>
      <c r="I154" t="s">
        <v>22</v>
      </c>
      <c r="J154" s="4">
        <v>7</v>
      </c>
      <c r="K154" s="4">
        <v>58.17</v>
      </c>
      <c r="L154" s="4">
        <v>9</v>
      </c>
      <c r="M154" s="4">
        <v>45.6</v>
      </c>
      <c r="N154" s="4">
        <v>120.5145</v>
      </c>
      <c r="O154" s="4">
        <v>749.16</v>
      </c>
      <c r="P154" s="4">
        <v>3.8764546470000001</v>
      </c>
      <c r="Q154" s="4">
        <v>44.462000000000003</v>
      </c>
      <c r="R154" t="str" cm="1">
        <f t="array" ref="R154">_xlfn.IFS(B154="NY","New York",B154="TX","Texas",B154="CA","California")</f>
        <v>New York</v>
      </c>
    </row>
    <row r="155" spans="1:18" x14ac:dyDescent="0.3">
      <c r="A155" t="s">
        <v>2</v>
      </c>
      <c r="B155" t="s">
        <v>7</v>
      </c>
      <c r="C155" s="2">
        <v>43196</v>
      </c>
      <c r="D155" s="11" t="s">
        <v>122</v>
      </c>
      <c r="E155" s="3">
        <f t="shared" ca="1" si="2"/>
        <v>93229494</v>
      </c>
      <c r="F155" t="s">
        <v>11</v>
      </c>
      <c r="G155" t="s">
        <v>15</v>
      </c>
      <c r="H155" s="1" t="s">
        <v>235</v>
      </c>
      <c r="I155" t="s">
        <v>21</v>
      </c>
      <c r="J155" s="4">
        <v>9</v>
      </c>
      <c r="K155" s="4">
        <v>42.51</v>
      </c>
      <c r="L155" s="4">
        <v>6</v>
      </c>
      <c r="M155" s="4">
        <v>39</v>
      </c>
      <c r="N155" s="4">
        <v>146.53800000000001</v>
      </c>
      <c r="O155" s="4">
        <v>98.88</v>
      </c>
      <c r="P155" s="4">
        <v>3.8764546470000001</v>
      </c>
      <c r="Q155" s="4">
        <v>66.224000000000004</v>
      </c>
      <c r="R155" t="str" cm="1">
        <f t="array" ref="R155">_xlfn.IFS(B155="NY","New York",B155="TX","Texas",B155="CA","California")</f>
        <v>Texas</v>
      </c>
    </row>
    <row r="156" spans="1:18" x14ac:dyDescent="0.3">
      <c r="A156" t="s">
        <v>2</v>
      </c>
      <c r="B156" t="s">
        <v>7</v>
      </c>
      <c r="C156" s="2">
        <v>42921</v>
      </c>
      <c r="D156" s="11" t="s">
        <v>141</v>
      </c>
      <c r="E156" s="3">
        <f t="shared" ca="1" si="2"/>
        <v>448657189</v>
      </c>
      <c r="F156" t="s">
        <v>11</v>
      </c>
      <c r="G156" t="s">
        <v>15</v>
      </c>
      <c r="H156" s="1" t="s">
        <v>236</v>
      </c>
      <c r="I156" t="s">
        <v>20</v>
      </c>
      <c r="J156" s="4">
        <v>6</v>
      </c>
      <c r="K156" s="4">
        <v>45.8</v>
      </c>
      <c r="L156" s="4">
        <v>8</v>
      </c>
      <c r="M156" s="4">
        <v>52</v>
      </c>
      <c r="N156" s="4">
        <v>137.58690000000001</v>
      </c>
      <c r="O156" s="4">
        <v>647.76</v>
      </c>
      <c r="P156" s="4">
        <v>3.8764546470000001</v>
      </c>
      <c r="Q156" s="4">
        <v>81.039000000000001</v>
      </c>
      <c r="R156" t="str" cm="1">
        <f t="array" ref="R156">_xlfn.IFS(B156="NY","New York",B156="TX","Texas",B156="CA","California")</f>
        <v>Texas</v>
      </c>
    </row>
    <row r="157" spans="1:18" x14ac:dyDescent="0.3">
      <c r="A157" t="s">
        <v>1</v>
      </c>
      <c r="B157" t="s">
        <v>6</v>
      </c>
      <c r="C157" s="2">
        <v>42959</v>
      </c>
      <c r="D157" s="11" t="s">
        <v>142</v>
      </c>
      <c r="E157" s="3">
        <f t="shared" ca="1" si="2"/>
        <v>43873480</v>
      </c>
      <c r="F157" t="s">
        <v>12</v>
      </c>
      <c r="G157" t="s">
        <v>14</v>
      </c>
      <c r="H157" s="1" t="s">
        <v>237</v>
      </c>
      <c r="I157" t="s">
        <v>21</v>
      </c>
      <c r="J157" s="4">
        <v>3.8</v>
      </c>
      <c r="K157" s="4">
        <v>82.31</v>
      </c>
      <c r="L157" s="4">
        <v>5</v>
      </c>
      <c r="M157" s="4">
        <v>46.7</v>
      </c>
      <c r="N157" s="4">
        <v>139.6866</v>
      </c>
      <c r="O157" s="4">
        <v>461.45</v>
      </c>
      <c r="P157" s="4">
        <v>3.8764546470000001</v>
      </c>
      <c r="Q157" s="4">
        <v>45.33</v>
      </c>
      <c r="R157" t="str" cm="1">
        <f t="array" ref="R157">_xlfn.IFS(B157="NY","New York",B157="TX","Texas",B157="CA","California")</f>
        <v>New York</v>
      </c>
    </row>
    <row r="158" spans="1:18" x14ac:dyDescent="0.3">
      <c r="A158" t="s">
        <v>3</v>
      </c>
      <c r="B158" t="s">
        <v>8</v>
      </c>
      <c r="C158" s="2">
        <v>43230</v>
      </c>
      <c r="D158" s="11" t="s">
        <v>143</v>
      </c>
      <c r="E158" s="3">
        <f t="shared" ca="1" si="2"/>
        <v>746698851</v>
      </c>
      <c r="F158" t="s">
        <v>12</v>
      </c>
      <c r="G158" t="s">
        <v>14</v>
      </c>
      <c r="H158" s="1" t="s">
        <v>236</v>
      </c>
      <c r="I158" t="s">
        <v>18</v>
      </c>
      <c r="J158" s="4">
        <v>1.6</v>
      </c>
      <c r="K158" s="4">
        <v>57.83</v>
      </c>
      <c r="L158" s="4">
        <v>1</v>
      </c>
      <c r="M158" s="4">
        <v>77.7</v>
      </c>
      <c r="N158" s="4">
        <v>168.1799</v>
      </c>
      <c r="O158" s="4">
        <v>72.17</v>
      </c>
      <c r="P158" s="4">
        <v>3.8764546470000001</v>
      </c>
      <c r="Q158" s="4">
        <v>41.51</v>
      </c>
      <c r="R158" t="str" cm="1">
        <f t="array" ref="R158">_xlfn.IFS(B158="NY","New York",B158="TX","Texas",B158="CA","California")</f>
        <v>California</v>
      </c>
    </row>
    <row r="159" spans="1:18" x14ac:dyDescent="0.3">
      <c r="A159" t="s">
        <v>3</v>
      </c>
      <c r="B159" t="s">
        <v>8</v>
      </c>
      <c r="C159" s="2">
        <v>43235</v>
      </c>
      <c r="D159" s="11" t="s">
        <v>144</v>
      </c>
      <c r="E159" s="3">
        <f t="shared" ca="1" si="2"/>
        <v>39634006</v>
      </c>
      <c r="F159" t="s">
        <v>12</v>
      </c>
      <c r="G159" t="s">
        <v>15</v>
      </c>
      <c r="H159" s="1" t="s">
        <v>235</v>
      </c>
      <c r="I159" t="s">
        <v>19</v>
      </c>
      <c r="J159" s="4">
        <v>7.3</v>
      </c>
      <c r="K159" s="4">
        <v>47.24</v>
      </c>
      <c r="L159" s="4">
        <v>5</v>
      </c>
      <c r="M159" s="4">
        <v>98.05</v>
      </c>
      <c r="N159" s="4">
        <v>129.54499999999999</v>
      </c>
      <c r="O159" s="4">
        <v>251.4</v>
      </c>
      <c r="P159" s="4">
        <v>3.8764546470000001</v>
      </c>
      <c r="Q159" s="4">
        <v>88.13</v>
      </c>
      <c r="R159" t="str" cm="1">
        <f t="array" ref="R159">_xlfn.IFS(B159="NY","New York",B159="TX","Texas",B159="CA","California")</f>
        <v>California</v>
      </c>
    </row>
    <row r="160" spans="1:18" x14ac:dyDescent="0.3">
      <c r="A160" t="s">
        <v>3</v>
      </c>
      <c r="B160" t="s">
        <v>8</v>
      </c>
      <c r="C160" s="2">
        <v>43222</v>
      </c>
      <c r="D160" s="11" t="s">
        <v>87</v>
      </c>
      <c r="E160" s="3">
        <f t="shared" ca="1" si="2"/>
        <v>379269694</v>
      </c>
      <c r="F160" t="s">
        <v>12</v>
      </c>
      <c r="G160" t="s">
        <v>14</v>
      </c>
      <c r="H160" s="1" t="s">
        <v>235</v>
      </c>
      <c r="I160" t="s">
        <v>17</v>
      </c>
      <c r="J160" s="4">
        <v>3.8</v>
      </c>
      <c r="K160" s="4">
        <v>67.349999999999994</v>
      </c>
      <c r="L160" s="4">
        <v>9</v>
      </c>
      <c r="M160" s="4">
        <v>27.15</v>
      </c>
      <c r="N160" s="4">
        <v>145.7739</v>
      </c>
      <c r="O160" s="4">
        <v>874.98</v>
      </c>
      <c r="P160" s="4">
        <v>3.8764546470000001</v>
      </c>
      <c r="Q160" s="4">
        <v>99.367000000000004</v>
      </c>
      <c r="R160" t="str" cm="1">
        <f t="array" ref="R160">_xlfn.IFS(B160="NY","New York",B160="TX","Texas",B160="CA","California")</f>
        <v>California</v>
      </c>
    </row>
    <row r="161" spans="1:18" x14ac:dyDescent="0.3">
      <c r="A161" t="s">
        <v>3</v>
      </c>
      <c r="B161" t="s">
        <v>8</v>
      </c>
      <c r="C161" s="2">
        <v>43355</v>
      </c>
      <c r="D161" s="11" t="s">
        <v>47</v>
      </c>
      <c r="E161" s="3">
        <f t="shared" ca="1" si="2"/>
        <v>569087759</v>
      </c>
      <c r="F161" t="s">
        <v>12</v>
      </c>
      <c r="G161" t="s">
        <v>15</v>
      </c>
      <c r="H161" s="1" t="s">
        <v>235</v>
      </c>
      <c r="I161" t="s">
        <v>20</v>
      </c>
      <c r="J161" s="4">
        <v>3</v>
      </c>
      <c r="K161" s="4">
        <v>89.47</v>
      </c>
      <c r="L161" s="4">
        <v>6</v>
      </c>
      <c r="M161" s="4">
        <v>71.62</v>
      </c>
      <c r="N161" s="4">
        <v>169.17660000000001</v>
      </c>
      <c r="O161" s="4">
        <v>560.34</v>
      </c>
      <c r="P161" s="4">
        <v>3.8764546470000001</v>
      </c>
      <c r="Q161" s="4">
        <v>92.462999999999994</v>
      </c>
      <c r="R161" t="str" cm="1">
        <f t="array" ref="R161">_xlfn.IFS(B161="NY","New York",B161="TX","Texas",B161="CA","California")</f>
        <v>California</v>
      </c>
    </row>
    <row r="162" spans="1:18" x14ac:dyDescent="0.3">
      <c r="A162" t="s">
        <v>2</v>
      </c>
      <c r="B162" t="s">
        <v>7</v>
      </c>
      <c r="C162" s="2">
        <v>43263</v>
      </c>
      <c r="D162" s="11" t="s">
        <v>145</v>
      </c>
      <c r="E162" s="3">
        <f t="shared" ca="1" si="2"/>
        <v>303222686</v>
      </c>
      <c r="F162" t="s">
        <v>11</v>
      </c>
      <c r="G162" t="s">
        <v>15</v>
      </c>
      <c r="H162" s="1" t="s">
        <v>237</v>
      </c>
      <c r="I162" t="s">
        <v>21</v>
      </c>
      <c r="J162" s="4">
        <v>5</v>
      </c>
      <c r="K162" s="4">
        <v>66.7</v>
      </c>
      <c r="L162" s="4">
        <v>8</v>
      </c>
      <c r="M162" s="4">
        <v>41.8</v>
      </c>
      <c r="N162" s="4">
        <v>179.6395</v>
      </c>
      <c r="O162" s="4">
        <v>345.44</v>
      </c>
      <c r="P162" s="4">
        <v>3.8764546470000001</v>
      </c>
      <c r="Q162" s="4">
        <v>24.039000000000001</v>
      </c>
      <c r="R162" t="str" cm="1">
        <f t="array" ref="R162">_xlfn.IFS(B162="NY","New York",B162="TX","Texas",B162="CA","California")</f>
        <v>Texas</v>
      </c>
    </row>
    <row r="163" spans="1:18" x14ac:dyDescent="0.3">
      <c r="A163" t="s">
        <v>1</v>
      </c>
      <c r="B163" t="s">
        <v>6</v>
      </c>
      <c r="C163" s="2">
        <v>43356</v>
      </c>
      <c r="D163" s="11" t="s">
        <v>146</v>
      </c>
      <c r="E163" s="3">
        <f t="shared" ca="1" si="2"/>
        <v>457992955</v>
      </c>
      <c r="F163" t="s">
        <v>12</v>
      </c>
      <c r="G163" t="s">
        <v>15</v>
      </c>
      <c r="H163" s="1" t="s">
        <v>236</v>
      </c>
      <c r="I163" t="s">
        <v>20</v>
      </c>
      <c r="J163" s="4">
        <v>7</v>
      </c>
      <c r="K163" s="4">
        <v>10.46</v>
      </c>
      <c r="L163" s="4">
        <v>1</v>
      </c>
      <c r="M163" s="4">
        <v>59.97</v>
      </c>
      <c r="N163" s="4">
        <v>161.08750000000001</v>
      </c>
      <c r="O163" s="4">
        <v>63.69</v>
      </c>
      <c r="P163" s="4">
        <v>3.8764546470000001</v>
      </c>
      <c r="Q163" s="4">
        <v>79.370999999999995</v>
      </c>
      <c r="R163" t="str" cm="1">
        <f t="array" ref="R163">_xlfn.IFS(B163="NY","New York",B163="TX","Texas",B163="CA","California")</f>
        <v>New York</v>
      </c>
    </row>
    <row r="164" spans="1:18" x14ac:dyDescent="0.3">
      <c r="A164" t="s">
        <v>1</v>
      </c>
      <c r="B164" t="s">
        <v>6</v>
      </c>
      <c r="C164" s="2">
        <v>42804</v>
      </c>
      <c r="D164" s="11" t="s">
        <v>77</v>
      </c>
      <c r="E164" s="3">
        <f t="shared" ca="1" si="2"/>
        <v>427898736</v>
      </c>
      <c r="F164" t="s">
        <v>12</v>
      </c>
      <c r="G164" t="s">
        <v>15</v>
      </c>
      <c r="H164" s="1" t="s">
        <v>237</v>
      </c>
      <c r="I164" t="s">
        <v>21</v>
      </c>
      <c r="J164" s="4">
        <v>4</v>
      </c>
      <c r="K164" s="4">
        <v>15.04</v>
      </c>
      <c r="L164" s="4">
        <v>7</v>
      </c>
      <c r="M164" s="4">
        <v>53.35</v>
      </c>
      <c r="N164" s="4">
        <v>170.80969999999999</v>
      </c>
      <c r="O164" s="4">
        <v>320.52999999999997</v>
      </c>
      <c r="P164" s="4">
        <v>3.8764546470000001</v>
      </c>
      <c r="Q164" s="4">
        <v>61.43</v>
      </c>
      <c r="R164" t="str" cm="1">
        <f t="array" ref="R164">_xlfn.IFS(B164="NY","New York",B164="TX","Texas",B164="CA","California")</f>
        <v>New York</v>
      </c>
    </row>
    <row r="165" spans="1:18" x14ac:dyDescent="0.3">
      <c r="A165" t="s">
        <v>2</v>
      </c>
      <c r="B165" t="s">
        <v>7</v>
      </c>
      <c r="C165" s="2">
        <v>42978</v>
      </c>
      <c r="D165" s="11" t="s">
        <v>82</v>
      </c>
      <c r="E165" s="3">
        <f t="shared" ca="1" si="2"/>
        <v>226851003</v>
      </c>
      <c r="F165" t="s">
        <v>12</v>
      </c>
      <c r="G165" t="s">
        <v>15</v>
      </c>
      <c r="H165" s="1" t="s">
        <v>235</v>
      </c>
      <c r="I165" t="s">
        <v>20</v>
      </c>
      <c r="J165" s="4">
        <v>6</v>
      </c>
      <c r="K165" s="4">
        <v>43.61</v>
      </c>
      <c r="L165" s="4">
        <v>2</v>
      </c>
      <c r="M165" s="4">
        <v>98.71</v>
      </c>
      <c r="N165" s="4">
        <v>115.0818</v>
      </c>
      <c r="O165" s="4">
        <v>152.80000000000001</v>
      </c>
      <c r="P165" s="4">
        <v>3.8764546470000001</v>
      </c>
      <c r="Q165" s="4">
        <v>91.034999999999997</v>
      </c>
      <c r="R165" t="str" cm="1">
        <f t="array" ref="R165">_xlfn.IFS(B165="NY","New York",B165="TX","Texas",B165="CA","California")</f>
        <v>Texas</v>
      </c>
    </row>
    <row r="166" spans="1:18" x14ac:dyDescent="0.3">
      <c r="A166" t="s">
        <v>3</v>
      </c>
      <c r="B166" t="s">
        <v>8</v>
      </c>
      <c r="C166" s="2">
        <v>43351</v>
      </c>
      <c r="D166" s="11" t="s">
        <v>147</v>
      </c>
      <c r="E166" s="3">
        <f t="shared" ca="1" si="2"/>
        <v>591122853</v>
      </c>
      <c r="F166" t="s">
        <v>12</v>
      </c>
      <c r="G166" t="s">
        <v>15</v>
      </c>
      <c r="H166" s="1" t="s">
        <v>237</v>
      </c>
      <c r="I166" t="s">
        <v>21</v>
      </c>
      <c r="J166" s="4">
        <v>1.7</v>
      </c>
      <c r="K166" s="4">
        <v>91.42</v>
      </c>
      <c r="L166" s="4">
        <v>10</v>
      </c>
      <c r="M166" s="4">
        <v>44.4</v>
      </c>
      <c r="N166" s="4">
        <v>118.0788</v>
      </c>
      <c r="O166" s="4">
        <v>399</v>
      </c>
      <c r="P166" s="4">
        <v>3.8764546470000001</v>
      </c>
      <c r="Q166" s="4">
        <v>42.655999999999999</v>
      </c>
      <c r="R166" t="str" cm="1">
        <f t="array" ref="R166">_xlfn.IFS(B166="NY","New York",B166="TX","Texas",B166="CA","California")</f>
        <v>California</v>
      </c>
    </row>
    <row r="167" spans="1:18" x14ac:dyDescent="0.3">
      <c r="A167" t="s">
        <v>3</v>
      </c>
      <c r="B167" t="s">
        <v>8</v>
      </c>
      <c r="C167" s="2">
        <v>43204</v>
      </c>
      <c r="D167" s="11" t="s">
        <v>148</v>
      </c>
      <c r="E167" s="3">
        <f t="shared" ca="1" si="2"/>
        <v>940195429</v>
      </c>
      <c r="F167" t="s">
        <v>12</v>
      </c>
      <c r="G167" t="s">
        <v>14</v>
      </c>
      <c r="H167" s="1" t="s">
        <v>235</v>
      </c>
      <c r="I167" t="s">
        <v>17</v>
      </c>
      <c r="J167" s="4">
        <v>8.5</v>
      </c>
      <c r="K167" s="4">
        <v>57.56</v>
      </c>
      <c r="L167" s="4">
        <v>8</v>
      </c>
      <c r="M167" s="4">
        <v>30.82</v>
      </c>
      <c r="N167" s="4">
        <v>113.99039999999999</v>
      </c>
      <c r="O167" s="4">
        <v>340.56</v>
      </c>
      <c r="P167" s="4">
        <v>3.8764546470000001</v>
      </c>
      <c r="Q167" s="4">
        <v>86.771000000000001</v>
      </c>
      <c r="R167" t="str" cm="1">
        <f t="array" ref="R167">_xlfn.IFS(B167="NY","New York",B167="TX","Texas",B167="CA","California")</f>
        <v>California</v>
      </c>
    </row>
    <row r="168" spans="1:18" x14ac:dyDescent="0.3">
      <c r="A168" t="s">
        <v>2</v>
      </c>
      <c r="B168" t="s">
        <v>7</v>
      </c>
      <c r="C168" s="2">
        <v>43396</v>
      </c>
      <c r="D168" s="11" t="s">
        <v>76</v>
      </c>
      <c r="E168" s="3">
        <f t="shared" ca="1" si="2"/>
        <v>94826131</v>
      </c>
      <c r="F168" t="s">
        <v>12</v>
      </c>
      <c r="G168" t="s">
        <v>15</v>
      </c>
      <c r="H168" s="1" t="s">
        <v>236</v>
      </c>
      <c r="I168" t="s">
        <v>19</v>
      </c>
      <c r="J168" s="4">
        <v>6.9</v>
      </c>
      <c r="K168" s="4">
        <v>56.01</v>
      </c>
      <c r="L168" s="4">
        <v>10</v>
      </c>
      <c r="M168" s="4">
        <v>51.46</v>
      </c>
      <c r="N168" s="4">
        <v>110.9102</v>
      </c>
      <c r="O168" s="4">
        <v>955.8</v>
      </c>
      <c r="P168" s="4">
        <v>3.8764546470000001</v>
      </c>
      <c r="Q168" s="4">
        <v>58.5</v>
      </c>
      <c r="R168" t="str" cm="1">
        <f t="array" ref="R168">_xlfn.IFS(B168="NY","New York",B168="TX","Texas",B168="CA","California")</f>
        <v>Texas</v>
      </c>
    </row>
    <row r="169" spans="1:18" x14ac:dyDescent="0.3">
      <c r="A169" t="s">
        <v>1</v>
      </c>
      <c r="B169" t="s">
        <v>6</v>
      </c>
      <c r="C169" s="2">
        <v>42908</v>
      </c>
      <c r="D169" s="11" t="s">
        <v>149</v>
      </c>
      <c r="E169" s="3">
        <f t="shared" ca="1" si="2"/>
        <v>461574960</v>
      </c>
      <c r="F169" t="s">
        <v>12</v>
      </c>
      <c r="G169" t="s">
        <v>15</v>
      </c>
      <c r="H169" s="1" t="s">
        <v>237</v>
      </c>
      <c r="I169" t="s">
        <v>22</v>
      </c>
      <c r="J169" s="4">
        <v>2</v>
      </c>
      <c r="K169" s="4">
        <v>59.94</v>
      </c>
      <c r="L169" s="4">
        <v>10</v>
      </c>
      <c r="M169" s="4">
        <v>88.47</v>
      </c>
      <c r="N169" s="4">
        <v>110.70310000000001</v>
      </c>
      <c r="O169" s="4">
        <v>989.8</v>
      </c>
      <c r="P169" s="4">
        <v>3.8764546470000001</v>
      </c>
      <c r="Q169" s="4">
        <v>88.05</v>
      </c>
      <c r="R169" t="str" cm="1">
        <f t="array" ref="R169">_xlfn.IFS(B169="NY","New York",B169="TX","Texas",B169="CA","California")</f>
        <v>New York</v>
      </c>
    </row>
    <row r="170" spans="1:18" x14ac:dyDescent="0.3">
      <c r="A170" t="s">
        <v>1</v>
      </c>
      <c r="B170" t="s">
        <v>6</v>
      </c>
      <c r="C170" s="2">
        <v>43230</v>
      </c>
      <c r="D170" s="11" t="s">
        <v>65</v>
      </c>
      <c r="E170" s="3">
        <f t="shared" ca="1" si="2"/>
        <v>940902839</v>
      </c>
      <c r="F170" t="s">
        <v>12</v>
      </c>
      <c r="G170" t="s">
        <v>15</v>
      </c>
      <c r="H170" s="1" t="s">
        <v>236</v>
      </c>
      <c r="I170" t="s">
        <v>21</v>
      </c>
      <c r="J170" s="4">
        <v>7.1</v>
      </c>
      <c r="K170" s="4">
        <v>66.319999999999993</v>
      </c>
      <c r="L170" s="4">
        <v>6</v>
      </c>
      <c r="M170" s="4">
        <v>58.73</v>
      </c>
      <c r="N170" s="4">
        <v>178.92760000000001</v>
      </c>
      <c r="O170" s="4">
        <v>307.68</v>
      </c>
      <c r="P170" s="4">
        <v>3.8764546470000001</v>
      </c>
      <c r="Q170" s="4">
        <v>92.65</v>
      </c>
      <c r="R170" t="str" cm="1">
        <f t="array" ref="R170">_xlfn.IFS(B170="NY","New York",B170="TX","Texas",B170="CA","California")</f>
        <v>New York</v>
      </c>
    </row>
    <row r="171" spans="1:18" x14ac:dyDescent="0.3">
      <c r="A171" t="s">
        <v>1</v>
      </c>
      <c r="B171" t="s">
        <v>6</v>
      </c>
      <c r="C171" s="2">
        <v>43036</v>
      </c>
      <c r="D171" s="11" t="s">
        <v>150</v>
      </c>
      <c r="E171" s="3">
        <f t="shared" ca="1" si="2"/>
        <v>190144128</v>
      </c>
      <c r="F171" t="s">
        <v>12</v>
      </c>
      <c r="G171" t="s">
        <v>14</v>
      </c>
      <c r="H171" s="1" t="s">
        <v>237</v>
      </c>
      <c r="I171" t="s">
        <v>20</v>
      </c>
      <c r="J171" s="4">
        <v>7.5</v>
      </c>
      <c r="K171" s="4">
        <v>16.170000000000002</v>
      </c>
      <c r="L171" s="4">
        <v>7</v>
      </c>
      <c r="M171" s="4">
        <v>29.84</v>
      </c>
      <c r="N171" s="4">
        <v>174.17160000000001</v>
      </c>
      <c r="O171" s="4">
        <v>486.64</v>
      </c>
      <c r="P171" s="4">
        <v>3.8764546470000001</v>
      </c>
      <c r="Q171" s="4">
        <v>52.16</v>
      </c>
      <c r="R171" t="str" cm="1">
        <f t="array" ref="R171">_xlfn.IFS(B171="NY","New York",B171="TX","Texas",B171="CA","California")</f>
        <v>New York</v>
      </c>
    </row>
    <row r="172" spans="1:18" x14ac:dyDescent="0.3">
      <c r="A172" t="s">
        <v>1</v>
      </c>
      <c r="B172" t="s">
        <v>6</v>
      </c>
      <c r="C172" s="2">
        <v>43176</v>
      </c>
      <c r="D172" s="11" t="s">
        <v>53</v>
      </c>
      <c r="E172" s="3">
        <f t="shared" ca="1" si="2"/>
        <v>945394843</v>
      </c>
      <c r="F172" t="s">
        <v>12</v>
      </c>
      <c r="G172" t="s">
        <v>15</v>
      </c>
      <c r="H172" s="1" t="s">
        <v>235</v>
      </c>
      <c r="I172" t="s">
        <v>17</v>
      </c>
      <c r="J172" s="4">
        <v>6.4</v>
      </c>
      <c r="K172" s="4">
        <v>81.06</v>
      </c>
      <c r="L172" s="4">
        <v>5</v>
      </c>
      <c r="M172" s="4">
        <v>98.57</v>
      </c>
      <c r="N172" s="4">
        <v>111.3092</v>
      </c>
      <c r="O172" s="4">
        <v>350.05</v>
      </c>
      <c r="P172" s="4">
        <v>3.8764546470000001</v>
      </c>
      <c r="Q172" s="4">
        <v>47.808</v>
      </c>
      <c r="R172" t="str" cm="1">
        <f t="array" ref="R172">_xlfn.IFS(B172="NY","New York",B172="TX","Texas",B172="CA","California")</f>
        <v>New York</v>
      </c>
    </row>
    <row r="173" spans="1:18" x14ac:dyDescent="0.3">
      <c r="A173" t="s">
        <v>3</v>
      </c>
      <c r="B173" t="s">
        <v>8</v>
      </c>
      <c r="C173" s="2">
        <v>43306</v>
      </c>
      <c r="D173" s="11" t="s">
        <v>138</v>
      </c>
      <c r="E173" s="3">
        <f t="shared" ca="1" si="2"/>
        <v>300615325</v>
      </c>
      <c r="F173" t="s">
        <v>12</v>
      </c>
      <c r="G173" t="s">
        <v>14</v>
      </c>
      <c r="H173" s="1" t="s">
        <v>237</v>
      </c>
      <c r="I173" t="s">
        <v>21</v>
      </c>
      <c r="J173" s="4">
        <v>7</v>
      </c>
      <c r="K173" s="4">
        <v>38.83</v>
      </c>
      <c r="L173" s="4">
        <v>5</v>
      </c>
      <c r="M173" s="4">
        <v>34.39</v>
      </c>
      <c r="N173" s="4">
        <v>128.53890000000001</v>
      </c>
      <c r="O173" s="4">
        <v>400.25</v>
      </c>
      <c r="P173" s="4">
        <v>3.8764546470000001</v>
      </c>
      <c r="Q173" s="4">
        <v>74.775000000000006</v>
      </c>
      <c r="R173" t="str" cm="1">
        <f t="array" ref="R173">_xlfn.IFS(B173="NY","New York",B173="TX","Texas",B173="CA","California")</f>
        <v>California</v>
      </c>
    </row>
    <row r="174" spans="1:18" x14ac:dyDescent="0.3">
      <c r="A174" t="s">
        <v>2</v>
      </c>
      <c r="B174" t="s">
        <v>7</v>
      </c>
      <c r="C174" s="2">
        <v>43073</v>
      </c>
      <c r="D174" s="11" t="s">
        <v>95</v>
      </c>
      <c r="E174" s="3">
        <f t="shared" ca="1" si="2"/>
        <v>138529057</v>
      </c>
      <c r="F174" t="s">
        <v>12</v>
      </c>
      <c r="G174" t="s">
        <v>15</v>
      </c>
      <c r="H174" s="1" t="s">
        <v>236</v>
      </c>
      <c r="I174" t="s">
        <v>18</v>
      </c>
      <c r="J174" s="4">
        <v>7.2</v>
      </c>
      <c r="K174" s="4">
        <v>87.68</v>
      </c>
      <c r="L174" s="4">
        <v>8</v>
      </c>
      <c r="M174" s="4">
        <v>23.11</v>
      </c>
      <c r="N174" s="4">
        <v>172.43719999999999</v>
      </c>
      <c r="O174" s="4">
        <v>166.8</v>
      </c>
      <c r="P174" s="4">
        <v>3.8764546470000001</v>
      </c>
      <c r="Q174" s="4">
        <v>83.67</v>
      </c>
      <c r="R174" t="str" cm="1">
        <f t="array" ref="R174">_xlfn.IFS(B174="NY","New York",B174="TX","Texas",B174="CA","California")</f>
        <v>Texas</v>
      </c>
    </row>
    <row r="175" spans="1:18" x14ac:dyDescent="0.3">
      <c r="A175" t="s">
        <v>3</v>
      </c>
      <c r="B175" t="s">
        <v>8</v>
      </c>
      <c r="C175" s="2">
        <v>43101</v>
      </c>
      <c r="D175" s="11" t="s">
        <v>95</v>
      </c>
      <c r="E175" s="3">
        <f t="shared" ca="1" si="2"/>
        <v>308492891</v>
      </c>
      <c r="F175" t="s">
        <v>12</v>
      </c>
      <c r="G175" t="s">
        <v>14</v>
      </c>
      <c r="H175" s="1" t="s">
        <v>237</v>
      </c>
      <c r="I175" t="s">
        <v>18</v>
      </c>
      <c r="J175" s="4">
        <v>5.3</v>
      </c>
      <c r="K175" s="4">
        <v>55.51</v>
      </c>
      <c r="L175" s="4">
        <v>6</v>
      </c>
      <c r="M175" s="4">
        <v>84.62</v>
      </c>
      <c r="N175" s="4">
        <v>148.46870000000001</v>
      </c>
      <c r="O175" s="4">
        <v>317.33999999999997</v>
      </c>
      <c r="P175" s="4">
        <v>3.8764546470000001</v>
      </c>
      <c r="Q175" s="4">
        <v>99.63</v>
      </c>
      <c r="R175" t="str" cm="1">
        <f t="array" ref="R175">_xlfn.IFS(B175="NY","New York",B175="TX","Texas",B175="CA","California")</f>
        <v>California</v>
      </c>
    </row>
    <row r="176" spans="1:18" x14ac:dyDescent="0.3">
      <c r="A176" t="s">
        <v>3</v>
      </c>
      <c r="B176" t="s">
        <v>8</v>
      </c>
      <c r="C176" s="2">
        <v>42921</v>
      </c>
      <c r="D176" s="11" t="s">
        <v>151</v>
      </c>
      <c r="E176" s="3">
        <f t="shared" ca="1" si="2"/>
        <v>652379651</v>
      </c>
      <c r="F176" t="s">
        <v>12</v>
      </c>
      <c r="G176" t="s">
        <v>15</v>
      </c>
      <c r="H176" s="1" t="s">
        <v>235</v>
      </c>
      <c r="I176" t="s">
        <v>21</v>
      </c>
      <c r="J176" s="4">
        <v>6.6</v>
      </c>
      <c r="K176" s="4">
        <v>22.77</v>
      </c>
      <c r="L176" s="4">
        <v>8</v>
      </c>
      <c r="M176" s="4">
        <v>86.5</v>
      </c>
      <c r="N176" s="4">
        <v>121.6409</v>
      </c>
      <c r="O176" s="4">
        <v>158.32</v>
      </c>
      <c r="P176" s="4">
        <v>3.8764546470000001</v>
      </c>
      <c r="Q176" s="4">
        <v>92.462000000000003</v>
      </c>
      <c r="R176" t="str" cm="1">
        <f t="array" ref="R176">_xlfn.IFS(B176="NY","New York",B176="TX","Texas",B176="CA","California")</f>
        <v>California</v>
      </c>
    </row>
    <row r="177" spans="1:18" x14ac:dyDescent="0.3">
      <c r="A177" t="s">
        <v>1</v>
      </c>
      <c r="B177" t="s">
        <v>6</v>
      </c>
      <c r="C177" s="2">
        <v>42937</v>
      </c>
      <c r="D177" s="11" t="s">
        <v>66</v>
      </c>
      <c r="E177" s="3">
        <f t="shared" ca="1" si="2"/>
        <v>471198365</v>
      </c>
      <c r="F177" t="s">
        <v>12</v>
      </c>
      <c r="G177" t="s">
        <v>14</v>
      </c>
      <c r="H177" s="1" t="s">
        <v>235</v>
      </c>
      <c r="I177" t="s">
        <v>19</v>
      </c>
      <c r="J177" s="4">
        <v>2.8</v>
      </c>
      <c r="K177" s="4">
        <v>13.15</v>
      </c>
      <c r="L177" s="4">
        <v>9</v>
      </c>
      <c r="M177" s="4">
        <v>47.95</v>
      </c>
      <c r="N177" s="4">
        <v>116.6681</v>
      </c>
      <c r="O177" s="4">
        <v>304.56</v>
      </c>
      <c r="P177" s="4">
        <v>3.8764546470000001</v>
      </c>
      <c r="Q177" s="4">
        <v>21.1</v>
      </c>
      <c r="R177" t="str" cm="1">
        <f t="array" ref="R177">_xlfn.IFS(B177="NY","New York",B177="TX","Texas",B177="CA","California")</f>
        <v>New York</v>
      </c>
    </row>
    <row r="178" spans="1:18" x14ac:dyDescent="0.3">
      <c r="A178" t="s">
        <v>1</v>
      </c>
      <c r="B178" t="s">
        <v>6</v>
      </c>
      <c r="C178" s="2">
        <v>43107</v>
      </c>
      <c r="D178" s="11" t="s">
        <v>146</v>
      </c>
      <c r="E178" s="3">
        <f t="shared" ca="1" si="2"/>
        <v>371270907</v>
      </c>
      <c r="F178" t="s">
        <v>12</v>
      </c>
      <c r="G178" t="s">
        <v>14</v>
      </c>
      <c r="H178" s="1" t="s">
        <v>237</v>
      </c>
      <c r="I178" t="s">
        <v>21</v>
      </c>
      <c r="J178" s="4">
        <v>5.9</v>
      </c>
      <c r="K178" s="4">
        <v>57.13</v>
      </c>
      <c r="L178" s="4">
        <v>8</v>
      </c>
      <c r="M178" s="4">
        <v>96.8</v>
      </c>
      <c r="N178" s="4">
        <v>139.8646</v>
      </c>
      <c r="O178" s="4">
        <v>177.36</v>
      </c>
      <c r="P178" s="4">
        <v>3.8764546470000001</v>
      </c>
      <c r="Q178" s="4">
        <v>88.86</v>
      </c>
      <c r="R178" t="str" cm="1">
        <f t="array" ref="R178">_xlfn.IFS(B178="NY","New York",B178="TX","Texas",B178="CA","California")</f>
        <v>New York</v>
      </c>
    </row>
    <row r="179" spans="1:18" x14ac:dyDescent="0.3">
      <c r="A179" t="s">
        <v>2</v>
      </c>
      <c r="B179" t="s">
        <v>7</v>
      </c>
      <c r="C179" s="2">
        <v>43365</v>
      </c>
      <c r="D179" s="11" t="s">
        <v>152</v>
      </c>
      <c r="E179" s="3">
        <f t="shared" ca="1" si="2"/>
        <v>534606085</v>
      </c>
      <c r="F179" t="s">
        <v>11</v>
      </c>
      <c r="G179" t="s">
        <v>15</v>
      </c>
      <c r="H179" s="1" t="s">
        <v>237</v>
      </c>
      <c r="I179" t="s">
        <v>22</v>
      </c>
      <c r="J179" s="4">
        <v>1.4</v>
      </c>
      <c r="K179" s="4">
        <v>26.56</v>
      </c>
      <c r="L179" s="4">
        <v>7</v>
      </c>
      <c r="M179" s="4">
        <v>77.17</v>
      </c>
      <c r="N179" s="4">
        <v>134.96119999999999</v>
      </c>
      <c r="O179" s="4">
        <v>157.57</v>
      </c>
      <c r="P179" s="4">
        <v>3.8764546470000001</v>
      </c>
      <c r="Q179" s="4">
        <v>42</v>
      </c>
      <c r="R179" t="str" cm="1">
        <f t="array" ref="R179">_xlfn.IFS(B179="NY","New York",B179="TX","Texas",B179="CA","California")</f>
        <v>Texas</v>
      </c>
    </row>
    <row r="180" spans="1:18" x14ac:dyDescent="0.3">
      <c r="A180" t="s">
        <v>1</v>
      </c>
      <c r="B180" t="s">
        <v>6</v>
      </c>
      <c r="C180" s="2">
        <v>43177</v>
      </c>
      <c r="D180" s="11" t="s">
        <v>122</v>
      </c>
      <c r="E180" s="3">
        <f t="shared" ca="1" si="2"/>
        <v>463822654</v>
      </c>
      <c r="F180" t="s">
        <v>12</v>
      </c>
      <c r="G180" t="s">
        <v>15</v>
      </c>
      <c r="H180" s="1" t="s">
        <v>235</v>
      </c>
      <c r="I180" t="s">
        <v>21</v>
      </c>
      <c r="J180" s="4">
        <v>3.6</v>
      </c>
      <c r="K180" s="4">
        <v>34.76</v>
      </c>
      <c r="L180" s="4">
        <v>6</v>
      </c>
      <c r="M180" s="4">
        <v>50.7</v>
      </c>
      <c r="N180" s="4">
        <v>154.2003</v>
      </c>
      <c r="O180" s="4">
        <v>443.28</v>
      </c>
      <c r="P180" s="4">
        <v>3.8764546470000001</v>
      </c>
      <c r="Q180" s="4">
        <v>95.930999999999997</v>
      </c>
      <c r="R180" t="str" cm="1">
        <f t="array" ref="R180">_xlfn.IFS(B180="NY","New York",B180="TX","Texas",B180="CA","California")</f>
        <v>New York</v>
      </c>
    </row>
    <row r="181" spans="1:18" x14ac:dyDescent="0.3">
      <c r="A181" t="s">
        <v>2</v>
      </c>
      <c r="B181" t="s">
        <v>7</v>
      </c>
      <c r="C181" s="2">
        <v>43462</v>
      </c>
      <c r="D181" s="11" t="s">
        <v>153</v>
      </c>
      <c r="E181" s="3">
        <f t="shared" ca="1" si="2"/>
        <v>169360089</v>
      </c>
      <c r="F181" t="s">
        <v>12</v>
      </c>
      <c r="G181" t="s">
        <v>14</v>
      </c>
      <c r="H181" s="1" t="s">
        <v>235</v>
      </c>
      <c r="I181" t="s">
        <v>17</v>
      </c>
      <c r="J181" s="4">
        <v>8.5</v>
      </c>
      <c r="K181" s="4">
        <v>17.989999999999998</v>
      </c>
      <c r="L181" s="4">
        <v>3</v>
      </c>
      <c r="M181" s="4">
        <v>17.8</v>
      </c>
      <c r="N181" s="4">
        <v>112.84869999999999</v>
      </c>
      <c r="O181" s="4">
        <v>260.39999999999998</v>
      </c>
      <c r="P181" s="4">
        <v>3.8764546470000001</v>
      </c>
      <c r="Q181" s="4">
        <v>48.457999999999998</v>
      </c>
      <c r="R181" t="str" cm="1">
        <f t="array" ref="R181">_xlfn.IFS(B181="NY","New York",B181="TX","Texas",B181="CA","California")</f>
        <v>Texas</v>
      </c>
    </row>
    <row r="182" spans="1:18" x14ac:dyDescent="0.3">
      <c r="A182" t="s">
        <v>2</v>
      </c>
      <c r="B182" t="s">
        <v>7</v>
      </c>
      <c r="C182" s="2">
        <v>42903</v>
      </c>
      <c r="D182" s="11" t="s">
        <v>154</v>
      </c>
      <c r="E182" s="3">
        <f t="shared" ca="1" si="2"/>
        <v>73664887</v>
      </c>
      <c r="F182" t="s">
        <v>12</v>
      </c>
      <c r="G182" t="s">
        <v>15</v>
      </c>
      <c r="H182" s="1" t="s">
        <v>236</v>
      </c>
      <c r="I182" t="s">
        <v>22</v>
      </c>
      <c r="J182" s="4">
        <v>4</v>
      </c>
      <c r="K182" s="4">
        <v>82.75</v>
      </c>
      <c r="L182" s="4">
        <v>7</v>
      </c>
      <c r="M182" s="4">
        <v>38.700000000000003</v>
      </c>
      <c r="N182" s="4">
        <v>167.42760000000001</v>
      </c>
      <c r="O182" s="4">
        <v>449.82</v>
      </c>
      <c r="P182" s="4">
        <v>3.8764546470000001</v>
      </c>
      <c r="Q182" s="4">
        <v>64.989999999999995</v>
      </c>
      <c r="R182" t="str" cm="1">
        <f t="array" ref="R182">_xlfn.IFS(B182="NY","New York",B182="TX","Texas",B182="CA","California")</f>
        <v>Texas</v>
      </c>
    </row>
    <row r="183" spans="1:18" x14ac:dyDescent="0.3">
      <c r="A183" t="s">
        <v>2</v>
      </c>
      <c r="B183" t="s">
        <v>7</v>
      </c>
      <c r="C183" s="2">
        <v>42828</v>
      </c>
      <c r="D183" s="11" t="s">
        <v>42</v>
      </c>
      <c r="E183" s="3">
        <f t="shared" ca="1" si="2"/>
        <v>224437258</v>
      </c>
      <c r="F183" t="s">
        <v>12</v>
      </c>
      <c r="G183" t="s">
        <v>14</v>
      </c>
      <c r="H183" s="1" t="s">
        <v>236</v>
      </c>
      <c r="I183" t="s">
        <v>21</v>
      </c>
      <c r="J183" s="4">
        <v>6</v>
      </c>
      <c r="K183" s="4">
        <v>20.61</v>
      </c>
      <c r="L183" s="4">
        <v>8</v>
      </c>
      <c r="M183" s="4">
        <v>89.43</v>
      </c>
      <c r="N183" s="4">
        <v>150.18010000000001</v>
      </c>
      <c r="O183" s="4">
        <v>307.76</v>
      </c>
      <c r="P183" s="4">
        <v>3.8764546470000001</v>
      </c>
      <c r="Q183" s="4">
        <v>87.177000000000007</v>
      </c>
      <c r="R183" t="str" cm="1">
        <f t="array" ref="R183">_xlfn.IFS(B183="NY","New York",B183="TX","Texas",B183="CA","California")</f>
        <v>Texas</v>
      </c>
    </row>
    <row r="184" spans="1:18" x14ac:dyDescent="0.3">
      <c r="A184" t="s">
        <v>1</v>
      </c>
      <c r="B184" t="s">
        <v>6</v>
      </c>
      <c r="C184" s="2">
        <v>43198</v>
      </c>
      <c r="D184" s="11" t="s">
        <v>155</v>
      </c>
      <c r="E184" s="3">
        <f t="shared" ca="1" si="2"/>
        <v>562547355</v>
      </c>
      <c r="F184" t="s">
        <v>12</v>
      </c>
      <c r="G184" t="s">
        <v>14</v>
      </c>
      <c r="H184" s="1" t="s">
        <v>235</v>
      </c>
      <c r="I184" t="s">
        <v>20</v>
      </c>
      <c r="J184" s="4">
        <v>4</v>
      </c>
      <c r="K184" s="4">
        <v>34.56</v>
      </c>
      <c r="L184" s="4">
        <v>10</v>
      </c>
      <c r="M184" s="4">
        <v>28.8</v>
      </c>
      <c r="N184" s="4">
        <v>104.0329</v>
      </c>
      <c r="O184" s="4">
        <v>155</v>
      </c>
      <c r="P184" s="4">
        <v>3.8764546470000001</v>
      </c>
      <c r="Q184" s="4">
        <v>20.486999999999998</v>
      </c>
      <c r="R184" t="str" cm="1">
        <f t="array" ref="R184">_xlfn.IFS(B184="NY","New York",B184="TX","Texas",B184="CA","California")</f>
        <v>New York</v>
      </c>
    </row>
    <row r="185" spans="1:18" x14ac:dyDescent="0.3">
      <c r="A185" t="s">
        <v>2</v>
      </c>
      <c r="B185" t="s">
        <v>7</v>
      </c>
      <c r="C185" s="2">
        <v>42797</v>
      </c>
      <c r="D185" s="11" t="s">
        <v>156</v>
      </c>
      <c r="E185" s="3">
        <f t="shared" ca="1" si="2"/>
        <v>773407208</v>
      </c>
      <c r="F185" t="s">
        <v>12</v>
      </c>
      <c r="G185" t="s">
        <v>15</v>
      </c>
      <c r="H185" s="1" t="s">
        <v>235</v>
      </c>
      <c r="I185" t="s">
        <v>17</v>
      </c>
      <c r="J185" s="4">
        <v>5</v>
      </c>
      <c r="K185" s="4">
        <v>69</v>
      </c>
      <c r="L185" s="4">
        <v>8</v>
      </c>
      <c r="M185" s="4">
        <v>98.3</v>
      </c>
      <c r="N185" s="4">
        <v>159.41579999999999</v>
      </c>
      <c r="O185" s="4">
        <v>274.48</v>
      </c>
      <c r="P185" s="4">
        <v>3.8764546470000001</v>
      </c>
      <c r="Q185" s="4">
        <v>95.725999999999999</v>
      </c>
      <c r="R185" t="str" cm="1">
        <f t="array" ref="R185">_xlfn.IFS(B185="NY","New York",B185="TX","Texas",B185="CA","California")</f>
        <v>Texas</v>
      </c>
    </row>
    <row r="186" spans="1:18" x14ac:dyDescent="0.3">
      <c r="A186" t="s">
        <v>1</v>
      </c>
      <c r="B186" t="s">
        <v>6</v>
      </c>
      <c r="C186" s="2">
        <v>42922</v>
      </c>
      <c r="D186" s="11" t="s">
        <v>157</v>
      </c>
      <c r="E186" s="3">
        <f t="shared" ca="1" si="2"/>
        <v>834734889</v>
      </c>
      <c r="F186" t="s">
        <v>11</v>
      </c>
      <c r="G186" t="s">
        <v>15</v>
      </c>
      <c r="H186" s="1" t="s">
        <v>237</v>
      </c>
      <c r="I186" t="s">
        <v>20</v>
      </c>
      <c r="J186" s="4">
        <v>4</v>
      </c>
      <c r="K186" s="4">
        <v>59.91</v>
      </c>
      <c r="L186" s="4">
        <v>7</v>
      </c>
      <c r="M186" s="4">
        <v>98.82</v>
      </c>
      <c r="N186" s="4">
        <v>104.367</v>
      </c>
      <c r="O186" s="4">
        <v>86.38</v>
      </c>
      <c r="P186" s="4">
        <v>3.8764546470000001</v>
      </c>
      <c r="Q186" s="4">
        <v>98.507000000000005</v>
      </c>
      <c r="R186" t="str" cm="1">
        <f t="array" ref="R186">_xlfn.IFS(B186="NY","New York",B186="TX","Texas",B186="CA","California")</f>
        <v>New York</v>
      </c>
    </row>
    <row r="187" spans="1:18" x14ac:dyDescent="0.3">
      <c r="A187" t="s">
        <v>3</v>
      </c>
      <c r="B187" t="s">
        <v>8</v>
      </c>
      <c r="C187" s="2">
        <v>43294</v>
      </c>
      <c r="D187" s="11" t="s">
        <v>142</v>
      </c>
      <c r="E187" s="3">
        <f t="shared" ca="1" si="2"/>
        <v>228380225</v>
      </c>
      <c r="F187" t="s">
        <v>12</v>
      </c>
      <c r="G187" t="s">
        <v>14</v>
      </c>
      <c r="H187" s="1" t="s">
        <v>235</v>
      </c>
      <c r="I187" t="s">
        <v>21</v>
      </c>
      <c r="J187" s="4">
        <v>2.8</v>
      </c>
      <c r="K187" s="4">
        <v>71.25</v>
      </c>
      <c r="L187" s="4">
        <v>3</v>
      </c>
      <c r="M187" s="4">
        <v>21.94</v>
      </c>
      <c r="N187" s="4">
        <v>162.95060000000001</v>
      </c>
      <c r="O187" s="4">
        <v>54.24</v>
      </c>
      <c r="P187" s="4">
        <v>3.8764546470000001</v>
      </c>
      <c r="Q187" s="4">
        <v>62.74</v>
      </c>
      <c r="R187" t="str" cm="1">
        <f t="array" ref="R187">_xlfn.IFS(B187="NY","New York",B187="TX","Texas",B187="CA","California")</f>
        <v>California</v>
      </c>
    </row>
    <row r="188" spans="1:18" x14ac:dyDescent="0.3">
      <c r="A188" t="s">
        <v>3</v>
      </c>
      <c r="B188" t="s">
        <v>8</v>
      </c>
      <c r="C188" s="2">
        <v>42947</v>
      </c>
      <c r="D188" s="11" t="s">
        <v>105</v>
      </c>
      <c r="E188" s="3">
        <f t="shared" ca="1" si="2"/>
        <v>377612203</v>
      </c>
      <c r="F188" t="s">
        <v>11</v>
      </c>
      <c r="G188" t="s">
        <v>14</v>
      </c>
      <c r="H188" s="1" t="s">
        <v>235</v>
      </c>
      <c r="I188" t="s">
        <v>19</v>
      </c>
      <c r="J188" s="4">
        <v>9.3000000000000007</v>
      </c>
      <c r="K188" s="4">
        <v>27.58</v>
      </c>
      <c r="L188" s="4">
        <v>8</v>
      </c>
      <c r="M188" s="4">
        <v>48.9</v>
      </c>
      <c r="N188" s="4">
        <v>146.61760000000001</v>
      </c>
      <c r="O188" s="4">
        <v>755.92</v>
      </c>
      <c r="P188" s="4">
        <v>3.8764546470000001</v>
      </c>
      <c r="Q188" s="4">
        <v>97.602999999999994</v>
      </c>
      <c r="R188" t="str" cm="1">
        <f t="array" ref="R188">_xlfn.IFS(B188="NY","New York",B188="TX","Texas",B188="CA","California")</f>
        <v>California</v>
      </c>
    </row>
    <row r="189" spans="1:18" x14ac:dyDescent="0.3">
      <c r="A189" t="s">
        <v>3</v>
      </c>
      <c r="B189" t="s">
        <v>8</v>
      </c>
      <c r="C189" s="2">
        <v>43032</v>
      </c>
      <c r="D189" s="11" t="s">
        <v>122</v>
      </c>
      <c r="E189" s="3">
        <f t="shared" ca="1" si="2"/>
        <v>72804086</v>
      </c>
      <c r="F189" t="s">
        <v>12</v>
      </c>
      <c r="G189" t="s">
        <v>14</v>
      </c>
      <c r="H189" s="1" t="s">
        <v>236</v>
      </c>
      <c r="I189" t="s">
        <v>19</v>
      </c>
      <c r="J189" s="4">
        <v>1.6</v>
      </c>
      <c r="K189" s="4">
        <v>51.97</v>
      </c>
      <c r="L189" s="4">
        <v>4</v>
      </c>
      <c r="M189" s="4">
        <v>48.16</v>
      </c>
      <c r="N189" s="4">
        <v>189.13919999999999</v>
      </c>
      <c r="O189" s="4">
        <v>185.88</v>
      </c>
      <c r="P189" s="4">
        <v>3.8764546470000001</v>
      </c>
      <c r="Q189" s="4">
        <v>34.83</v>
      </c>
      <c r="R189" t="str" cm="1">
        <f t="array" ref="R189">_xlfn.IFS(B189="NY","New York",B189="TX","Texas",B189="CA","California")</f>
        <v>California</v>
      </c>
    </row>
    <row r="190" spans="1:18" x14ac:dyDescent="0.3">
      <c r="A190" t="s">
        <v>1</v>
      </c>
      <c r="B190" t="s">
        <v>6</v>
      </c>
      <c r="C190" s="2">
        <v>42886</v>
      </c>
      <c r="D190" s="11" t="s">
        <v>158</v>
      </c>
      <c r="E190" s="3">
        <f t="shared" ca="1" si="2"/>
        <v>692299378</v>
      </c>
      <c r="F190" t="s">
        <v>12</v>
      </c>
      <c r="G190" t="s">
        <v>15</v>
      </c>
      <c r="H190" s="1" t="s">
        <v>235</v>
      </c>
      <c r="I190" t="s">
        <v>19</v>
      </c>
      <c r="J190" s="4">
        <v>7</v>
      </c>
      <c r="K190" s="4">
        <v>42.72</v>
      </c>
      <c r="L190" s="4">
        <v>1</v>
      </c>
      <c r="M190" s="4">
        <v>80.290000000000006</v>
      </c>
      <c r="N190" s="4">
        <v>150.69540000000001</v>
      </c>
      <c r="O190" s="4">
        <v>74.069999999999993</v>
      </c>
      <c r="P190" s="4">
        <v>3.8764546470000001</v>
      </c>
      <c r="Q190" s="4">
        <v>88.058000000000007</v>
      </c>
      <c r="R190" t="str" cm="1">
        <f t="array" ref="R190">_xlfn.IFS(B190="NY","New York",B190="TX","Texas",B190="CA","California")</f>
        <v>New York</v>
      </c>
    </row>
    <row r="191" spans="1:18" x14ac:dyDescent="0.3">
      <c r="A191" t="s">
        <v>2</v>
      </c>
      <c r="B191" t="s">
        <v>7</v>
      </c>
      <c r="C191" s="2">
        <v>42839</v>
      </c>
      <c r="D191" s="11" t="s">
        <v>159</v>
      </c>
      <c r="E191" s="3">
        <f t="shared" ca="1" si="2"/>
        <v>175937361</v>
      </c>
      <c r="F191" t="s">
        <v>11</v>
      </c>
      <c r="G191" t="s">
        <v>15</v>
      </c>
      <c r="H191" s="1" t="s">
        <v>237</v>
      </c>
      <c r="I191" t="s">
        <v>19</v>
      </c>
      <c r="J191" s="4">
        <v>4.8</v>
      </c>
      <c r="K191" s="4">
        <v>34.99</v>
      </c>
      <c r="L191" s="4">
        <v>4</v>
      </c>
      <c r="M191" s="4">
        <v>63.51</v>
      </c>
      <c r="N191" s="4">
        <v>141.172</v>
      </c>
      <c r="O191" s="4">
        <v>279.24</v>
      </c>
      <c r="P191" s="4">
        <v>3.8764546470000001</v>
      </c>
      <c r="Q191" s="4">
        <v>40.695</v>
      </c>
      <c r="R191" t="str" cm="1">
        <f t="array" ref="R191">_xlfn.IFS(B191="NY","New York",B191="TX","Texas",B191="CA","California")</f>
        <v>Texas</v>
      </c>
    </row>
    <row r="192" spans="1:18" x14ac:dyDescent="0.3">
      <c r="A192" t="s">
        <v>3</v>
      </c>
      <c r="B192" t="s">
        <v>8</v>
      </c>
      <c r="C192" s="2">
        <v>43192</v>
      </c>
      <c r="D192" s="11" t="s">
        <v>82</v>
      </c>
      <c r="E192" s="3">
        <f t="shared" ca="1" si="2"/>
        <v>599878271</v>
      </c>
      <c r="F192" t="s">
        <v>11</v>
      </c>
      <c r="G192" t="s">
        <v>15</v>
      </c>
      <c r="H192" s="1" t="s">
        <v>237</v>
      </c>
      <c r="I192" t="s">
        <v>19</v>
      </c>
      <c r="J192" s="4">
        <v>9.6999999999999993</v>
      </c>
      <c r="K192" s="4">
        <v>92.03</v>
      </c>
      <c r="L192" s="4">
        <v>3</v>
      </c>
      <c r="M192" s="4">
        <v>73.33</v>
      </c>
      <c r="N192" s="4">
        <v>122.3897</v>
      </c>
      <c r="O192" s="4">
        <v>231.12</v>
      </c>
      <c r="P192" s="4">
        <v>3.8764546470000001</v>
      </c>
      <c r="Q192" s="4">
        <v>89.66</v>
      </c>
      <c r="R192" t="str" cm="1">
        <f t="array" ref="R192">_xlfn.IFS(B192="NY","New York",B192="TX","Texas",B192="CA","California")</f>
        <v>California</v>
      </c>
    </row>
    <row r="193" spans="1:18" x14ac:dyDescent="0.3">
      <c r="A193" t="s">
        <v>3</v>
      </c>
      <c r="B193" t="s">
        <v>8</v>
      </c>
      <c r="C193" s="2">
        <v>42981</v>
      </c>
      <c r="D193" s="11" t="s">
        <v>51</v>
      </c>
      <c r="E193" s="3">
        <f t="shared" ca="1" si="2"/>
        <v>519758894</v>
      </c>
      <c r="F193" t="s">
        <v>11</v>
      </c>
      <c r="G193" t="s">
        <v>15</v>
      </c>
      <c r="H193" s="1" t="s">
        <v>235</v>
      </c>
      <c r="I193" t="s">
        <v>22</v>
      </c>
      <c r="J193" s="4">
        <v>2</v>
      </c>
      <c r="K193" s="4">
        <v>21.21</v>
      </c>
      <c r="L193" s="4">
        <v>2</v>
      </c>
      <c r="M193" s="4">
        <v>11.3</v>
      </c>
      <c r="N193" s="4">
        <v>133.14779999999999</v>
      </c>
      <c r="O193" s="4">
        <v>147.04</v>
      </c>
      <c r="P193" s="4">
        <v>3.8764546470000001</v>
      </c>
      <c r="Q193" s="4">
        <v>24.683</v>
      </c>
      <c r="R193" t="str" cm="1">
        <f t="array" ref="R193">_xlfn.IFS(B193="NY","New York",B193="TX","Texas",B193="CA","California")</f>
        <v>California</v>
      </c>
    </row>
    <row r="194" spans="1:18" x14ac:dyDescent="0.3">
      <c r="A194" t="s">
        <v>2</v>
      </c>
      <c r="B194" t="s">
        <v>7</v>
      </c>
      <c r="C194" s="2">
        <v>43193</v>
      </c>
      <c r="D194" s="11" t="s">
        <v>33</v>
      </c>
      <c r="E194" s="3">
        <f t="shared" ca="1" si="2"/>
        <v>185162354</v>
      </c>
      <c r="F194" t="s">
        <v>11</v>
      </c>
      <c r="G194" t="s">
        <v>15</v>
      </c>
      <c r="H194" s="1" t="s">
        <v>236</v>
      </c>
      <c r="I194" t="s">
        <v>21</v>
      </c>
      <c r="J194" s="4">
        <v>9.4</v>
      </c>
      <c r="K194" s="4">
        <v>69.83</v>
      </c>
      <c r="L194" s="4">
        <v>9</v>
      </c>
      <c r="M194" s="4">
        <v>23.83</v>
      </c>
      <c r="N194" s="4">
        <v>141.05070000000001</v>
      </c>
      <c r="O194" s="4">
        <v>790.2</v>
      </c>
      <c r="P194" s="4">
        <v>3.8764546470000001</v>
      </c>
      <c r="Q194" s="4">
        <v>80.290000000000006</v>
      </c>
      <c r="R194" t="str" cm="1">
        <f t="array" ref="R194">_xlfn.IFS(B194="NY","New York",B194="TX","Texas",B194="CA","California")</f>
        <v>Texas</v>
      </c>
    </row>
    <row r="195" spans="1:18" x14ac:dyDescent="0.3">
      <c r="A195" t="s">
        <v>3</v>
      </c>
      <c r="B195" t="s">
        <v>8</v>
      </c>
      <c r="C195" s="2">
        <v>43272</v>
      </c>
      <c r="D195" s="11" t="s">
        <v>67</v>
      </c>
      <c r="E195" s="3">
        <f t="shared" ref="E195:E258" ca="1" si="3">RANDBETWEEN(10000000,1000000000)</f>
        <v>589245779</v>
      </c>
      <c r="F195" t="s">
        <v>12</v>
      </c>
      <c r="G195" t="s">
        <v>15</v>
      </c>
      <c r="H195" s="1" t="s">
        <v>235</v>
      </c>
      <c r="I195" t="s">
        <v>19</v>
      </c>
      <c r="J195" s="4">
        <v>5.9</v>
      </c>
      <c r="K195" s="4">
        <v>49.96</v>
      </c>
      <c r="L195" s="4">
        <v>4</v>
      </c>
      <c r="M195" s="4">
        <v>91.06</v>
      </c>
      <c r="N195" s="4">
        <v>177.18690000000001</v>
      </c>
      <c r="O195" s="4">
        <v>102.2</v>
      </c>
      <c r="P195" s="4">
        <v>3.8764546470000001</v>
      </c>
      <c r="Q195" s="4">
        <v>85.031999999999996</v>
      </c>
      <c r="R195" t="str" cm="1">
        <f t="array" ref="R195">_xlfn.IFS(B195="NY","New York",B195="TX","Texas",B195="CA","California")</f>
        <v>California</v>
      </c>
    </row>
    <row r="196" spans="1:18" x14ac:dyDescent="0.3">
      <c r="A196" t="s">
        <v>1</v>
      </c>
      <c r="B196" t="s">
        <v>6</v>
      </c>
      <c r="C196" s="2">
        <v>43348</v>
      </c>
      <c r="D196" s="11" t="s">
        <v>153</v>
      </c>
      <c r="E196" s="3">
        <f t="shared" ca="1" si="3"/>
        <v>188202950</v>
      </c>
      <c r="F196" t="s">
        <v>12</v>
      </c>
      <c r="G196" t="s">
        <v>15</v>
      </c>
      <c r="H196" s="1" t="s">
        <v>237</v>
      </c>
      <c r="I196" t="s">
        <v>18</v>
      </c>
      <c r="J196" s="4">
        <v>4.3</v>
      </c>
      <c r="K196" s="4">
        <v>63.31</v>
      </c>
      <c r="L196" s="4">
        <v>5</v>
      </c>
      <c r="M196" s="4">
        <v>28.16</v>
      </c>
      <c r="N196" s="4">
        <v>164.9589</v>
      </c>
      <c r="O196" s="4">
        <v>163.55000000000001</v>
      </c>
      <c r="P196" s="4">
        <v>3.8764546470000001</v>
      </c>
      <c r="Q196" s="4">
        <v>25.206</v>
      </c>
      <c r="R196" t="str" cm="1">
        <f t="array" ref="R196">_xlfn.IFS(B196="NY","New York",B196="TX","Texas",B196="CA","California")</f>
        <v>New York</v>
      </c>
    </row>
    <row r="197" spans="1:18" x14ac:dyDescent="0.3">
      <c r="A197" t="s">
        <v>2</v>
      </c>
      <c r="B197" t="s">
        <v>7</v>
      </c>
      <c r="C197" s="2">
        <v>43381</v>
      </c>
      <c r="D197" s="11" t="s">
        <v>160</v>
      </c>
      <c r="E197" s="3">
        <f t="shared" ca="1" si="3"/>
        <v>737365203</v>
      </c>
      <c r="F197" t="s">
        <v>11</v>
      </c>
      <c r="G197" t="s">
        <v>14</v>
      </c>
      <c r="H197" s="1" t="s">
        <v>236</v>
      </c>
      <c r="I197" t="s">
        <v>22</v>
      </c>
      <c r="J197" s="4">
        <v>1</v>
      </c>
      <c r="K197" s="4">
        <v>87.36</v>
      </c>
      <c r="L197" s="4">
        <v>1</v>
      </c>
      <c r="M197" s="4">
        <v>36.32</v>
      </c>
      <c r="N197" s="4">
        <v>158.8956</v>
      </c>
      <c r="O197" s="4">
        <v>74.290000000000006</v>
      </c>
      <c r="P197" s="4">
        <v>3.8764546470000001</v>
      </c>
      <c r="Q197" s="4">
        <v>49.924999999999997</v>
      </c>
      <c r="R197" t="str" cm="1">
        <f t="array" ref="R197">_xlfn.IFS(B197="NY","New York",B197="TX","Texas",B197="CA","California")</f>
        <v>Texas</v>
      </c>
    </row>
    <row r="198" spans="1:18" x14ac:dyDescent="0.3">
      <c r="A198" t="s">
        <v>2</v>
      </c>
      <c r="B198" t="s">
        <v>7</v>
      </c>
      <c r="C198" s="2">
        <v>42970</v>
      </c>
      <c r="D198" s="11" t="s">
        <v>88</v>
      </c>
      <c r="E198" s="3">
        <f t="shared" ca="1" si="3"/>
        <v>528073972</v>
      </c>
      <c r="F198" t="s">
        <v>12</v>
      </c>
      <c r="G198" t="s">
        <v>14</v>
      </c>
      <c r="H198" s="1" t="s">
        <v>236</v>
      </c>
      <c r="I198" t="s">
        <v>17</v>
      </c>
      <c r="J198" s="4">
        <v>2</v>
      </c>
      <c r="K198" s="4">
        <v>12.53</v>
      </c>
      <c r="L198" s="4">
        <v>2</v>
      </c>
      <c r="M198" s="4">
        <v>87.51</v>
      </c>
      <c r="N198" s="4">
        <v>140.64859999999999</v>
      </c>
      <c r="O198" s="4">
        <v>87.4</v>
      </c>
      <c r="P198" s="4">
        <v>3.8764546470000001</v>
      </c>
      <c r="Q198" s="4">
        <v>23.957000000000001</v>
      </c>
      <c r="R198" t="str" cm="1">
        <f t="array" ref="R198">_xlfn.IFS(B198="NY","New York",B198="TX","Texas",B198="CA","California")</f>
        <v>Texas</v>
      </c>
    </row>
    <row r="199" spans="1:18" x14ac:dyDescent="0.3">
      <c r="A199" t="s">
        <v>1</v>
      </c>
      <c r="B199" t="s">
        <v>6</v>
      </c>
      <c r="C199" s="2">
        <v>43449</v>
      </c>
      <c r="D199" s="11" t="s">
        <v>161</v>
      </c>
      <c r="E199" s="3">
        <f t="shared" ca="1" si="3"/>
        <v>740053980</v>
      </c>
      <c r="F199" t="s">
        <v>11</v>
      </c>
      <c r="G199" t="s">
        <v>15</v>
      </c>
      <c r="H199" s="1" t="s">
        <v>235</v>
      </c>
      <c r="I199" t="s">
        <v>19</v>
      </c>
      <c r="J199" s="4">
        <v>9</v>
      </c>
      <c r="K199" s="4">
        <v>51.45</v>
      </c>
      <c r="L199" s="4">
        <v>1</v>
      </c>
      <c r="M199" s="4">
        <v>86.39</v>
      </c>
      <c r="N199" s="4">
        <v>146.3931</v>
      </c>
      <c r="O199" s="4">
        <v>25.29</v>
      </c>
      <c r="P199" s="4">
        <v>3.8764546470000001</v>
      </c>
      <c r="Q199" s="4">
        <v>77.293000000000006</v>
      </c>
      <c r="R199" t="str" cm="1">
        <f t="array" ref="R199">_xlfn.IFS(B199="NY","New York",B199="TX","Texas",B199="CA","California")</f>
        <v>New York</v>
      </c>
    </row>
    <row r="200" spans="1:18" x14ac:dyDescent="0.3">
      <c r="A200" t="s">
        <v>2</v>
      </c>
      <c r="B200" t="s">
        <v>7</v>
      </c>
      <c r="C200" s="2">
        <v>43370</v>
      </c>
      <c r="D200" s="11" t="s">
        <v>162</v>
      </c>
      <c r="E200" s="3">
        <f t="shared" ca="1" si="3"/>
        <v>631795949</v>
      </c>
      <c r="F200" t="s">
        <v>12</v>
      </c>
      <c r="G200" t="s">
        <v>15</v>
      </c>
      <c r="H200" s="1" t="s">
        <v>237</v>
      </c>
      <c r="I200" t="s">
        <v>17</v>
      </c>
      <c r="J200" s="4">
        <v>8</v>
      </c>
      <c r="K200" s="4">
        <v>82.82</v>
      </c>
      <c r="L200" s="4">
        <v>4</v>
      </c>
      <c r="M200" s="4">
        <v>36.19</v>
      </c>
      <c r="N200" s="4">
        <v>123.4965</v>
      </c>
      <c r="O200" s="4">
        <v>166</v>
      </c>
      <c r="P200" s="4">
        <v>3.8764546470000001</v>
      </c>
      <c r="Q200" s="4">
        <v>91.569000000000003</v>
      </c>
      <c r="R200" t="str" cm="1">
        <f t="array" ref="R200">_xlfn.IFS(B200="NY","New York",B200="TX","Texas",B200="CA","California")</f>
        <v>Texas</v>
      </c>
    </row>
    <row r="201" spans="1:18" x14ac:dyDescent="0.3">
      <c r="A201" t="s">
        <v>2</v>
      </c>
      <c r="B201" t="s">
        <v>7</v>
      </c>
      <c r="C201" s="2">
        <v>42985</v>
      </c>
      <c r="D201" s="11" t="s">
        <v>52</v>
      </c>
      <c r="E201" s="3">
        <f t="shared" ca="1" si="3"/>
        <v>87050199</v>
      </c>
      <c r="F201" t="s">
        <v>11</v>
      </c>
      <c r="G201" t="s">
        <v>14</v>
      </c>
      <c r="H201" s="1" t="s">
        <v>237</v>
      </c>
      <c r="I201" t="s">
        <v>21</v>
      </c>
      <c r="J201" s="4">
        <v>4.0999999999999996</v>
      </c>
      <c r="K201" s="4">
        <v>56.09</v>
      </c>
      <c r="L201" s="4">
        <v>5</v>
      </c>
      <c r="M201" s="4">
        <v>86.94</v>
      </c>
      <c r="N201" s="4">
        <v>161.60499999999999</v>
      </c>
      <c r="O201" s="4">
        <v>356.95</v>
      </c>
      <c r="P201" s="4">
        <v>3.8764546470000001</v>
      </c>
      <c r="Q201" s="4">
        <v>43.465000000000003</v>
      </c>
      <c r="R201" t="str" cm="1">
        <f t="array" ref="R201">_xlfn.IFS(B201="NY","New York",B201="TX","Texas",B201="CA","California")</f>
        <v>Texas</v>
      </c>
    </row>
    <row r="202" spans="1:18" x14ac:dyDescent="0.3">
      <c r="A202" t="s">
        <v>2</v>
      </c>
      <c r="B202" t="s">
        <v>7</v>
      </c>
      <c r="C202" s="2">
        <v>43307</v>
      </c>
      <c r="D202" s="11" t="s">
        <v>163</v>
      </c>
      <c r="E202" s="3">
        <f t="shared" ca="1" si="3"/>
        <v>44791745</v>
      </c>
      <c r="F202" t="s">
        <v>11</v>
      </c>
      <c r="G202" t="s">
        <v>14</v>
      </c>
      <c r="H202" s="1" t="s">
        <v>237</v>
      </c>
      <c r="I202" t="s">
        <v>20</v>
      </c>
      <c r="J202" s="4">
        <v>9</v>
      </c>
      <c r="K202" s="4">
        <v>48.73</v>
      </c>
      <c r="L202" s="4">
        <v>6</v>
      </c>
      <c r="M202" s="4">
        <v>77.540000000000006</v>
      </c>
      <c r="N202" s="4">
        <v>173.18450000000001</v>
      </c>
      <c r="O202" s="4">
        <v>114.9</v>
      </c>
      <c r="P202" s="4">
        <v>3.8764546470000001</v>
      </c>
      <c r="Q202" s="4">
        <v>36.037999999999997</v>
      </c>
      <c r="R202" t="str" cm="1">
        <f t="array" ref="R202">_xlfn.IFS(B202="NY","New York",B202="TX","Texas",B202="CA","California")</f>
        <v>Texas</v>
      </c>
    </row>
    <row r="203" spans="1:18" x14ac:dyDescent="0.3">
      <c r="A203" t="s">
        <v>3</v>
      </c>
      <c r="B203" t="s">
        <v>8</v>
      </c>
      <c r="C203" s="2">
        <v>43284</v>
      </c>
      <c r="D203" s="11" t="s">
        <v>126</v>
      </c>
      <c r="E203" s="3">
        <f t="shared" ca="1" si="3"/>
        <v>294982559</v>
      </c>
      <c r="F203" t="s">
        <v>11</v>
      </c>
      <c r="G203" t="s">
        <v>14</v>
      </c>
      <c r="H203" s="1" t="s">
        <v>236</v>
      </c>
      <c r="I203" t="s">
        <v>18</v>
      </c>
      <c r="J203" s="4">
        <v>4.0999999999999996</v>
      </c>
      <c r="K203" s="4">
        <v>62.62</v>
      </c>
      <c r="L203" s="4">
        <v>4</v>
      </c>
      <c r="M203" s="4">
        <v>18.010000000000002</v>
      </c>
      <c r="N203" s="4">
        <v>105.6965</v>
      </c>
      <c r="O203" s="4">
        <v>229.96</v>
      </c>
      <c r="P203" s="4">
        <v>3.8764546470000001</v>
      </c>
      <c r="Q203" s="4">
        <v>12.996</v>
      </c>
      <c r="R203" t="str" cm="1">
        <f t="array" ref="R203">_xlfn.IFS(B203="NY","New York",B203="TX","Texas",B203="CA","California")</f>
        <v>California</v>
      </c>
    </row>
    <row r="204" spans="1:18" x14ac:dyDescent="0.3">
      <c r="A204" t="s">
        <v>2</v>
      </c>
      <c r="B204" t="s">
        <v>7</v>
      </c>
      <c r="C204" s="2">
        <v>42830</v>
      </c>
      <c r="D204" s="11" t="s">
        <v>164</v>
      </c>
      <c r="E204" s="3">
        <f t="shared" ca="1" si="3"/>
        <v>925503028</v>
      </c>
      <c r="F204" t="s">
        <v>12</v>
      </c>
      <c r="G204" t="s">
        <v>15</v>
      </c>
      <c r="H204" s="1" t="s">
        <v>236</v>
      </c>
      <c r="I204" t="s">
        <v>18</v>
      </c>
      <c r="J204" s="4">
        <v>1.5</v>
      </c>
      <c r="K204" s="4">
        <v>41.57</v>
      </c>
      <c r="L204" s="4">
        <v>7</v>
      </c>
      <c r="M204" s="4">
        <v>31.06</v>
      </c>
      <c r="N204" s="4">
        <v>154.42439999999999</v>
      </c>
      <c r="O204" s="4">
        <v>429.87</v>
      </c>
      <c r="P204" s="4">
        <v>3.8764546470000001</v>
      </c>
      <c r="Q204" s="4">
        <v>50.578000000000003</v>
      </c>
      <c r="R204" t="str" cm="1">
        <f t="array" ref="R204">_xlfn.IFS(B204="NY","New York",B204="TX","Texas",B204="CA","California")</f>
        <v>Texas</v>
      </c>
    </row>
    <row r="205" spans="1:18" x14ac:dyDescent="0.3">
      <c r="A205" t="s">
        <v>3</v>
      </c>
      <c r="B205" t="s">
        <v>8</v>
      </c>
      <c r="C205" s="2">
        <v>42919</v>
      </c>
      <c r="D205" s="11" t="s">
        <v>110</v>
      </c>
      <c r="E205" s="3">
        <f t="shared" ca="1" si="3"/>
        <v>728605406</v>
      </c>
      <c r="F205" t="s">
        <v>12</v>
      </c>
      <c r="G205" t="s">
        <v>14</v>
      </c>
      <c r="H205" s="1" t="s">
        <v>235</v>
      </c>
      <c r="I205" t="s">
        <v>17</v>
      </c>
      <c r="J205" s="4">
        <v>9.8000000000000007</v>
      </c>
      <c r="K205" s="4">
        <v>48.66</v>
      </c>
      <c r="L205" s="4">
        <v>10</v>
      </c>
      <c r="M205" s="4">
        <v>17.82</v>
      </c>
      <c r="N205" s="4">
        <v>107.9375</v>
      </c>
      <c r="O205" s="4">
        <v>259</v>
      </c>
      <c r="P205" s="4">
        <v>3.8764546470000001</v>
      </c>
      <c r="Q205" s="4">
        <v>38.97</v>
      </c>
      <c r="R205" t="str" cm="1">
        <f t="array" ref="R205">_xlfn.IFS(B205="NY","New York",B205="TX","Texas",B205="CA","California")</f>
        <v>California</v>
      </c>
    </row>
    <row r="206" spans="1:18" x14ac:dyDescent="0.3">
      <c r="A206" t="s">
        <v>3</v>
      </c>
      <c r="B206" t="s">
        <v>8</v>
      </c>
      <c r="C206" s="2">
        <v>42826</v>
      </c>
      <c r="D206" s="11" t="s">
        <v>118</v>
      </c>
      <c r="E206" s="3">
        <f t="shared" ca="1" si="3"/>
        <v>495580762</v>
      </c>
      <c r="F206" t="s">
        <v>12</v>
      </c>
      <c r="G206" t="s">
        <v>14</v>
      </c>
      <c r="H206" s="1" t="s">
        <v>237</v>
      </c>
      <c r="I206" t="s">
        <v>19</v>
      </c>
      <c r="J206" s="4">
        <v>5.3</v>
      </c>
      <c r="K206" s="4">
        <v>86.1</v>
      </c>
      <c r="L206" s="4">
        <v>5</v>
      </c>
      <c r="M206" s="4">
        <v>45.2</v>
      </c>
      <c r="N206" s="4">
        <v>131.8673</v>
      </c>
      <c r="O206" s="4">
        <v>88.85</v>
      </c>
      <c r="P206" s="4">
        <v>3.8764546470000001</v>
      </c>
      <c r="Q206" s="4">
        <v>38.11</v>
      </c>
      <c r="R206" t="str" cm="1">
        <f t="array" ref="R206">_xlfn.IFS(B206="NY","New York",B206="TX","Texas",B206="CA","California")</f>
        <v>California</v>
      </c>
    </row>
    <row r="207" spans="1:18" x14ac:dyDescent="0.3">
      <c r="A207" t="s">
        <v>1</v>
      </c>
      <c r="B207" t="s">
        <v>6</v>
      </c>
      <c r="C207" s="2">
        <v>43225</v>
      </c>
      <c r="D207" s="11" t="s">
        <v>71</v>
      </c>
      <c r="E207" s="3">
        <f t="shared" ca="1" si="3"/>
        <v>171730829</v>
      </c>
      <c r="F207" t="s">
        <v>11</v>
      </c>
      <c r="G207" t="s">
        <v>15</v>
      </c>
      <c r="H207" s="1" t="s">
        <v>235</v>
      </c>
      <c r="I207" t="s">
        <v>17</v>
      </c>
      <c r="J207" s="4">
        <v>7.9</v>
      </c>
      <c r="K207" s="4">
        <v>62.69</v>
      </c>
      <c r="L207" s="4">
        <v>9</v>
      </c>
      <c r="M207" s="4">
        <v>99.21</v>
      </c>
      <c r="N207" s="4">
        <v>143.41489999999999</v>
      </c>
      <c r="O207" s="4">
        <v>207.27</v>
      </c>
      <c r="P207" s="4">
        <v>3.8764546470000001</v>
      </c>
      <c r="Q207" s="4">
        <v>81.099999999999994</v>
      </c>
      <c r="R207" t="str" cm="1">
        <f t="array" ref="R207">_xlfn.IFS(B207="NY","New York",B207="TX","Texas",B207="CA","California")</f>
        <v>New York</v>
      </c>
    </row>
    <row r="208" spans="1:18" x14ac:dyDescent="0.3">
      <c r="A208" t="s">
        <v>2</v>
      </c>
      <c r="B208" t="s">
        <v>7</v>
      </c>
      <c r="C208" s="2">
        <v>43289</v>
      </c>
      <c r="D208" s="11" t="s">
        <v>71</v>
      </c>
      <c r="E208" s="3">
        <f t="shared" ca="1" si="3"/>
        <v>492793192</v>
      </c>
      <c r="F208" t="s">
        <v>11</v>
      </c>
      <c r="G208" t="s">
        <v>14</v>
      </c>
      <c r="H208" s="1" t="s">
        <v>237</v>
      </c>
      <c r="I208" t="s">
        <v>18</v>
      </c>
      <c r="J208" s="4">
        <v>7.3</v>
      </c>
      <c r="K208" s="4">
        <v>85.75</v>
      </c>
      <c r="L208" s="4">
        <v>9</v>
      </c>
      <c r="M208" s="4">
        <v>17.79</v>
      </c>
      <c r="N208" s="4">
        <v>125.72020000000001</v>
      </c>
      <c r="O208" s="4">
        <v>599.85</v>
      </c>
      <c r="P208" s="4">
        <v>3.8764546470000001</v>
      </c>
      <c r="Q208" s="4">
        <v>14.19</v>
      </c>
      <c r="R208" t="str" cm="1">
        <f t="array" ref="R208">_xlfn.IFS(B208="NY","New York",B208="TX","Texas",B208="CA","California")</f>
        <v>Texas</v>
      </c>
    </row>
    <row r="209" spans="1:18" x14ac:dyDescent="0.3">
      <c r="A209" t="s">
        <v>2</v>
      </c>
      <c r="B209" t="s">
        <v>7</v>
      </c>
      <c r="C209" s="2">
        <v>43319</v>
      </c>
      <c r="D209" s="11" t="s">
        <v>73</v>
      </c>
      <c r="E209" s="3">
        <f t="shared" ca="1" si="3"/>
        <v>269736931</v>
      </c>
      <c r="F209" t="s">
        <v>11</v>
      </c>
      <c r="G209" t="s">
        <v>14</v>
      </c>
      <c r="H209" s="1" t="s">
        <v>235</v>
      </c>
      <c r="I209" t="s">
        <v>19</v>
      </c>
      <c r="J209" s="4">
        <v>7.2</v>
      </c>
      <c r="K209" s="4">
        <v>57.02</v>
      </c>
      <c r="L209" s="4">
        <v>10</v>
      </c>
      <c r="M209" s="4">
        <v>35.659999999999997</v>
      </c>
      <c r="N209" s="4">
        <v>158.54060000000001</v>
      </c>
      <c r="O209" s="4">
        <v>285.3</v>
      </c>
      <c r="P209" s="4">
        <v>3.8764546470000001</v>
      </c>
      <c r="Q209" s="4">
        <v>35.71</v>
      </c>
      <c r="R209" t="str" cm="1">
        <f t="array" ref="R209">_xlfn.IFS(B209="NY","New York",B209="TX","Texas",B209="CA","California")</f>
        <v>Texas</v>
      </c>
    </row>
    <row r="210" spans="1:18" x14ac:dyDescent="0.3">
      <c r="A210" t="s">
        <v>3</v>
      </c>
      <c r="B210" t="s">
        <v>8</v>
      </c>
      <c r="C210" s="2">
        <v>43081</v>
      </c>
      <c r="D210" s="11" t="s">
        <v>165</v>
      </c>
      <c r="E210" s="3">
        <f t="shared" ca="1" si="3"/>
        <v>878421151</v>
      </c>
      <c r="F210" t="s">
        <v>11</v>
      </c>
      <c r="G210" t="s">
        <v>15</v>
      </c>
      <c r="H210" s="1" t="s">
        <v>235</v>
      </c>
      <c r="I210" t="s">
        <v>22</v>
      </c>
      <c r="J210" s="4">
        <v>7</v>
      </c>
      <c r="K210" s="4">
        <v>56.6</v>
      </c>
      <c r="L210" s="4">
        <v>3</v>
      </c>
      <c r="M210" s="4">
        <v>68.7</v>
      </c>
      <c r="N210" s="4">
        <v>111.65349999999999</v>
      </c>
      <c r="O210" s="4">
        <v>91.11</v>
      </c>
      <c r="P210" s="4">
        <v>3.8764546470000001</v>
      </c>
      <c r="Q210" s="4">
        <v>71.16</v>
      </c>
      <c r="R210" t="str" cm="1">
        <f t="array" ref="R210">_xlfn.IFS(B210="NY","New York",B210="TX","Texas",B210="CA","California")</f>
        <v>California</v>
      </c>
    </row>
    <row r="211" spans="1:18" x14ac:dyDescent="0.3">
      <c r="A211" t="s">
        <v>3</v>
      </c>
      <c r="B211" t="s">
        <v>8</v>
      </c>
      <c r="C211" s="2">
        <v>42911</v>
      </c>
      <c r="D211" s="11" t="s">
        <v>166</v>
      </c>
      <c r="E211" s="3">
        <f t="shared" ca="1" si="3"/>
        <v>647364051</v>
      </c>
      <c r="F211" t="s">
        <v>11</v>
      </c>
      <c r="G211" t="s">
        <v>15</v>
      </c>
      <c r="H211" s="1" t="s">
        <v>237</v>
      </c>
      <c r="I211" t="s">
        <v>18</v>
      </c>
      <c r="J211" s="4">
        <v>1.8</v>
      </c>
      <c r="K211" s="4">
        <v>17.66</v>
      </c>
      <c r="L211" s="4">
        <v>9</v>
      </c>
      <c r="M211" s="4">
        <v>48.66</v>
      </c>
      <c r="N211" s="4">
        <v>149.2371</v>
      </c>
      <c r="O211" s="4">
        <v>897.57</v>
      </c>
      <c r="P211" s="4">
        <v>3.8764546470000001</v>
      </c>
      <c r="Q211" s="4">
        <v>65.09</v>
      </c>
      <c r="R211" t="str" cm="1">
        <f t="array" ref="R211">_xlfn.IFS(B211="NY","New York",B211="TX","Texas",B211="CA","California")</f>
        <v>California</v>
      </c>
    </row>
    <row r="212" spans="1:18" x14ac:dyDescent="0.3">
      <c r="A212" t="s">
        <v>1</v>
      </c>
      <c r="B212" t="s">
        <v>6</v>
      </c>
      <c r="C212" s="2">
        <v>43213</v>
      </c>
      <c r="D212" s="11" t="s">
        <v>164</v>
      </c>
      <c r="E212" s="3">
        <f t="shared" ca="1" si="3"/>
        <v>252831418</v>
      </c>
      <c r="F212" t="s">
        <v>12</v>
      </c>
      <c r="G212" t="s">
        <v>15</v>
      </c>
      <c r="H212" s="1" t="s">
        <v>235</v>
      </c>
      <c r="I212" t="s">
        <v>18</v>
      </c>
      <c r="J212" s="4">
        <v>8</v>
      </c>
      <c r="K212" s="4">
        <v>95.69</v>
      </c>
      <c r="L212" s="4">
        <v>9</v>
      </c>
      <c r="M212" s="4">
        <v>81.06</v>
      </c>
      <c r="N212" s="4">
        <v>171.82329999999999</v>
      </c>
      <c r="O212" s="4">
        <v>236.07</v>
      </c>
      <c r="P212" s="4">
        <v>3.8764546470000001</v>
      </c>
      <c r="Q212" s="4">
        <v>79.075999999999993</v>
      </c>
      <c r="R212" t="str" cm="1">
        <f t="array" ref="R212">_xlfn.IFS(B212="NY","New York",B212="TX","Texas",B212="CA","California")</f>
        <v>New York</v>
      </c>
    </row>
    <row r="213" spans="1:18" x14ac:dyDescent="0.3">
      <c r="A213" t="s">
        <v>2</v>
      </c>
      <c r="B213" t="s">
        <v>7</v>
      </c>
      <c r="C213" s="2">
        <v>43133</v>
      </c>
      <c r="D213" s="11" t="s">
        <v>126</v>
      </c>
      <c r="E213" s="3">
        <f t="shared" ca="1" si="3"/>
        <v>457974735</v>
      </c>
      <c r="F213" t="s">
        <v>11</v>
      </c>
      <c r="G213" t="s">
        <v>15</v>
      </c>
      <c r="H213" s="1" t="s">
        <v>236</v>
      </c>
      <c r="I213" t="s">
        <v>21</v>
      </c>
      <c r="J213" s="4">
        <v>2</v>
      </c>
      <c r="K213" s="4">
        <v>26.16</v>
      </c>
      <c r="L213" s="4">
        <v>9</v>
      </c>
      <c r="M213" s="4">
        <v>46.58</v>
      </c>
      <c r="N213" s="4">
        <v>158.84710000000001</v>
      </c>
      <c r="O213" s="4">
        <v>839.34</v>
      </c>
      <c r="P213" s="4">
        <v>3.8764546470000001</v>
      </c>
      <c r="Q213" s="4">
        <v>79.986000000000004</v>
      </c>
      <c r="R213" t="str" cm="1">
        <f t="array" ref="R213">_xlfn.IFS(B213="NY","New York",B213="TX","Texas",B213="CA","California")</f>
        <v>Texas</v>
      </c>
    </row>
    <row r="214" spans="1:18" x14ac:dyDescent="0.3">
      <c r="A214" t="s">
        <v>3</v>
      </c>
      <c r="B214" t="s">
        <v>8</v>
      </c>
      <c r="C214" s="2">
        <v>43094</v>
      </c>
      <c r="D214" s="11" t="s">
        <v>64</v>
      </c>
      <c r="E214" s="3">
        <f t="shared" ca="1" si="3"/>
        <v>83311066</v>
      </c>
      <c r="F214" t="s">
        <v>12</v>
      </c>
      <c r="G214" t="s">
        <v>15</v>
      </c>
      <c r="H214" s="1" t="s">
        <v>235</v>
      </c>
      <c r="I214" t="s">
        <v>19</v>
      </c>
      <c r="J214" s="4">
        <v>6.8</v>
      </c>
      <c r="K214" s="4">
        <v>29.98</v>
      </c>
      <c r="L214" s="4">
        <v>5</v>
      </c>
      <c r="M214" s="4">
        <v>40.42</v>
      </c>
      <c r="N214" s="4">
        <v>170.2867</v>
      </c>
      <c r="O214" s="4">
        <v>461.8</v>
      </c>
      <c r="P214" s="4">
        <v>3.8764546470000001</v>
      </c>
      <c r="Q214" s="4">
        <v>99.897999999999996</v>
      </c>
      <c r="R214" t="str" cm="1">
        <f t="array" ref="R214">_xlfn.IFS(B214="NY","New York",B214="TX","Texas",B214="CA","California")</f>
        <v>California</v>
      </c>
    </row>
    <row r="215" spans="1:18" x14ac:dyDescent="0.3">
      <c r="A215" t="s">
        <v>3</v>
      </c>
      <c r="B215" t="s">
        <v>8</v>
      </c>
      <c r="C215" s="2">
        <v>43150</v>
      </c>
      <c r="D215" s="11" t="s">
        <v>87</v>
      </c>
      <c r="E215" s="3">
        <f t="shared" ca="1" si="3"/>
        <v>741803108</v>
      </c>
      <c r="F215" t="s">
        <v>12</v>
      </c>
      <c r="G215" t="s">
        <v>15</v>
      </c>
      <c r="H215" s="1" t="s">
        <v>237</v>
      </c>
      <c r="I215" t="s">
        <v>20</v>
      </c>
      <c r="J215" s="4">
        <v>1.4</v>
      </c>
      <c r="K215" s="4">
        <v>36.049999999999997</v>
      </c>
      <c r="L215" s="4">
        <v>3</v>
      </c>
      <c r="M215" s="4">
        <v>59.88</v>
      </c>
      <c r="N215" s="4">
        <v>134.1858</v>
      </c>
      <c r="O215" s="4">
        <v>139.26</v>
      </c>
      <c r="P215" s="4">
        <v>3.8764546470000001</v>
      </c>
      <c r="Q215" s="4">
        <v>85.174000000000007</v>
      </c>
      <c r="R215" t="str" cm="1">
        <f t="array" ref="R215">_xlfn.IFS(B215="NY","New York",B215="TX","Texas",B215="CA","California")</f>
        <v>California</v>
      </c>
    </row>
    <row r="216" spans="1:18" x14ac:dyDescent="0.3">
      <c r="A216" t="s">
        <v>3</v>
      </c>
      <c r="B216" t="s">
        <v>8</v>
      </c>
      <c r="C216" s="2">
        <v>43181</v>
      </c>
      <c r="D216" s="11" t="s">
        <v>167</v>
      </c>
      <c r="E216" s="3">
        <f t="shared" ca="1" si="3"/>
        <v>181081410</v>
      </c>
      <c r="F216" t="s">
        <v>11</v>
      </c>
      <c r="G216" t="s">
        <v>14</v>
      </c>
      <c r="H216" s="1" t="s">
        <v>236</v>
      </c>
      <c r="I216" t="s">
        <v>20</v>
      </c>
      <c r="J216" s="4">
        <v>8.6999999999999993</v>
      </c>
      <c r="K216" s="4">
        <v>29.94</v>
      </c>
      <c r="L216" s="4">
        <v>7</v>
      </c>
      <c r="M216" s="4">
        <v>92.01</v>
      </c>
      <c r="N216" s="4">
        <v>156.11240000000001</v>
      </c>
      <c r="O216" s="4">
        <v>207.27</v>
      </c>
      <c r="P216" s="4">
        <v>3.8764546470000001</v>
      </c>
      <c r="Q216" s="4">
        <v>66.551000000000002</v>
      </c>
      <c r="R216" t="str" cm="1">
        <f t="array" ref="R216">_xlfn.IFS(B216="NY","New York",B216="TX","Texas",B216="CA","California")</f>
        <v>California</v>
      </c>
    </row>
    <row r="217" spans="1:18" x14ac:dyDescent="0.3">
      <c r="A217" t="s">
        <v>1</v>
      </c>
      <c r="B217" t="s">
        <v>6</v>
      </c>
      <c r="C217" s="2">
        <v>42923</v>
      </c>
      <c r="D217" s="11" t="s">
        <v>102</v>
      </c>
      <c r="E217" s="3">
        <f t="shared" ca="1" si="3"/>
        <v>81733843</v>
      </c>
      <c r="F217" t="s">
        <v>12</v>
      </c>
      <c r="G217" t="s">
        <v>15</v>
      </c>
      <c r="H217" s="1" t="s">
        <v>237</v>
      </c>
      <c r="I217" t="s">
        <v>19</v>
      </c>
      <c r="J217" s="4">
        <v>7.5</v>
      </c>
      <c r="K217" s="4">
        <v>38.51</v>
      </c>
      <c r="L217" s="4">
        <v>1</v>
      </c>
      <c r="M217" s="4">
        <v>72.739999999999995</v>
      </c>
      <c r="N217" s="4">
        <v>128.2458</v>
      </c>
      <c r="O217" s="4">
        <v>18.28</v>
      </c>
      <c r="P217" s="4">
        <v>3.8764546470000001</v>
      </c>
      <c r="Q217" s="4">
        <v>63.27</v>
      </c>
      <c r="R217" t="str" cm="1">
        <f t="array" ref="R217">_xlfn.IFS(B217="NY","New York",B217="TX","Texas",B217="CA","California")</f>
        <v>New York</v>
      </c>
    </row>
    <row r="218" spans="1:18" x14ac:dyDescent="0.3">
      <c r="A218" t="s">
        <v>3</v>
      </c>
      <c r="B218" t="s">
        <v>8</v>
      </c>
      <c r="C218" s="2">
        <v>43408</v>
      </c>
      <c r="D218" s="11" t="s">
        <v>40</v>
      </c>
      <c r="E218" s="3">
        <f t="shared" ca="1" si="3"/>
        <v>68477209</v>
      </c>
      <c r="F218" t="s">
        <v>11</v>
      </c>
      <c r="G218" t="s">
        <v>15</v>
      </c>
      <c r="H218" s="1" t="s">
        <v>236</v>
      </c>
      <c r="I218" t="s">
        <v>20</v>
      </c>
      <c r="J218" s="4">
        <v>1</v>
      </c>
      <c r="K218" s="4">
        <v>13.17</v>
      </c>
      <c r="L218" s="4">
        <v>5</v>
      </c>
      <c r="M218" s="4">
        <v>12.42</v>
      </c>
      <c r="N218" s="4">
        <v>148.42099999999999</v>
      </c>
      <c r="O218" s="4">
        <v>123.85</v>
      </c>
      <c r="P218" s="4">
        <v>3.8764546470000001</v>
      </c>
      <c r="Q218" s="4">
        <v>75.86</v>
      </c>
      <c r="R218" t="str" cm="1">
        <f t="array" ref="R218">_xlfn.IFS(B218="NY","New York",B218="TX","Texas",B218="CA","California")</f>
        <v>California</v>
      </c>
    </row>
    <row r="219" spans="1:18" x14ac:dyDescent="0.3">
      <c r="A219" t="s">
        <v>1</v>
      </c>
      <c r="B219" t="s">
        <v>6</v>
      </c>
      <c r="C219" s="2">
        <v>42926</v>
      </c>
      <c r="D219" s="11" t="s">
        <v>131</v>
      </c>
      <c r="E219" s="3">
        <f t="shared" ca="1" si="3"/>
        <v>755635436</v>
      </c>
      <c r="F219" t="s">
        <v>11</v>
      </c>
      <c r="G219" t="s">
        <v>14</v>
      </c>
      <c r="H219" s="1" t="s">
        <v>236</v>
      </c>
      <c r="I219" t="s">
        <v>18</v>
      </c>
      <c r="J219" s="4">
        <v>4</v>
      </c>
      <c r="K219" s="4">
        <v>99.31</v>
      </c>
      <c r="L219" s="4">
        <v>3</v>
      </c>
      <c r="M219" s="4">
        <v>60.17</v>
      </c>
      <c r="N219" s="4">
        <v>107.0227</v>
      </c>
      <c r="O219" s="4">
        <v>283.92</v>
      </c>
      <c r="P219" s="4">
        <v>3.8764546470000001</v>
      </c>
      <c r="Q219" s="4">
        <v>36.840000000000003</v>
      </c>
      <c r="R219" t="str" cm="1">
        <f t="array" ref="R219">_xlfn.IFS(B219="NY","New York",B219="TX","Texas",B219="CA","California")</f>
        <v>New York</v>
      </c>
    </row>
    <row r="220" spans="1:18" x14ac:dyDescent="0.3">
      <c r="A220" t="s">
        <v>3</v>
      </c>
      <c r="B220" t="s">
        <v>8</v>
      </c>
      <c r="C220" s="2">
        <v>43359</v>
      </c>
      <c r="D220" s="11" t="s">
        <v>168</v>
      </c>
      <c r="E220" s="3">
        <f t="shared" ca="1" si="3"/>
        <v>162192300</v>
      </c>
      <c r="F220" t="s">
        <v>12</v>
      </c>
      <c r="G220" t="s">
        <v>15</v>
      </c>
      <c r="H220" s="1" t="s">
        <v>235</v>
      </c>
      <c r="I220" t="s">
        <v>22</v>
      </c>
      <c r="J220" s="4">
        <v>4</v>
      </c>
      <c r="K220" s="4">
        <v>42.8</v>
      </c>
      <c r="L220" s="4">
        <v>8</v>
      </c>
      <c r="M220" s="4">
        <v>50.06</v>
      </c>
      <c r="N220" s="4">
        <v>162.81829999999999</v>
      </c>
      <c r="O220" s="4">
        <v>758.96</v>
      </c>
      <c r="P220" s="4">
        <v>3.8764546470000001</v>
      </c>
      <c r="Q220" s="4">
        <v>41.838000000000001</v>
      </c>
      <c r="R220" t="str" cm="1">
        <f t="array" ref="R220">_xlfn.IFS(B220="NY","New York",B220="TX","Texas",B220="CA","California")</f>
        <v>California</v>
      </c>
    </row>
    <row r="221" spans="1:18" x14ac:dyDescent="0.3">
      <c r="A221" t="s">
        <v>3</v>
      </c>
      <c r="B221" t="s">
        <v>8</v>
      </c>
      <c r="C221" s="2">
        <v>42857</v>
      </c>
      <c r="D221" s="11" t="s">
        <v>94</v>
      </c>
      <c r="E221" s="3">
        <f t="shared" ca="1" si="3"/>
        <v>703408559</v>
      </c>
      <c r="F221" t="s">
        <v>11</v>
      </c>
      <c r="G221" t="s">
        <v>15</v>
      </c>
      <c r="H221" s="1" t="s">
        <v>237</v>
      </c>
      <c r="I221" t="s">
        <v>21</v>
      </c>
      <c r="J221" s="4">
        <v>7</v>
      </c>
      <c r="K221" s="4">
        <v>96.99</v>
      </c>
      <c r="L221" s="4">
        <v>3</v>
      </c>
      <c r="M221" s="4">
        <v>85.99</v>
      </c>
      <c r="N221" s="4">
        <v>126.1061</v>
      </c>
      <c r="O221" s="4">
        <v>172.02</v>
      </c>
      <c r="P221" s="4">
        <v>3.8764546470000001</v>
      </c>
      <c r="Q221" s="4">
        <v>68.429000000000002</v>
      </c>
      <c r="R221" t="str" cm="1">
        <f t="array" ref="R221">_xlfn.IFS(B221="NY","New York",B221="TX","Texas",B221="CA","California")</f>
        <v>California</v>
      </c>
    </row>
    <row r="222" spans="1:18" x14ac:dyDescent="0.3">
      <c r="A222" t="s">
        <v>3</v>
      </c>
      <c r="B222" t="s">
        <v>8</v>
      </c>
      <c r="C222" s="2">
        <v>42858</v>
      </c>
      <c r="D222" s="11" t="s">
        <v>132</v>
      </c>
      <c r="E222" s="3">
        <f t="shared" ca="1" si="3"/>
        <v>319876994</v>
      </c>
      <c r="F222" t="s">
        <v>12</v>
      </c>
      <c r="G222" t="s">
        <v>15</v>
      </c>
      <c r="H222" s="1" t="s">
        <v>235</v>
      </c>
      <c r="I222" t="s">
        <v>18</v>
      </c>
      <c r="J222" s="4">
        <v>9.6999999999999993</v>
      </c>
      <c r="K222" s="4">
        <v>67.91</v>
      </c>
      <c r="L222" s="4">
        <v>6</v>
      </c>
      <c r="M222" s="4">
        <v>20.64</v>
      </c>
      <c r="N222" s="4">
        <v>147.70249999999999</v>
      </c>
      <c r="O222" s="4">
        <v>272.10000000000002</v>
      </c>
      <c r="P222" s="4">
        <v>3.8764546470000001</v>
      </c>
      <c r="Q222" s="4">
        <v>35.780999999999999</v>
      </c>
      <c r="R222" t="str" cm="1">
        <f t="array" ref="R222">_xlfn.IFS(B222="NY","New York",B222="TX","Texas",B222="CA","California")</f>
        <v>California</v>
      </c>
    </row>
    <row r="223" spans="1:18" x14ac:dyDescent="0.3">
      <c r="A223" t="s">
        <v>3</v>
      </c>
      <c r="B223" t="s">
        <v>8</v>
      </c>
      <c r="C223" s="2">
        <v>43246</v>
      </c>
      <c r="D223" s="11" t="s">
        <v>169</v>
      </c>
      <c r="E223" s="3">
        <f t="shared" ca="1" si="3"/>
        <v>338505329</v>
      </c>
      <c r="F223" t="s">
        <v>12</v>
      </c>
      <c r="G223" t="s">
        <v>15</v>
      </c>
      <c r="H223" s="1" t="s">
        <v>235</v>
      </c>
      <c r="I223" t="s">
        <v>21</v>
      </c>
      <c r="J223" s="4">
        <v>4.9000000000000004</v>
      </c>
      <c r="K223" s="4">
        <v>80.38</v>
      </c>
      <c r="L223" s="4">
        <v>7</v>
      </c>
      <c r="M223" s="4">
        <v>13.95</v>
      </c>
      <c r="N223" s="4">
        <v>142.71289999999999</v>
      </c>
      <c r="O223" s="4">
        <v>434.56</v>
      </c>
      <c r="P223" s="4">
        <v>3.8764546470000001</v>
      </c>
      <c r="Q223" s="4">
        <v>88.093999999999994</v>
      </c>
      <c r="R223" t="str" cm="1">
        <f t="array" ref="R223">_xlfn.IFS(B223="NY","New York",B223="TX","Texas",B223="CA","California")</f>
        <v>California</v>
      </c>
    </row>
    <row r="224" spans="1:18" x14ac:dyDescent="0.3">
      <c r="A224" t="s">
        <v>2</v>
      </c>
      <c r="B224" t="s">
        <v>7</v>
      </c>
      <c r="C224" s="2">
        <v>43437</v>
      </c>
      <c r="D224" s="11" t="s">
        <v>170</v>
      </c>
      <c r="E224" s="3">
        <f t="shared" ca="1" si="3"/>
        <v>587683013</v>
      </c>
      <c r="F224" t="s">
        <v>12</v>
      </c>
      <c r="G224" t="s">
        <v>15</v>
      </c>
      <c r="H224" s="1" t="s">
        <v>236</v>
      </c>
      <c r="I224" t="s">
        <v>18</v>
      </c>
      <c r="J224" s="4">
        <v>7.9</v>
      </c>
      <c r="K224" s="4">
        <v>78.3</v>
      </c>
      <c r="L224" s="4">
        <v>5</v>
      </c>
      <c r="M224" s="4">
        <v>87.71</v>
      </c>
      <c r="N224" s="4">
        <v>182.31710000000001</v>
      </c>
      <c r="O224" s="4">
        <v>59.05</v>
      </c>
      <c r="P224" s="4">
        <v>3.8764546470000001</v>
      </c>
      <c r="Q224" s="4">
        <v>90.432000000000002</v>
      </c>
      <c r="R224" t="str" cm="1">
        <f t="array" ref="R224">_xlfn.IFS(B224="NY","New York",B224="TX","Texas",B224="CA","California")</f>
        <v>Texas</v>
      </c>
    </row>
    <row r="225" spans="1:18" x14ac:dyDescent="0.3">
      <c r="A225" t="s">
        <v>2</v>
      </c>
      <c r="B225" t="s">
        <v>7</v>
      </c>
      <c r="C225" s="2">
        <v>43264</v>
      </c>
      <c r="D225" s="11" t="s">
        <v>43</v>
      </c>
      <c r="E225" s="3">
        <f t="shared" ca="1" si="3"/>
        <v>251528432</v>
      </c>
      <c r="F225" t="s">
        <v>11</v>
      </c>
      <c r="G225" t="s">
        <v>14</v>
      </c>
      <c r="H225" s="1" t="s">
        <v>236</v>
      </c>
      <c r="I225" t="s">
        <v>22</v>
      </c>
      <c r="J225" s="4">
        <v>5.4</v>
      </c>
      <c r="K225" s="4">
        <v>78.650000000000006</v>
      </c>
      <c r="L225" s="4">
        <v>1</v>
      </c>
      <c r="M225" s="4">
        <v>82.93</v>
      </c>
      <c r="N225" s="4">
        <v>172.38919999999999</v>
      </c>
      <c r="O225" s="4">
        <v>12.54</v>
      </c>
      <c r="P225" s="4">
        <v>3.8764546470000001</v>
      </c>
      <c r="Q225" s="4">
        <v>87.88</v>
      </c>
      <c r="R225" t="str" cm="1">
        <f t="array" ref="R225">_xlfn.IFS(B225="NY","New York",B225="TX","Texas",B225="CA","California")</f>
        <v>Texas</v>
      </c>
    </row>
    <row r="226" spans="1:18" x14ac:dyDescent="0.3">
      <c r="A226" t="s">
        <v>1</v>
      </c>
      <c r="B226" t="s">
        <v>6</v>
      </c>
      <c r="C226" s="2">
        <v>42866</v>
      </c>
      <c r="D226" s="11" t="s">
        <v>171</v>
      </c>
      <c r="E226" s="3">
        <f t="shared" ca="1" si="3"/>
        <v>313934345</v>
      </c>
      <c r="F226" t="s">
        <v>12</v>
      </c>
      <c r="G226" t="s">
        <v>15</v>
      </c>
      <c r="H226" s="1" t="s">
        <v>236</v>
      </c>
      <c r="I226" t="s">
        <v>21</v>
      </c>
      <c r="J226" s="4">
        <v>3.5</v>
      </c>
      <c r="K226" s="4">
        <v>21.92</v>
      </c>
      <c r="L226" s="4">
        <v>2</v>
      </c>
      <c r="M226" s="4">
        <v>18.66</v>
      </c>
      <c r="N226" s="4">
        <v>139.08609999999999</v>
      </c>
      <c r="O226" s="4">
        <v>86.5</v>
      </c>
      <c r="P226" s="4">
        <v>3.8764546470000001</v>
      </c>
      <c r="Q226" s="4">
        <v>60.94</v>
      </c>
      <c r="R226" t="str" cm="1">
        <f t="array" ref="R226">_xlfn.IFS(B226="NY","New York",B226="TX","Texas",B226="CA","California")</f>
        <v>New York</v>
      </c>
    </row>
    <row r="227" spans="1:18" x14ac:dyDescent="0.3">
      <c r="A227" t="s">
        <v>2</v>
      </c>
      <c r="B227" t="s">
        <v>7</v>
      </c>
      <c r="C227" s="2">
        <v>43136</v>
      </c>
      <c r="D227" s="11" t="s">
        <v>172</v>
      </c>
      <c r="E227" s="3">
        <f t="shared" ca="1" si="3"/>
        <v>522157308</v>
      </c>
      <c r="F227" t="s">
        <v>11</v>
      </c>
      <c r="G227" t="s">
        <v>14</v>
      </c>
      <c r="H227" s="1" t="s">
        <v>237</v>
      </c>
      <c r="I227" t="s">
        <v>20</v>
      </c>
      <c r="J227" s="4">
        <v>7</v>
      </c>
      <c r="K227" s="4">
        <v>43.56</v>
      </c>
      <c r="L227" s="4">
        <v>2</v>
      </c>
      <c r="M227" s="4">
        <v>61.74</v>
      </c>
      <c r="N227" s="4">
        <v>179.27189999999999</v>
      </c>
      <c r="O227" s="4">
        <v>174.32</v>
      </c>
      <c r="P227" s="4">
        <v>3.8764546470000001</v>
      </c>
      <c r="Q227" s="4">
        <v>26</v>
      </c>
      <c r="R227" t="str" cm="1">
        <f t="array" ref="R227">_xlfn.IFS(B227="NY","New York",B227="TX","Texas",B227="CA","California")</f>
        <v>Texas</v>
      </c>
    </row>
    <row r="228" spans="1:18" x14ac:dyDescent="0.3">
      <c r="A228" t="s">
        <v>3</v>
      </c>
      <c r="B228" t="s">
        <v>8</v>
      </c>
      <c r="C228" s="2">
        <v>43226</v>
      </c>
      <c r="D228" s="11" t="s">
        <v>173</v>
      </c>
      <c r="E228" s="3">
        <f t="shared" ca="1" si="3"/>
        <v>320284429</v>
      </c>
      <c r="F228" t="s">
        <v>12</v>
      </c>
      <c r="G228" t="s">
        <v>14</v>
      </c>
      <c r="H228" s="1" t="s">
        <v>235</v>
      </c>
      <c r="I228" t="s">
        <v>17</v>
      </c>
      <c r="J228" s="4">
        <v>6.7</v>
      </c>
      <c r="K228" s="4">
        <v>82.62</v>
      </c>
      <c r="L228" s="4">
        <v>9</v>
      </c>
      <c r="M228" s="4">
        <v>28.82</v>
      </c>
      <c r="N228" s="4">
        <v>171.27680000000001</v>
      </c>
      <c r="O228" s="4">
        <v>624.33000000000004</v>
      </c>
      <c r="P228" s="4">
        <v>3.8764546470000001</v>
      </c>
      <c r="Q228" s="4">
        <v>41.35</v>
      </c>
      <c r="R228" t="str" cm="1">
        <f t="array" ref="R228">_xlfn.IFS(B228="NY","New York",B228="TX","Texas",B228="CA","California")</f>
        <v>California</v>
      </c>
    </row>
    <row r="229" spans="1:18" x14ac:dyDescent="0.3">
      <c r="A229" t="s">
        <v>2</v>
      </c>
      <c r="B229" t="s">
        <v>7</v>
      </c>
      <c r="C229" s="2">
        <v>42816</v>
      </c>
      <c r="D229" s="11" t="s">
        <v>174</v>
      </c>
      <c r="E229" s="3">
        <f t="shared" ca="1" si="3"/>
        <v>776346790</v>
      </c>
      <c r="F229" t="s">
        <v>12</v>
      </c>
      <c r="G229" t="s">
        <v>14</v>
      </c>
      <c r="H229" s="1" t="s">
        <v>235</v>
      </c>
      <c r="I229" t="s">
        <v>18</v>
      </c>
      <c r="J229" s="4">
        <v>6.6</v>
      </c>
      <c r="K229" s="4">
        <v>22.3</v>
      </c>
      <c r="L229" s="4">
        <v>4</v>
      </c>
      <c r="M229" s="4">
        <v>34.28</v>
      </c>
      <c r="N229" s="4">
        <v>119.0318</v>
      </c>
      <c r="O229" s="4">
        <v>148.24</v>
      </c>
      <c r="P229" s="4">
        <v>3.8764546470000001</v>
      </c>
      <c r="Q229" s="4">
        <v>18.478999999999999</v>
      </c>
      <c r="R229" t="str" cm="1">
        <f t="array" ref="R229">_xlfn.IFS(B229="NY","New York",B229="TX","Texas",B229="CA","California")</f>
        <v>Texas</v>
      </c>
    </row>
    <row r="230" spans="1:18" x14ac:dyDescent="0.3">
      <c r="A230" t="s">
        <v>3</v>
      </c>
      <c r="B230" t="s">
        <v>8</v>
      </c>
      <c r="C230" s="2">
        <v>42861</v>
      </c>
      <c r="D230" s="11" t="s">
        <v>175</v>
      </c>
      <c r="E230" s="3">
        <f t="shared" ca="1" si="3"/>
        <v>336859826</v>
      </c>
      <c r="F230" t="s">
        <v>11</v>
      </c>
      <c r="G230" t="s">
        <v>14</v>
      </c>
      <c r="H230" s="1" t="s">
        <v>236</v>
      </c>
      <c r="I230" t="s">
        <v>18</v>
      </c>
      <c r="J230" s="4">
        <v>7</v>
      </c>
      <c r="K230" s="4">
        <v>80.75</v>
      </c>
      <c r="L230" s="4">
        <v>6</v>
      </c>
      <c r="M230" s="4">
        <v>18.98</v>
      </c>
      <c r="N230" s="4">
        <v>183.25</v>
      </c>
      <c r="O230" s="4">
        <v>544.20000000000005</v>
      </c>
      <c r="P230" s="4">
        <v>3.8764546470000001</v>
      </c>
      <c r="Q230" s="4">
        <v>89.298000000000002</v>
      </c>
      <c r="R230" t="str" cm="1">
        <f t="array" ref="R230">_xlfn.IFS(B230="NY","New York",B230="TX","Texas",B230="CA","California")</f>
        <v>California</v>
      </c>
    </row>
    <row r="231" spans="1:18" x14ac:dyDescent="0.3">
      <c r="A231" t="s">
        <v>1</v>
      </c>
      <c r="B231" t="s">
        <v>6</v>
      </c>
      <c r="C231" s="2">
        <v>43326</v>
      </c>
      <c r="D231" s="11" t="s">
        <v>46</v>
      </c>
      <c r="E231" s="3">
        <f t="shared" ca="1" si="3"/>
        <v>138417653</v>
      </c>
      <c r="F231" t="s">
        <v>11</v>
      </c>
      <c r="G231" t="s">
        <v>15</v>
      </c>
      <c r="H231" s="1" t="s">
        <v>235</v>
      </c>
      <c r="I231" t="s">
        <v>19</v>
      </c>
      <c r="J231" s="4">
        <v>7</v>
      </c>
      <c r="K231" s="4">
        <v>95.94</v>
      </c>
      <c r="L231" s="4">
        <v>8</v>
      </c>
      <c r="M231" s="4">
        <v>22.26</v>
      </c>
      <c r="N231" s="4">
        <v>136.72909999999999</v>
      </c>
      <c r="O231" s="4">
        <v>507.36</v>
      </c>
      <c r="P231" s="4">
        <v>3.8764546470000001</v>
      </c>
      <c r="Q231" s="4">
        <v>34.76</v>
      </c>
      <c r="R231" t="str" cm="1">
        <f t="array" ref="R231">_xlfn.IFS(B231="NY","New York",B231="TX","Texas",B231="CA","California")</f>
        <v>New York</v>
      </c>
    </row>
    <row r="232" spans="1:18" x14ac:dyDescent="0.3">
      <c r="A232" t="s">
        <v>3</v>
      </c>
      <c r="B232" t="s">
        <v>8</v>
      </c>
      <c r="C232" s="2">
        <v>43285</v>
      </c>
      <c r="D232" s="11" t="s">
        <v>176</v>
      </c>
      <c r="E232" s="3">
        <f t="shared" ca="1" si="3"/>
        <v>558101775</v>
      </c>
      <c r="F232" t="s">
        <v>11</v>
      </c>
      <c r="G232" t="s">
        <v>15</v>
      </c>
      <c r="H232" s="1" t="s">
        <v>236</v>
      </c>
      <c r="I232" t="s">
        <v>22</v>
      </c>
      <c r="J232" s="4">
        <v>1</v>
      </c>
      <c r="K232" s="4">
        <v>79.7</v>
      </c>
      <c r="L232" s="4">
        <v>2</v>
      </c>
      <c r="M232" s="4">
        <v>97.57</v>
      </c>
      <c r="N232" s="4">
        <v>163.8417</v>
      </c>
      <c r="O232" s="4">
        <v>162.74</v>
      </c>
      <c r="P232" s="4">
        <v>3.8764546470000001</v>
      </c>
      <c r="Q232" s="4">
        <v>17.459</v>
      </c>
      <c r="R232" t="str" cm="1">
        <f t="array" ref="R232">_xlfn.IFS(B232="NY","New York",B232="TX","Texas",B232="CA","California")</f>
        <v>California</v>
      </c>
    </row>
    <row r="233" spans="1:18" x14ac:dyDescent="0.3">
      <c r="A233" t="s">
        <v>3</v>
      </c>
      <c r="B233" t="s">
        <v>8</v>
      </c>
      <c r="C233" s="2">
        <v>42962</v>
      </c>
      <c r="D233" s="11" t="s">
        <v>177</v>
      </c>
      <c r="E233" s="3">
        <f t="shared" ca="1" si="3"/>
        <v>822685542</v>
      </c>
      <c r="F233" t="s">
        <v>11</v>
      </c>
      <c r="G233" t="s">
        <v>14</v>
      </c>
      <c r="H233" s="1" t="s">
        <v>237</v>
      </c>
      <c r="I233" t="s">
        <v>18</v>
      </c>
      <c r="J233" s="4">
        <v>4</v>
      </c>
      <c r="K233" s="4">
        <v>23.03</v>
      </c>
      <c r="L233" s="4">
        <v>3</v>
      </c>
      <c r="M233" s="4">
        <v>10.07</v>
      </c>
      <c r="N233" s="4">
        <v>125.7928</v>
      </c>
      <c r="O233" s="4">
        <v>31.77</v>
      </c>
      <c r="P233" s="4">
        <v>3.8764546470000001</v>
      </c>
      <c r="Q233" s="4">
        <v>51.06</v>
      </c>
      <c r="R233" t="str" cm="1">
        <f t="array" ref="R233">_xlfn.IFS(B233="NY","New York",B233="TX","Texas",B233="CA","California")</f>
        <v>California</v>
      </c>
    </row>
    <row r="234" spans="1:18" x14ac:dyDescent="0.3">
      <c r="A234" t="s">
        <v>3</v>
      </c>
      <c r="B234" t="s">
        <v>8</v>
      </c>
      <c r="C234" s="2">
        <v>43307</v>
      </c>
      <c r="D234" s="11" t="s">
        <v>56</v>
      </c>
      <c r="E234" s="3">
        <f t="shared" ca="1" si="3"/>
        <v>494945693</v>
      </c>
      <c r="F234" t="s">
        <v>11</v>
      </c>
      <c r="G234" t="s">
        <v>15</v>
      </c>
      <c r="H234" s="1" t="s">
        <v>236</v>
      </c>
      <c r="I234" t="s">
        <v>17</v>
      </c>
      <c r="J234" s="4">
        <v>8</v>
      </c>
      <c r="K234" s="4">
        <v>74.989999999999995</v>
      </c>
      <c r="L234" s="4">
        <v>9</v>
      </c>
      <c r="M234" s="4">
        <v>45.55</v>
      </c>
      <c r="N234" s="4">
        <v>159.68369999999999</v>
      </c>
      <c r="O234" s="4">
        <v>756.81</v>
      </c>
      <c r="P234" s="4">
        <v>3.8764546470000001</v>
      </c>
      <c r="Q234" s="4">
        <v>80.06</v>
      </c>
      <c r="R234" t="str" cm="1">
        <f t="array" ref="R234">_xlfn.IFS(B234="NY","New York",B234="TX","Texas",B234="CA","California")</f>
        <v>California</v>
      </c>
    </row>
    <row r="235" spans="1:18" x14ac:dyDescent="0.3">
      <c r="A235" t="s">
        <v>3</v>
      </c>
      <c r="B235" t="s">
        <v>8</v>
      </c>
      <c r="C235" s="2">
        <v>42914</v>
      </c>
      <c r="D235" s="11" t="s">
        <v>178</v>
      </c>
      <c r="E235" s="3">
        <f t="shared" ca="1" si="3"/>
        <v>596701728</v>
      </c>
      <c r="F235" t="s">
        <v>12</v>
      </c>
      <c r="G235" t="s">
        <v>14</v>
      </c>
      <c r="H235" s="1" t="s">
        <v>236</v>
      </c>
      <c r="I235" t="s">
        <v>22</v>
      </c>
      <c r="J235" s="4">
        <v>1</v>
      </c>
      <c r="K235" s="4">
        <v>71.92</v>
      </c>
      <c r="L235" s="4">
        <v>4</v>
      </c>
      <c r="M235" s="4">
        <v>97.42</v>
      </c>
      <c r="N235" s="4">
        <v>184.15260000000001</v>
      </c>
      <c r="O235" s="4">
        <v>295.27999999999997</v>
      </c>
      <c r="P235" s="4">
        <v>3.8764546470000001</v>
      </c>
      <c r="Q235" s="4">
        <v>64.06</v>
      </c>
      <c r="R235" t="str" cm="1">
        <f t="array" ref="R235">_xlfn.IFS(B235="NY","New York",B235="TX","Texas",B235="CA","California")</f>
        <v>California</v>
      </c>
    </row>
    <row r="236" spans="1:18" x14ac:dyDescent="0.3">
      <c r="A236" t="s">
        <v>1</v>
      </c>
      <c r="B236" t="s">
        <v>6</v>
      </c>
      <c r="C236" s="2">
        <v>42820</v>
      </c>
      <c r="D236" s="11" t="s">
        <v>51</v>
      </c>
      <c r="E236" s="3">
        <f t="shared" ca="1" si="3"/>
        <v>629224018</v>
      </c>
      <c r="F236" t="s">
        <v>12</v>
      </c>
      <c r="G236" t="s">
        <v>14</v>
      </c>
      <c r="H236" s="1" t="s">
        <v>235</v>
      </c>
      <c r="I236" t="s">
        <v>17</v>
      </c>
      <c r="J236" s="4">
        <v>3</v>
      </c>
      <c r="K236" s="4">
        <v>37.409999999999997</v>
      </c>
      <c r="L236" s="4">
        <v>10</v>
      </c>
      <c r="M236" s="4">
        <v>93.25</v>
      </c>
      <c r="N236" s="4">
        <v>106.1674</v>
      </c>
      <c r="O236" s="4">
        <v>519.4</v>
      </c>
      <c r="P236" s="4">
        <v>3.8764546470000001</v>
      </c>
      <c r="Q236" s="4">
        <v>22.64</v>
      </c>
      <c r="R236" t="str" cm="1">
        <f t="array" ref="R236">_xlfn.IFS(B236="NY","New York",B236="TX","Texas",B236="CA","California")</f>
        <v>New York</v>
      </c>
    </row>
    <row r="237" spans="1:18" x14ac:dyDescent="0.3">
      <c r="A237" t="s">
        <v>1</v>
      </c>
      <c r="B237" t="s">
        <v>6</v>
      </c>
      <c r="C237" s="2">
        <v>42847</v>
      </c>
      <c r="D237" s="11" t="s">
        <v>42</v>
      </c>
      <c r="E237" s="3">
        <f t="shared" ca="1" si="3"/>
        <v>353159625</v>
      </c>
      <c r="F237" t="s">
        <v>11</v>
      </c>
      <c r="G237" t="s">
        <v>15</v>
      </c>
      <c r="H237" s="1" t="s">
        <v>235</v>
      </c>
      <c r="I237" t="s">
        <v>20</v>
      </c>
      <c r="J237" s="4">
        <v>6</v>
      </c>
      <c r="K237" s="4">
        <v>57.94</v>
      </c>
      <c r="L237" s="4">
        <v>2</v>
      </c>
      <c r="M237" s="4">
        <v>67.319999999999993</v>
      </c>
      <c r="N237" s="4">
        <v>101.1627</v>
      </c>
      <c r="O237" s="4">
        <v>186.28</v>
      </c>
      <c r="P237" s="4">
        <v>3.8764546470000001</v>
      </c>
      <c r="Q237" s="4">
        <v>61.96</v>
      </c>
      <c r="R237" t="str" cm="1">
        <f t="array" ref="R237">_xlfn.IFS(B237="NY","New York",B237="TX","Texas",B237="CA","California")</f>
        <v>New York</v>
      </c>
    </row>
    <row r="238" spans="1:18" x14ac:dyDescent="0.3">
      <c r="A238" t="s">
        <v>2</v>
      </c>
      <c r="B238" t="s">
        <v>7</v>
      </c>
      <c r="C238" s="2">
        <v>43441</v>
      </c>
      <c r="D238" s="11" t="s">
        <v>119</v>
      </c>
      <c r="E238" s="3">
        <f t="shared" ca="1" si="3"/>
        <v>505225536</v>
      </c>
      <c r="F238" t="s">
        <v>12</v>
      </c>
      <c r="G238" t="s">
        <v>15</v>
      </c>
      <c r="H238" s="1" t="s">
        <v>237</v>
      </c>
      <c r="I238" t="s">
        <v>17</v>
      </c>
      <c r="J238" s="4">
        <v>2</v>
      </c>
      <c r="K238" s="4">
        <v>40.4</v>
      </c>
      <c r="L238" s="4">
        <v>5</v>
      </c>
      <c r="M238" s="4">
        <v>80.78</v>
      </c>
      <c r="N238" s="4">
        <v>139.91480000000001</v>
      </c>
      <c r="O238" s="4">
        <v>87.05</v>
      </c>
      <c r="P238" s="4">
        <v>3.8764546470000001</v>
      </c>
      <c r="Q238" s="4">
        <v>22.63</v>
      </c>
      <c r="R238" t="str" cm="1">
        <f t="array" ref="R238">_xlfn.IFS(B238="NY","New York",B238="TX","Texas",B238="CA","California")</f>
        <v>Texas</v>
      </c>
    </row>
    <row r="239" spans="1:18" x14ac:dyDescent="0.3">
      <c r="A239" t="s">
        <v>2</v>
      </c>
      <c r="B239" t="s">
        <v>7</v>
      </c>
      <c r="C239" s="2">
        <v>43363</v>
      </c>
      <c r="D239" s="11" t="s">
        <v>179</v>
      </c>
      <c r="E239" s="3">
        <f t="shared" ca="1" si="3"/>
        <v>670877971</v>
      </c>
      <c r="F239" t="s">
        <v>11</v>
      </c>
      <c r="G239" t="s">
        <v>14</v>
      </c>
      <c r="H239" s="1" t="s">
        <v>237</v>
      </c>
      <c r="I239" t="s">
        <v>22</v>
      </c>
      <c r="J239" s="4">
        <v>2.1</v>
      </c>
      <c r="K239" s="4">
        <v>79.39</v>
      </c>
      <c r="L239" s="4">
        <v>5</v>
      </c>
      <c r="M239" s="4">
        <v>70.28</v>
      </c>
      <c r="N239" s="4">
        <v>153.6806</v>
      </c>
      <c r="O239" s="4">
        <v>221.1</v>
      </c>
      <c r="P239" s="4">
        <v>3.8764546470000001</v>
      </c>
      <c r="Q239" s="4">
        <v>57.87</v>
      </c>
      <c r="R239" t="str" cm="1">
        <f t="array" ref="R239">_xlfn.IFS(B239="NY","New York",B239="TX","Texas",B239="CA","California")</f>
        <v>Texas</v>
      </c>
    </row>
    <row r="240" spans="1:18" x14ac:dyDescent="0.3">
      <c r="A240" t="s">
        <v>3</v>
      </c>
      <c r="B240" t="s">
        <v>8</v>
      </c>
      <c r="C240" s="2">
        <v>43320</v>
      </c>
      <c r="D240" s="11" t="s">
        <v>55</v>
      </c>
      <c r="E240" s="3">
        <f t="shared" ca="1" si="3"/>
        <v>854765605</v>
      </c>
      <c r="F240" t="s">
        <v>11</v>
      </c>
      <c r="G240" t="s">
        <v>14</v>
      </c>
      <c r="H240" s="1" t="s">
        <v>236</v>
      </c>
      <c r="I240" t="s">
        <v>18</v>
      </c>
      <c r="J240" s="4">
        <v>4.2</v>
      </c>
      <c r="K240" s="4">
        <v>16.72</v>
      </c>
      <c r="L240" s="4">
        <v>5</v>
      </c>
      <c r="M240" s="4">
        <v>41.44</v>
      </c>
      <c r="N240" s="4">
        <v>175.3897</v>
      </c>
      <c r="O240" s="4">
        <v>66.099999999999994</v>
      </c>
      <c r="P240" s="4">
        <v>3.8764546470000001</v>
      </c>
      <c r="Q240" s="4">
        <v>23.79</v>
      </c>
      <c r="R240" t="str" cm="1">
        <f t="array" ref="R240">_xlfn.IFS(B240="NY","New York",B240="TX","Texas",B240="CA","California")</f>
        <v>California</v>
      </c>
    </row>
    <row r="241" spans="1:18" x14ac:dyDescent="0.3">
      <c r="A241" t="s">
        <v>1</v>
      </c>
      <c r="B241" t="s">
        <v>6</v>
      </c>
      <c r="C241" s="2">
        <v>43255</v>
      </c>
      <c r="D241" s="11" t="s">
        <v>173</v>
      </c>
      <c r="E241" s="3">
        <f t="shared" ca="1" si="3"/>
        <v>466490834</v>
      </c>
      <c r="F241" t="s">
        <v>12</v>
      </c>
      <c r="G241" t="s">
        <v>15</v>
      </c>
      <c r="H241" s="1" t="s">
        <v>235</v>
      </c>
      <c r="I241" t="s">
        <v>22</v>
      </c>
      <c r="J241" s="4">
        <v>7</v>
      </c>
      <c r="K241" s="4">
        <v>11.22</v>
      </c>
      <c r="L241" s="4">
        <v>1</v>
      </c>
      <c r="M241" s="4">
        <v>66.17</v>
      </c>
      <c r="N241" s="4">
        <v>175.14099999999999</v>
      </c>
      <c r="O241" s="4">
        <v>89.69</v>
      </c>
      <c r="P241" s="4">
        <v>3.8764546470000001</v>
      </c>
      <c r="Q241" s="4">
        <v>86.872</v>
      </c>
      <c r="R241" t="str" cm="1">
        <f t="array" ref="R241">_xlfn.IFS(B241="NY","New York",B241="TX","Texas",B241="CA","California")</f>
        <v>New York</v>
      </c>
    </row>
    <row r="242" spans="1:18" x14ac:dyDescent="0.3">
      <c r="A242" t="s">
        <v>1</v>
      </c>
      <c r="B242" t="s">
        <v>6</v>
      </c>
      <c r="C242" s="2">
        <v>43432</v>
      </c>
      <c r="D242" s="11" t="s">
        <v>147</v>
      </c>
      <c r="E242" s="3">
        <f t="shared" ca="1" si="3"/>
        <v>500008769</v>
      </c>
      <c r="F242" t="s">
        <v>12</v>
      </c>
      <c r="G242" t="s">
        <v>15</v>
      </c>
      <c r="H242" s="1" t="s">
        <v>237</v>
      </c>
      <c r="I242" t="s">
        <v>21</v>
      </c>
      <c r="J242" s="4">
        <v>3.7</v>
      </c>
      <c r="K242" s="4">
        <v>79.819999999999993</v>
      </c>
      <c r="L242" s="4">
        <v>9</v>
      </c>
      <c r="M242" s="4">
        <v>62.47</v>
      </c>
      <c r="N242" s="4">
        <v>173.82079999999999</v>
      </c>
      <c r="O242" s="4">
        <v>224.46</v>
      </c>
      <c r="P242" s="4">
        <v>3.8764546470000001</v>
      </c>
      <c r="Q242" s="4">
        <v>24.744</v>
      </c>
      <c r="R242" t="str" cm="1">
        <f t="array" ref="R242">_xlfn.IFS(B242="NY","New York",B242="TX","Texas",B242="CA","California")</f>
        <v>New York</v>
      </c>
    </row>
    <row r="243" spans="1:18" x14ac:dyDescent="0.3">
      <c r="A243" t="s">
        <v>1</v>
      </c>
      <c r="B243" t="s">
        <v>6</v>
      </c>
      <c r="C243" s="2">
        <v>43248</v>
      </c>
      <c r="D243" s="11" t="s">
        <v>119</v>
      </c>
      <c r="E243" s="3">
        <f t="shared" ca="1" si="3"/>
        <v>168246554</v>
      </c>
      <c r="F243" t="s">
        <v>12</v>
      </c>
      <c r="G243" t="s">
        <v>15</v>
      </c>
      <c r="H243" s="1" t="s">
        <v>237</v>
      </c>
      <c r="I243" t="s">
        <v>17</v>
      </c>
      <c r="J243" s="4">
        <v>9.1999999999999993</v>
      </c>
      <c r="K243" s="4">
        <v>25.97</v>
      </c>
      <c r="L243" s="4">
        <v>2</v>
      </c>
      <c r="M243" s="4">
        <v>53.19</v>
      </c>
      <c r="N243" s="4">
        <v>117.9255</v>
      </c>
      <c r="O243" s="4">
        <v>119.54</v>
      </c>
      <c r="P243" s="4">
        <v>3.8764546470000001</v>
      </c>
      <c r="Q243" s="4">
        <v>89.85</v>
      </c>
      <c r="R243" t="str" cm="1">
        <f t="array" ref="R243">_xlfn.IFS(B243="NY","New York",B243="TX","Texas",B243="CA","California")</f>
        <v>New York</v>
      </c>
    </row>
    <row r="244" spans="1:18" x14ac:dyDescent="0.3">
      <c r="A244" t="s">
        <v>2</v>
      </c>
      <c r="B244" t="s">
        <v>7</v>
      </c>
      <c r="C244" s="2">
        <v>43229</v>
      </c>
      <c r="D244" s="11" t="s">
        <v>73</v>
      </c>
      <c r="E244" s="3">
        <f t="shared" ca="1" si="3"/>
        <v>648228551</v>
      </c>
      <c r="F244" t="s">
        <v>12</v>
      </c>
      <c r="G244" t="s">
        <v>14</v>
      </c>
      <c r="H244" s="1" t="s">
        <v>237</v>
      </c>
      <c r="I244" t="s">
        <v>22</v>
      </c>
      <c r="J244" s="4">
        <v>8.9</v>
      </c>
      <c r="K244" s="4">
        <v>89.82</v>
      </c>
      <c r="L244" s="4">
        <v>2</v>
      </c>
      <c r="M244" s="4">
        <v>59.24</v>
      </c>
      <c r="N244" s="4">
        <v>155.46870000000001</v>
      </c>
      <c r="O244" s="4">
        <v>186.4</v>
      </c>
      <c r="P244" s="4">
        <v>3.8764546470000001</v>
      </c>
      <c r="Q244" s="4">
        <v>84.825999999999993</v>
      </c>
      <c r="R244" t="str" cm="1">
        <f t="array" ref="R244">_xlfn.IFS(B244="NY","New York",B244="TX","Texas",B244="CA","California")</f>
        <v>Texas</v>
      </c>
    </row>
    <row r="245" spans="1:18" x14ac:dyDescent="0.3">
      <c r="A245" t="s">
        <v>1</v>
      </c>
      <c r="B245" t="s">
        <v>6</v>
      </c>
      <c r="C245" s="2">
        <v>43048</v>
      </c>
      <c r="D245" s="11" t="s">
        <v>180</v>
      </c>
      <c r="E245" s="3">
        <f t="shared" ca="1" si="3"/>
        <v>250428761</v>
      </c>
      <c r="F245" t="s">
        <v>12</v>
      </c>
      <c r="G245" t="s">
        <v>14</v>
      </c>
      <c r="H245" s="1" t="s">
        <v>236</v>
      </c>
      <c r="I245" t="s">
        <v>19</v>
      </c>
      <c r="J245" s="4">
        <v>8</v>
      </c>
      <c r="K245" s="4">
        <v>43.83</v>
      </c>
      <c r="L245" s="4">
        <v>4</v>
      </c>
      <c r="M245" s="4">
        <v>35.270000000000003</v>
      </c>
      <c r="N245" s="4">
        <v>179.89930000000001</v>
      </c>
      <c r="O245" s="4">
        <v>250.6</v>
      </c>
      <c r="P245" s="4">
        <v>3.8764546470000001</v>
      </c>
      <c r="Q245" s="4">
        <v>39.771999999999998</v>
      </c>
      <c r="R245" t="str" cm="1">
        <f t="array" ref="R245">_xlfn.IFS(B245="NY","New York",B245="TX","Texas",B245="CA","California")</f>
        <v>New York</v>
      </c>
    </row>
    <row r="246" spans="1:18" x14ac:dyDescent="0.3">
      <c r="A246" t="s">
        <v>3</v>
      </c>
      <c r="B246" t="s">
        <v>8</v>
      </c>
      <c r="C246" s="2">
        <v>43215</v>
      </c>
      <c r="D246" s="11" t="s">
        <v>83</v>
      </c>
      <c r="E246" s="3">
        <f t="shared" ca="1" si="3"/>
        <v>193708592</v>
      </c>
      <c r="F246" t="s">
        <v>12</v>
      </c>
      <c r="G246" t="s">
        <v>15</v>
      </c>
      <c r="H246" s="1" t="s">
        <v>237</v>
      </c>
      <c r="I246" t="s">
        <v>19</v>
      </c>
      <c r="J246" s="4">
        <v>8.3000000000000007</v>
      </c>
      <c r="K246" s="4">
        <v>11.27</v>
      </c>
      <c r="L246" s="4">
        <v>8</v>
      </c>
      <c r="M246" s="4">
        <v>46.33</v>
      </c>
      <c r="N246" s="4">
        <v>168.67490000000001</v>
      </c>
      <c r="O246" s="4">
        <v>750.96</v>
      </c>
      <c r="P246" s="4">
        <v>3.8764546470000001</v>
      </c>
      <c r="Q246" s="4">
        <v>13.76</v>
      </c>
      <c r="R246" t="str" cm="1">
        <f t="array" ref="R246">_xlfn.IFS(B246="NY","New York",B246="TX","Texas",B246="CA","California")</f>
        <v>California</v>
      </c>
    </row>
    <row r="247" spans="1:18" x14ac:dyDescent="0.3">
      <c r="A247" t="s">
        <v>1</v>
      </c>
      <c r="B247" t="s">
        <v>6</v>
      </c>
      <c r="C247" s="2">
        <v>43306</v>
      </c>
      <c r="D247" s="11" t="s">
        <v>111</v>
      </c>
      <c r="E247" s="3">
        <f t="shared" ca="1" si="3"/>
        <v>355341152</v>
      </c>
      <c r="F247" t="s">
        <v>12</v>
      </c>
      <c r="G247" t="s">
        <v>14</v>
      </c>
      <c r="H247" s="1" t="s">
        <v>236</v>
      </c>
      <c r="I247" t="s">
        <v>19</v>
      </c>
      <c r="J247" s="4">
        <v>6.5</v>
      </c>
      <c r="K247" s="4">
        <v>12.01</v>
      </c>
      <c r="L247" s="4">
        <v>8</v>
      </c>
      <c r="M247" s="4">
        <v>16.18</v>
      </c>
      <c r="N247" s="4">
        <v>121.4525</v>
      </c>
      <c r="O247" s="4">
        <v>380.72</v>
      </c>
      <c r="P247" s="4">
        <v>3.8764546470000001</v>
      </c>
      <c r="Q247" s="4">
        <v>77.14</v>
      </c>
      <c r="R247" t="str" cm="1">
        <f t="array" ref="R247">_xlfn.IFS(B247="NY","New York",B247="TX","Texas",B247="CA","California")</f>
        <v>New York</v>
      </c>
    </row>
    <row r="248" spans="1:18" x14ac:dyDescent="0.3">
      <c r="A248" t="s">
        <v>3</v>
      </c>
      <c r="B248" t="s">
        <v>8</v>
      </c>
      <c r="C248" s="2">
        <v>43421</v>
      </c>
      <c r="D248" s="11" t="s">
        <v>153</v>
      </c>
      <c r="E248" s="3">
        <f t="shared" ca="1" si="3"/>
        <v>905536060</v>
      </c>
      <c r="F248" t="s">
        <v>11</v>
      </c>
      <c r="G248" t="s">
        <v>14</v>
      </c>
      <c r="H248" s="1" t="s">
        <v>236</v>
      </c>
      <c r="I248" t="s">
        <v>18</v>
      </c>
      <c r="J248" s="4">
        <v>7.1</v>
      </c>
      <c r="K248" s="4">
        <v>19.329999999999998</v>
      </c>
      <c r="L248" s="4">
        <v>3</v>
      </c>
      <c r="M248" s="4">
        <v>85.98</v>
      </c>
      <c r="N248" s="4">
        <v>180.1867</v>
      </c>
      <c r="O248" s="4">
        <v>244.2</v>
      </c>
      <c r="P248" s="4">
        <v>3.8764546470000001</v>
      </c>
      <c r="Q248" s="4">
        <v>96.915999999999997</v>
      </c>
      <c r="R248" t="str" cm="1">
        <f t="array" ref="R248">_xlfn.IFS(B248="NY","New York",B248="TX","Texas",B248="CA","California")</f>
        <v>California</v>
      </c>
    </row>
    <row r="249" spans="1:18" x14ac:dyDescent="0.3">
      <c r="A249" t="s">
        <v>1</v>
      </c>
      <c r="B249" t="s">
        <v>6</v>
      </c>
      <c r="C249" s="2">
        <v>43036</v>
      </c>
      <c r="D249" s="11" t="s">
        <v>181</v>
      </c>
      <c r="E249" s="3">
        <f t="shared" ca="1" si="3"/>
        <v>196279188</v>
      </c>
      <c r="F249" t="s">
        <v>12</v>
      </c>
      <c r="G249" t="s">
        <v>14</v>
      </c>
      <c r="H249" s="1" t="s">
        <v>235</v>
      </c>
      <c r="I249" t="s">
        <v>22</v>
      </c>
      <c r="J249" s="4">
        <v>4</v>
      </c>
      <c r="K249" s="4">
        <v>80.040000000000006</v>
      </c>
      <c r="L249" s="4">
        <v>5</v>
      </c>
      <c r="M249" s="4">
        <v>69.72</v>
      </c>
      <c r="N249" s="4">
        <v>119.2206</v>
      </c>
      <c r="O249" s="4">
        <v>89.7</v>
      </c>
      <c r="P249" s="4">
        <v>3.8764546470000001</v>
      </c>
      <c r="Q249" s="4">
        <v>31.91</v>
      </c>
      <c r="R249" t="str" cm="1">
        <f t="array" ref="R249">_xlfn.IFS(B249="NY","New York",B249="TX","Texas",B249="CA","California")</f>
        <v>New York</v>
      </c>
    </row>
    <row r="250" spans="1:18" x14ac:dyDescent="0.3">
      <c r="A250" t="s">
        <v>1</v>
      </c>
      <c r="B250" t="s">
        <v>6</v>
      </c>
      <c r="C250" s="2">
        <v>43020</v>
      </c>
      <c r="D250" s="11" t="s">
        <v>182</v>
      </c>
      <c r="E250" s="3">
        <f t="shared" ca="1" si="3"/>
        <v>634361317</v>
      </c>
      <c r="F250" t="s">
        <v>12</v>
      </c>
      <c r="G250" t="s">
        <v>14</v>
      </c>
      <c r="H250" s="1" t="s">
        <v>237</v>
      </c>
      <c r="I250" t="s">
        <v>18</v>
      </c>
      <c r="J250" s="4">
        <v>8</v>
      </c>
      <c r="K250" s="4">
        <v>48.18</v>
      </c>
      <c r="L250" s="4">
        <v>4</v>
      </c>
      <c r="M250" s="4">
        <v>44.45</v>
      </c>
      <c r="N250" s="4">
        <v>106.31189999999999</v>
      </c>
      <c r="O250" s="4">
        <v>310.88</v>
      </c>
      <c r="P250" s="4">
        <v>3.8764546470000001</v>
      </c>
      <c r="Q250" s="4">
        <v>18.03</v>
      </c>
      <c r="R250" t="str" cm="1">
        <f t="array" ref="R250">_xlfn.IFS(B250="NY","New York",B250="TX","Texas",B250="CA","California")</f>
        <v>New York</v>
      </c>
    </row>
    <row r="251" spans="1:18" x14ac:dyDescent="0.3">
      <c r="A251" t="s">
        <v>3</v>
      </c>
      <c r="B251" t="s">
        <v>8</v>
      </c>
      <c r="C251" s="2">
        <v>42889</v>
      </c>
      <c r="D251" s="11" t="s">
        <v>183</v>
      </c>
      <c r="E251" s="3">
        <f t="shared" ca="1" si="3"/>
        <v>786589247</v>
      </c>
      <c r="F251" t="s">
        <v>12</v>
      </c>
      <c r="G251" t="s">
        <v>15</v>
      </c>
      <c r="H251" s="1" t="s">
        <v>237</v>
      </c>
      <c r="I251" t="s">
        <v>21</v>
      </c>
      <c r="J251" s="4">
        <v>7</v>
      </c>
      <c r="K251" s="4">
        <v>90.08</v>
      </c>
      <c r="L251" s="4">
        <v>7</v>
      </c>
      <c r="M251" s="4">
        <v>12.49</v>
      </c>
      <c r="N251" s="4">
        <v>117.00360000000001</v>
      </c>
      <c r="O251" s="4">
        <v>511.42</v>
      </c>
      <c r="P251" s="4">
        <v>3.8764546470000001</v>
      </c>
      <c r="Q251" s="4">
        <v>90.04</v>
      </c>
      <c r="R251" t="str" cm="1">
        <f t="array" ref="R251">_xlfn.IFS(B251="NY","New York",B251="TX","Texas",B251="CA","California")</f>
        <v>California</v>
      </c>
    </row>
    <row r="252" spans="1:18" x14ac:dyDescent="0.3">
      <c r="A252" t="s">
        <v>3</v>
      </c>
      <c r="B252" t="s">
        <v>8</v>
      </c>
      <c r="C252" s="2">
        <v>43240</v>
      </c>
      <c r="D252" s="11" t="s">
        <v>43</v>
      </c>
      <c r="E252" s="3">
        <f t="shared" ca="1" si="3"/>
        <v>711490511</v>
      </c>
      <c r="F252" t="s">
        <v>12</v>
      </c>
      <c r="G252" t="s">
        <v>14</v>
      </c>
      <c r="H252" s="1" t="s">
        <v>235</v>
      </c>
      <c r="I252" t="s">
        <v>21</v>
      </c>
      <c r="J252" s="4">
        <v>5.3</v>
      </c>
      <c r="K252" s="4">
        <v>36.049999999999997</v>
      </c>
      <c r="L252" s="4">
        <v>9</v>
      </c>
      <c r="M252" s="4">
        <v>47.69</v>
      </c>
      <c r="N252" s="4">
        <v>182.44489999999999</v>
      </c>
      <c r="O252" s="4">
        <v>418.95</v>
      </c>
      <c r="P252" s="4">
        <v>3.8764546470000001</v>
      </c>
      <c r="Q252" s="4">
        <v>13.15</v>
      </c>
      <c r="R252" t="str" cm="1">
        <f t="array" ref="R252">_xlfn.IFS(B252="NY","New York",B252="TX","Texas",B252="CA","California")</f>
        <v>California</v>
      </c>
    </row>
    <row r="253" spans="1:18" x14ac:dyDescent="0.3">
      <c r="A253" t="s">
        <v>2</v>
      </c>
      <c r="B253" t="s">
        <v>7</v>
      </c>
      <c r="C253" s="2">
        <v>42834</v>
      </c>
      <c r="D253" s="11" t="s">
        <v>158</v>
      </c>
      <c r="E253" s="3">
        <f t="shared" ca="1" si="3"/>
        <v>382896904</v>
      </c>
      <c r="F253" t="s">
        <v>12</v>
      </c>
      <c r="G253" t="s">
        <v>14</v>
      </c>
      <c r="H253" s="1" t="s">
        <v>237</v>
      </c>
      <c r="I253" t="s">
        <v>22</v>
      </c>
      <c r="J253" s="4">
        <v>3.3</v>
      </c>
      <c r="K253" s="4">
        <v>94.73</v>
      </c>
      <c r="L253" s="4">
        <v>10</v>
      </c>
      <c r="M253" s="4">
        <v>65.040000000000006</v>
      </c>
      <c r="N253" s="4">
        <v>130.09870000000001</v>
      </c>
      <c r="O253" s="4">
        <v>351.9</v>
      </c>
      <c r="P253" s="4">
        <v>3.8764546470000001</v>
      </c>
      <c r="Q253" s="4">
        <v>90.35</v>
      </c>
      <c r="R253" t="str" cm="1">
        <f t="array" ref="R253">_xlfn.IFS(B253="NY","New York",B253="TX","Texas",B253="CA","California")</f>
        <v>Texas</v>
      </c>
    </row>
    <row r="254" spans="1:18" x14ac:dyDescent="0.3">
      <c r="A254" t="s">
        <v>2</v>
      </c>
      <c r="B254" t="s">
        <v>7</v>
      </c>
      <c r="C254" s="2">
        <v>43180</v>
      </c>
      <c r="D254" s="11" t="s">
        <v>184</v>
      </c>
      <c r="E254" s="3">
        <f t="shared" ca="1" si="3"/>
        <v>21895455</v>
      </c>
      <c r="F254" t="s">
        <v>11</v>
      </c>
      <c r="G254" t="s">
        <v>15</v>
      </c>
      <c r="H254" s="1" t="s">
        <v>237</v>
      </c>
      <c r="I254" t="s">
        <v>20</v>
      </c>
      <c r="J254" s="4">
        <v>2.1</v>
      </c>
      <c r="K254" s="4">
        <v>11.88</v>
      </c>
      <c r="L254" s="4">
        <v>2</v>
      </c>
      <c r="M254" s="4">
        <v>73.08</v>
      </c>
      <c r="N254" s="4">
        <v>163.1748</v>
      </c>
      <c r="O254" s="4">
        <v>28.78</v>
      </c>
      <c r="P254" s="4">
        <v>3.8764546470000001</v>
      </c>
      <c r="Q254" s="4">
        <v>42.54</v>
      </c>
      <c r="R254" t="str" cm="1">
        <f t="array" ref="R254">_xlfn.IFS(B254="NY","New York",B254="TX","Texas",B254="CA","California")</f>
        <v>Texas</v>
      </c>
    </row>
    <row r="255" spans="1:18" x14ac:dyDescent="0.3">
      <c r="A255" t="s">
        <v>1</v>
      </c>
      <c r="B255" t="s">
        <v>6</v>
      </c>
      <c r="C255" s="2">
        <v>43016</v>
      </c>
      <c r="D255" s="11" t="s">
        <v>128</v>
      </c>
      <c r="E255" s="3">
        <f t="shared" ca="1" si="3"/>
        <v>251848639</v>
      </c>
      <c r="F255" t="s">
        <v>12</v>
      </c>
      <c r="G255" t="s">
        <v>15</v>
      </c>
      <c r="H255" s="1" t="s">
        <v>236</v>
      </c>
      <c r="I255" t="s">
        <v>19</v>
      </c>
      <c r="J255" s="4">
        <v>3</v>
      </c>
      <c r="K255" s="4">
        <v>25.37</v>
      </c>
      <c r="L255" s="4">
        <v>4</v>
      </c>
      <c r="M255" s="4">
        <v>39.97</v>
      </c>
      <c r="N255" s="4">
        <v>126.4165</v>
      </c>
      <c r="O255" s="4">
        <v>95</v>
      </c>
      <c r="P255" s="4">
        <v>3.8764546470000001</v>
      </c>
      <c r="Q255" s="4">
        <v>69.459999999999994</v>
      </c>
      <c r="R255" t="str" cm="1">
        <f t="array" ref="R255">_xlfn.IFS(B255="NY","New York",B255="TX","Texas",B255="CA","California")</f>
        <v>New York</v>
      </c>
    </row>
    <row r="256" spans="1:18" x14ac:dyDescent="0.3">
      <c r="A256" t="s">
        <v>1</v>
      </c>
      <c r="B256" t="s">
        <v>6</v>
      </c>
      <c r="C256" s="2">
        <v>42863</v>
      </c>
      <c r="D256" s="11" t="s">
        <v>185</v>
      </c>
      <c r="E256" s="3">
        <f t="shared" ca="1" si="3"/>
        <v>383167649</v>
      </c>
      <c r="F256" t="s">
        <v>12</v>
      </c>
      <c r="G256" t="s">
        <v>14</v>
      </c>
      <c r="H256" s="1" t="s">
        <v>236</v>
      </c>
      <c r="I256" t="s">
        <v>19</v>
      </c>
      <c r="J256" s="4">
        <v>6.6</v>
      </c>
      <c r="K256" s="4">
        <v>36.24</v>
      </c>
      <c r="L256" s="4">
        <v>8</v>
      </c>
      <c r="M256" s="4">
        <v>93.15</v>
      </c>
      <c r="N256" s="4">
        <v>128.0438</v>
      </c>
      <c r="O256" s="4">
        <v>471.2</v>
      </c>
      <c r="P256" s="4">
        <v>3.8764546470000001</v>
      </c>
      <c r="Q256" s="4">
        <v>98.7</v>
      </c>
      <c r="R256" t="str" cm="1">
        <f t="array" ref="R256">_xlfn.IFS(B256="NY","New York",B256="TX","Texas",B256="CA","California")</f>
        <v>New York</v>
      </c>
    </row>
    <row r="257" spans="1:18" x14ac:dyDescent="0.3">
      <c r="A257" t="s">
        <v>3</v>
      </c>
      <c r="B257" t="s">
        <v>8</v>
      </c>
      <c r="C257" s="2">
        <v>43210</v>
      </c>
      <c r="D257" s="11" t="s">
        <v>87</v>
      </c>
      <c r="E257" s="3">
        <f t="shared" ca="1" si="3"/>
        <v>14120534</v>
      </c>
      <c r="F257" t="s">
        <v>12</v>
      </c>
      <c r="G257" t="s">
        <v>14</v>
      </c>
      <c r="H257" s="1" t="s">
        <v>236</v>
      </c>
      <c r="I257" t="s">
        <v>22</v>
      </c>
      <c r="J257" s="4">
        <v>8.1</v>
      </c>
      <c r="K257" s="4">
        <v>90.94</v>
      </c>
      <c r="L257" s="4">
        <v>4</v>
      </c>
      <c r="M257" s="4">
        <v>29.26</v>
      </c>
      <c r="N257" s="4">
        <v>174.55269999999999</v>
      </c>
      <c r="O257" s="4">
        <v>130.47999999999999</v>
      </c>
      <c r="P257" s="4">
        <v>3.8764546470000001</v>
      </c>
      <c r="Q257" s="4">
        <v>11.06</v>
      </c>
      <c r="R257" t="str" cm="1">
        <f t="array" ref="R257">_xlfn.IFS(B257="NY","New York",B257="TX","Texas",B257="CA","California")</f>
        <v>California</v>
      </c>
    </row>
    <row r="258" spans="1:18" x14ac:dyDescent="0.3">
      <c r="A258" t="s">
        <v>1</v>
      </c>
      <c r="B258" t="s">
        <v>6</v>
      </c>
      <c r="C258" s="2">
        <v>43372</v>
      </c>
      <c r="D258" s="11" t="s">
        <v>144</v>
      </c>
      <c r="E258" s="3">
        <f t="shared" ca="1" si="3"/>
        <v>715975865</v>
      </c>
      <c r="F258" t="s">
        <v>12</v>
      </c>
      <c r="G258" t="s">
        <v>14</v>
      </c>
      <c r="H258" s="1" t="s">
        <v>237</v>
      </c>
      <c r="I258" t="s">
        <v>18</v>
      </c>
      <c r="J258" s="4">
        <v>6</v>
      </c>
      <c r="K258" s="4">
        <v>30.82</v>
      </c>
      <c r="L258" s="4">
        <v>1</v>
      </c>
      <c r="M258" s="4">
        <v>39.79</v>
      </c>
      <c r="N258" s="4">
        <v>183.61750000000001</v>
      </c>
      <c r="O258" s="4">
        <v>66.349999999999994</v>
      </c>
      <c r="P258" s="4">
        <v>3.8764546470000001</v>
      </c>
      <c r="Q258" s="4">
        <v>74.113</v>
      </c>
      <c r="R258" t="str" cm="1">
        <f t="array" ref="R258">_xlfn.IFS(B258="NY","New York",B258="TX","Texas",B258="CA","California")</f>
        <v>New York</v>
      </c>
    </row>
    <row r="259" spans="1:18" x14ac:dyDescent="0.3">
      <c r="A259" t="s">
        <v>1</v>
      </c>
      <c r="B259" t="s">
        <v>6</v>
      </c>
      <c r="C259" s="2">
        <v>43359</v>
      </c>
      <c r="D259" s="11" t="s">
        <v>29</v>
      </c>
      <c r="E259" s="3">
        <f t="shared" ref="E259:E322" ca="1" si="4">RANDBETWEEN(10000000,1000000000)</f>
        <v>638648352</v>
      </c>
      <c r="F259" t="s">
        <v>12</v>
      </c>
      <c r="G259" t="s">
        <v>14</v>
      </c>
      <c r="H259" s="1" t="s">
        <v>235</v>
      </c>
      <c r="I259" t="s">
        <v>19</v>
      </c>
      <c r="J259" s="4">
        <v>2.6</v>
      </c>
      <c r="K259" s="4">
        <v>67.540000000000006</v>
      </c>
      <c r="L259" s="4">
        <v>6</v>
      </c>
      <c r="M259" s="4">
        <v>63.45</v>
      </c>
      <c r="N259" s="4">
        <v>106.3156</v>
      </c>
      <c r="O259" s="4">
        <v>155.46</v>
      </c>
      <c r="P259" s="4">
        <v>3.8764546470000001</v>
      </c>
      <c r="Q259" s="4">
        <v>41.027999999999999</v>
      </c>
      <c r="R259" t="str" cm="1">
        <f t="array" ref="R259">_xlfn.IFS(B259="NY","New York",B259="TX","Texas",B259="CA","California")</f>
        <v>New York</v>
      </c>
    </row>
    <row r="260" spans="1:18" x14ac:dyDescent="0.3">
      <c r="A260" t="s">
        <v>1</v>
      </c>
      <c r="B260" t="s">
        <v>6</v>
      </c>
      <c r="C260" s="2">
        <v>43205</v>
      </c>
      <c r="D260" s="11" t="s">
        <v>168</v>
      </c>
      <c r="E260" s="3">
        <f t="shared" ca="1" si="4"/>
        <v>779724790</v>
      </c>
      <c r="F260" t="s">
        <v>12</v>
      </c>
      <c r="G260" t="s">
        <v>14</v>
      </c>
      <c r="H260" s="1" t="s">
        <v>235</v>
      </c>
      <c r="I260" t="s">
        <v>18</v>
      </c>
      <c r="J260" s="4">
        <v>3.4</v>
      </c>
      <c r="K260" s="4">
        <v>13.28</v>
      </c>
      <c r="L260" s="4">
        <v>4</v>
      </c>
      <c r="M260" s="4">
        <v>18.82</v>
      </c>
      <c r="N260" s="4">
        <v>100.08450000000001</v>
      </c>
      <c r="O260" s="4">
        <v>129</v>
      </c>
      <c r="P260" s="4">
        <v>3.8764546470000001</v>
      </c>
      <c r="Q260" s="4">
        <v>55.558</v>
      </c>
      <c r="R260" t="str" cm="1">
        <f t="array" ref="R260">_xlfn.IFS(B260="NY","New York",B260="TX","Texas",B260="CA","California")</f>
        <v>New York</v>
      </c>
    </row>
    <row r="261" spans="1:18" x14ac:dyDescent="0.3">
      <c r="A261" t="s">
        <v>2</v>
      </c>
      <c r="B261" t="s">
        <v>7</v>
      </c>
      <c r="C261" s="2">
        <v>43152</v>
      </c>
      <c r="D261" s="11" t="s">
        <v>164</v>
      </c>
      <c r="E261" s="3">
        <f t="shared" ca="1" si="4"/>
        <v>860262948</v>
      </c>
      <c r="F261" t="s">
        <v>12</v>
      </c>
      <c r="G261" t="s">
        <v>14</v>
      </c>
      <c r="H261" s="1" t="s">
        <v>237</v>
      </c>
      <c r="I261" t="s">
        <v>18</v>
      </c>
      <c r="J261" s="4">
        <v>1.1000000000000001</v>
      </c>
      <c r="K261" s="4">
        <v>13.25</v>
      </c>
      <c r="L261" s="4">
        <v>4</v>
      </c>
      <c r="M261" s="4">
        <v>80.349999999999994</v>
      </c>
      <c r="N261" s="4">
        <v>119.0866</v>
      </c>
      <c r="O261" s="4">
        <v>263.76</v>
      </c>
      <c r="P261" s="4">
        <v>3.8764546470000001</v>
      </c>
      <c r="Q261" s="4">
        <v>90.09</v>
      </c>
      <c r="R261" t="str" cm="1">
        <f t="array" ref="R261">_xlfn.IFS(B261="NY","New York",B261="TX","Texas",B261="CA","California")</f>
        <v>Texas</v>
      </c>
    </row>
    <row r="262" spans="1:18" x14ac:dyDescent="0.3">
      <c r="A262" t="s">
        <v>1</v>
      </c>
      <c r="B262" t="s">
        <v>6</v>
      </c>
      <c r="C262" s="2">
        <v>42915</v>
      </c>
      <c r="D262" s="11" t="s">
        <v>143</v>
      </c>
      <c r="E262" s="3">
        <f t="shared" ca="1" si="4"/>
        <v>288410114</v>
      </c>
      <c r="F262" t="s">
        <v>11</v>
      </c>
      <c r="G262" t="s">
        <v>15</v>
      </c>
      <c r="H262" s="1" t="s">
        <v>235</v>
      </c>
      <c r="I262" t="s">
        <v>18</v>
      </c>
      <c r="J262" s="4">
        <v>1.6</v>
      </c>
      <c r="K262" s="4">
        <v>18.670000000000002</v>
      </c>
      <c r="L262" s="4">
        <v>9</v>
      </c>
      <c r="M262" s="4">
        <v>90.01</v>
      </c>
      <c r="N262" s="4">
        <v>108.4181</v>
      </c>
      <c r="O262" s="4">
        <v>675.54</v>
      </c>
      <c r="P262" s="4">
        <v>3.8764546470000001</v>
      </c>
      <c r="Q262" s="4">
        <v>26.186</v>
      </c>
      <c r="R262" t="str" cm="1">
        <f t="array" ref="R262">_xlfn.IFS(B262="NY","New York",B262="TX","Texas",B262="CA","California")</f>
        <v>New York</v>
      </c>
    </row>
    <row r="263" spans="1:18" x14ac:dyDescent="0.3">
      <c r="A263" t="s">
        <v>2</v>
      </c>
      <c r="B263" t="s">
        <v>7</v>
      </c>
      <c r="C263" s="2">
        <v>43050</v>
      </c>
      <c r="D263" s="11" t="s">
        <v>150</v>
      </c>
      <c r="E263" s="3">
        <f t="shared" ca="1" si="4"/>
        <v>519829582</v>
      </c>
      <c r="F263" t="s">
        <v>11</v>
      </c>
      <c r="G263" t="s">
        <v>15</v>
      </c>
      <c r="H263" s="1" t="s">
        <v>235</v>
      </c>
      <c r="I263" t="s">
        <v>22</v>
      </c>
      <c r="J263" s="4">
        <v>9.1999999999999993</v>
      </c>
      <c r="K263" s="4">
        <v>87.14</v>
      </c>
      <c r="L263" s="4">
        <v>4</v>
      </c>
      <c r="M263" s="4">
        <v>82.01</v>
      </c>
      <c r="N263" s="4">
        <v>173.34119999999999</v>
      </c>
      <c r="O263" s="4">
        <v>65.8</v>
      </c>
      <c r="P263" s="4">
        <v>3.8764546470000001</v>
      </c>
      <c r="Q263" s="4">
        <v>90.393000000000001</v>
      </c>
      <c r="R263" t="str" cm="1">
        <f t="array" ref="R263">_xlfn.IFS(B263="NY","New York",B263="TX","Texas",B263="CA","California")</f>
        <v>Texas</v>
      </c>
    </row>
    <row r="264" spans="1:18" x14ac:dyDescent="0.3">
      <c r="A264" t="s">
        <v>3</v>
      </c>
      <c r="B264" t="s">
        <v>8</v>
      </c>
      <c r="C264" s="2">
        <v>43194</v>
      </c>
      <c r="D264" s="11" t="s">
        <v>171</v>
      </c>
      <c r="E264" s="3">
        <f t="shared" ca="1" si="4"/>
        <v>459408868</v>
      </c>
      <c r="F264" t="s">
        <v>11</v>
      </c>
      <c r="G264" t="s">
        <v>14</v>
      </c>
      <c r="H264" s="1" t="s">
        <v>236</v>
      </c>
      <c r="I264" t="s">
        <v>22</v>
      </c>
      <c r="J264" s="4">
        <v>2</v>
      </c>
      <c r="K264" s="4">
        <v>16.96</v>
      </c>
      <c r="L264" s="4">
        <v>4</v>
      </c>
      <c r="M264" s="4">
        <v>15.15</v>
      </c>
      <c r="N264" s="4">
        <v>189.1438</v>
      </c>
      <c r="O264" s="4">
        <v>153.19999999999999</v>
      </c>
      <c r="P264" s="4">
        <v>3.8764546470000001</v>
      </c>
      <c r="Q264" s="4">
        <v>44.997999999999998</v>
      </c>
      <c r="R264" t="str" cm="1">
        <f t="array" ref="R264">_xlfn.IFS(B264="NY","New York",B264="TX","Texas",B264="CA","California")</f>
        <v>California</v>
      </c>
    </row>
    <row r="265" spans="1:18" x14ac:dyDescent="0.3">
      <c r="A265" t="s">
        <v>1</v>
      </c>
      <c r="B265" t="s">
        <v>6</v>
      </c>
      <c r="C265" s="2">
        <v>43291</v>
      </c>
      <c r="D265" s="11" t="s">
        <v>74</v>
      </c>
      <c r="E265" s="3">
        <f t="shared" ca="1" si="4"/>
        <v>832094998</v>
      </c>
      <c r="F265" t="s">
        <v>11</v>
      </c>
      <c r="G265" t="s">
        <v>14</v>
      </c>
      <c r="H265" s="1" t="s">
        <v>236</v>
      </c>
      <c r="I265" t="s">
        <v>20</v>
      </c>
      <c r="J265" s="4">
        <v>7.2</v>
      </c>
      <c r="K265" s="4">
        <v>89.58</v>
      </c>
      <c r="L265" s="4">
        <v>10</v>
      </c>
      <c r="M265" s="4">
        <v>93.86</v>
      </c>
      <c r="N265" s="4">
        <v>124.26600000000001</v>
      </c>
      <c r="O265" s="4">
        <v>222.4</v>
      </c>
      <c r="P265" s="4">
        <v>3.8764546470000001</v>
      </c>
      <c r="Q265" s="4">
        <v>86.58</v>
      </c>
      <c r="R265" t="str" cm="1">
        <f t="array" ref="R265">_xlfn.IFS(B265="NY","New York",B265="TX","Texas",B265="CA","California")</f>
        <v>New York</v>
      </c>
    </row>
    <row r="266" spans="1:18" x14ac:dyDescent="0.3">
      <c r="A266" t="s">
        <v>3</v>
      </c>
      <c r="B266" t="s">
        <v>8</v>
      </c>
      <c r="C266" s="2">
        <v>43130</v>
      </c>
      <c r="D266" s="11" t="s">
        <v>101</v>
      </c>
      <c r="E266" s="3">
        <f t="shared" ca="1" si="4"/>
        <v>346487423</v>
      </c>
      <c r="F266" t="s">
        <v>12</v>
      </c>
      <c r="G266" t="s">
        <v>15</v>
      </c>
      <c r="H266" s="1" t="s">
        <v>235</v>
      </c>
      <c r="I266" t="s">
        <v>20</v>
      </c>
      <c r="J266" s="4">
        <v>4.5</v>
      </c>
      <c r="K266" s="4">
        <v>29.4</v>
      </c>
      <c r="L266" s="4">
        <v>1</v>
      </c>
      <c r="M266" s="4">
        <v>79.010000000000005</v>
      </c>
      <c r="N266" s="4">
        <v>128.56899999999999</v>
      </c>
      <c r="O266" s="4">
        <v>54.45</v>
      </c>
      <c r="P266" s="4">
        <v>3.8764546470000001</v>
      </c>
      <c r="Q266" s="4">
        <v>60.85</v>
      </c>
      <c r="R266" t="str" cm="1">
        <f t="array" ref="R266">_xlfn.IFS(B266="NY","New York",B266="TX","Texas",B266="CA","California")</f>
        <v>California</v>
      </c>
    </row>
    <row r="267" spans="1:18" x14ac:dyDescent="0.3">
      <c r="A267" t="s">
        <v>1</v>
      </c>
      <c r="B267" t="s">
        <v>6</v>
      </c>
      <c r="C267" s="2">
        <v>43354</v>
      </c>
      <c r="D267" s="11" t="s">
        <v>186</v>
      </c>
      <c r="E267" s="3">
        <f t="shared" ca="1" si="4"/>
        <v>56202978</v>
      </c>
      <c r="F267" t="s">
        <v>11</v>
      </c>
      <c r="G267" t="s">
        <v>14</v>
      </c>
      <c r="H267" s="1" t="s">
        <v>237</v>
      </c>
      <c r="I267" t="s">
        <v>20</v>
      </c>
      <c r="J267" s="4">
        <v>10</v>
      </c>
      <c r="K267" s="4">
        <v>83.86</v>
      </c>
      <c r="L267" s="4">
        <v>7</v>
      </c>
      <c r="M267" s="4">
        <v>45.32</v>
      </c>
      <c r="N267" s="4">
        <v>125.42270000000001</v>
      </c>
      <c r="O267" s="4">
        <v>688.8</v>
      </c>
      <c r="P267" s="4">
        <v>3.8764546470000001</v>
      </c>
      <c r="Q267" s="4">
        <v>39.57</v>
      </c>
      <c r="R267" t="str" cm="1">
        <f t="array" ref="R267">_xlfn.IFS(B267="NY","New York",B267="TX","Texas",B267="CA","California")</f>
        <v>New York</v>
      </c>
    </row>
    <row r="268" spans="1:18" x14ac:dyDescent="0.3">
      <c r="A268" t="s">
        <v>2</v>
      </c>
      <c r="B268" t="s">
        <v>7</v>
      </c>
      <c r="C268" s="2">
        <v>43105</v>
      </c>
      <c r="D268" s="11" t="s">
        <v>183</v>
      </c>
      <c r="E268" s="3">
        <f t="shared" ca="1" si="4"/>
        <v>998571039</v>
      </c>
      <c r="F268" t="s">
        <v>12</v>
      </c>
      <c r="G268" t="s">
        <v>15</v>
      </c>
      <c r="H268" s="1" t="s">
        <v>237</v>
      </c>
      <c r="I268" t="s">
        <v>19</v>
      </c>
      <c r="J268" s="4">
        <v>8.6999999999999993</v>
      </c>
      <c r="K268" s="4">
        <v>83.34</v>
      </c>
      <c r="L268" s="4">
        <v>4</v>
      </c>
      <c r="M268" s="4">
        <v>67.19</v>
      </c>
      <c r="N268" s="4">
        <v>145.26130000000001</v>
      </c>
      <c r="O268" s="4">
        <v>141.88</v>
      </c>
      <c r="P268" s="4">
        <v>3.8764546470000001</v>
      </c>
      <c r="Q268" s="4">
        <v>85.18</v>
      </c>
      <c r="R268" t="str" cm="1">
        <f t="array" ref="R268">_xlfn.IFS(B268="NY","New York",B268="TX","Texas",B268="CA","California")</f>
        <v>Texas</v>
      </c>
    </row>
    <row r="269" spans="1:18" x14ac:dyDescent="0.3">
      <c r="A269" t="s">
        <v>3</v>
      </c>
      <c r="B269" t="s">
        <v>8</v>
      </c>
      <c r="C269" s="2">
        <v>43403</v>
      </c>
      <c r="D269" s="11" t="s">
        <v>47</v>
      </c>
      <c r="E269" s="3">
        <f t="shared" ca="1" si="4"/>
        <v>54925721</v>
      </c>
      <c r="F269" t="s">
        <v>11</v>
      </c>
      <c r="G269" t="s">
        <v>14</v>
      </c>
      <c r="H269" s="1" t="s">
        <v>236</v>
      </c>
      <c r="I269" t="s">
        <v>21</v>
      </c>
      <c r="J269" s="4">
        <v>5.7</v>
      </c>
      <c r="K269" s="4">
        <v>71.23</v>
      </c>
      <c r="L269" s="4">
        <v>10</v>
      </c>
      <c r="M269" s="4">
        <v>52.2</v>
      </c>
      <c r="N269" s="4">
        <v>174.26609999999999</v>
      </c>
      <c r="O269" s="4">
        <v>746</v>
      </c>
      <c r="P269" s="4">
        <v>3.8764546470000001</v>
      </c>
      <c r="Q269" s="4">
        <v>85.85</v>
      </c>
      <c r="R269" t="str" cm="1">
        <f t="array" ref="R269">_xlfn.IFS(B269="NY","New York",B269="TX","Texas",B269="CA","California")</f>
        <v>California</v>
      </c>
    </row>
    <row r="270" spans="1:18" x14ac:dyDescent="0.3">
      <c r="A270" t="s">
        <v>1</v>
      </c>
      <c r="B270" t="s">
        <v>6</v>
      </c>
      <c r="C270" s="2">
        <v>43422</v>
      </c>
      <c r="D270" s="11" t="s">
        <v>171</v>
      </c>
      <c r="E270" s="3">
        <f t="shared" ca="1" si="4"/>
        <v>681336366</v>
      </c>
      <c r="F270" t="s">
        <v>12</v>
      </c>
      <c r="G270" t="s">
        <v>14</v>
      </c>
      <c r="H270" s="1" t="s">
        <v>237</v>
      </c>
      <c r="I270" t="s">
        <v>19</v>
      </c>
      <c r="J270" s="4">
        <v>9.5</v>
      </c>
      <c r="K270" s="4">
        <v>43.99</v>
      </c>
      <c r="L270" s="4">
        <v>4</v>
      </c>
      <c r="M270" s="4">
        <v>54.8</v>
      </c>
      <c r="N270" s="4">
        <v>125.8635</v>
      </c>
      <c r="O270" s="4">
        <v>282.95999999999998</v>
      </c>
      <c r="P270" s="4">
        <v>3.8764546470000001</v>
      </c>
      <c r="Q270" s="4">
        <v>73.209999999999994</v>
      </c>
      <c r="R270" t="str" cm="1">
        <f t="array" ref="R270">_xlfn.IFS(B270="NY","New York",B270="TX","Texas",B270="CA","California")</f>
        <v>New York</v>
      </c>
    </row>
    <row r="271" spans="1:18" x14ac:dyDescent="0.3">
      <c r="A271" t="s">
        <v>1</v>
      </c>
      <c r="B271" t="s">
        <v>6</v>
      </c>
      <c r="C271" s="2">
        <v>43228</v>
      </c>
      <c r="D271" s="11" t="s">
        <v>128</v>
      </c>
      <c r="E271" s="3">
        <f t="shared" ca="1" si="4"/>
        <v>93466152</v>
      </c>
      <c r="F271" t="s">
        <v>11</v>
      </c>
      <c r="G271" t="s">
        <v>14</v>
      </c>
      <c r="H271" s="1" t="s">
        <v>235</v>
      </c>
      <c r="I271" t="s">
        <v>19</v>
      </c>
      <c r="J271" s="4">
        <v>3</v>
      </c>
      <c r="K271" s="4">
        <v>97.99</v>
      </c>
      <c r="L271" s="4">
        <v>10</v>
      </c>
      <c r="M271" s="4">
        <v>13.93</v>
      </c>
      <c r="N271" s="4">
        <v>135.88839999999999</v>
      </c>
      <c r="O271" s="4">
        <v>355.4</v>
      </c>
      <c r="P271" s="4">
        <v>3.8764546470000001</v>
      </c>
      <c r="Q271" s="4">
        <v>39.479999999999997</v>
      </c>
      <c r="R271" t="str" cm="1">
        <f t="array" ref="R271">_xlfn.IFS(B271="NY","New York",B271="TX","Texas",B271="CA","California")</f>
        <v>New York</v>
      </c>
    </row>
    <row r="272" spans="1:18" x14ac:dyDescent="0.3">
      <c r="A272" t="s">
        <v>3</v>
      </c>
      <c r="B272" t="s">
        <v>8</v>
      </c>
      <c r="C272" s="2">
        <v>42972</v>
      </c>
      <c r="D272" s="11" t="s">
        <v>137</v>
      </c>
      <c r="E272" s="3">
        <f t="shared" ca="1" si="4"/>
        <v>961699605</v>
      </c>
      <c r="F272" t="s">
        <v>11</v>
      </c>
      <c r="G272" t="s">
        <v>15</v>
      </c>
      <c r="H272" s="1" t="s">
        <v>235</v>
      </c>
      <c r="I272" t="s">
        <v>20</v>
      </c>
      <c r="J272" s="4">
        <v>6.5</v>
      </c>
      <c r="K272" s="4">
        <v>40.479999999999997</v>
      </c>
      <c r="L272" s="4">
        <v>5</v>
      </c>
      <c r="M272" s="4">
        <v>53.44</v>
      </c>
      <c r="N272" s="4">
        <v>185.4359</v>
      </c>
      <c r="O272" s="4">
        <v>337.15</v>
      </c>
      <c r="P272" s="4">
        <v>3.8764546470000001</v>
      </c>
      <c r="Q272" s="4">
        <v>77.17</v>
      </c>
      <c r="R272" t="str" cm="1">
        <f t="array" ref="R272">_xlfn.IFS(B272="NY","New York",B272="TX","Texas",B272="CA","California")</f>
        <v>California</v>
      </c>
    </row>
    <row r="273" spans="1:18" x14ac:dyDescent="0.3">
      <c r="A273" t="s">
        <v>2</v>
      </c>
      <c r="B273" t="s">
        <v>7</v>
      </c>
      <c r="C273" s="2">
        <v>43118</v>
      </c>
      <c r="D273" s="11" t="s">
        <v>68</v>
      </c>
      <c r="E273" s="3">
        <f t="shared" ca="1" si="4"/>
        <v>506647994</v>
      </c>
      <c r="F273" t="s">
        <v>11</v>
      </c>
      <c r="G273" t="s">
        <v>14</v>
      </c>
      <c r="H273" s="1" t="s">
        <v>236</v>
      </c>
      <c r="I273" t="s">
        <v>17</v>
      </c>
      <c r="J273" s="4">
        <v>6.3</v>
      </c>
      <c r="K273" s="4">
        <v>93.67</v>
      </c>
      <c r="L273" s="4">
        <v>2</v>
      </c>
      <c r="M273" s="4">
        <v>99.68</v>
      </c>
      <c r="N273" s="4">
        <v>107.69799999999999</v>
      </c>
      <c r="O273" s="4">
        <v>42.24</v>
      </c>
      <c r="P273" s="4">
        <v>3.8764546470000001</v>
      </c>
      <c r="Q273" s="4">
        <v>96.703999999999994</v>
      </c>
      <c r="R273" t="str" cm="1">
        <f t="array" ref="R273">_xlfn.IFS(B273="NY","New York",B273="TX","Texas",B273="CA","California")</f>
        <v>Texas</v>
      </c>
    </row>
    <row r="274" spans="1:18" x14ac:dyDescent="0.3">
      <c r="A274" t="s">
        <v>1</v>
      </c>
      <c r="B274" t="s">
        <v>6</v>
      </c>
      <c r="C274" s="2">
        <v>43212</v>
      </c>
      <c r="D274" s="11" t="s">
        <v>164</v>
      </c>
      <c r="E274" s="3">
        <f t="shared" ca="1" si="4"/>
        <v>859451857</v>
      </c>
      <c r="F274" t="s">
        <v>11</v>
      </c>
      <c r="G274" t="s">
        <v>14</v>
      </c>
      <c r="H274" s="1" t="s">
        <v>237</v>
      </c>
      <c r="I274" t="s">
        <v>19</v>
      </c>
      <c r="J274" s="4">
        <v>4.5</v>
      </c>
      <c r="K274" s="4">
        <v>36.880000000000003</v>
      </c>
      <c r="L274" s="4">
        <v>9</v>
      </c>
      <c r="M274" s="4">
        <v>88.29</v>
      </c>
      <c r="N274" s="4">
        <v>102.2054</v>
      </c>
      <c r="O274" s="4">
        <v>193.86</v>
      </c>
      <c r="P274" s="4">
        <v>3.8764546470000001</v>
      </c>
      <c r="Q274" s="4">
        <v>67.567999999999998</v>
      </c>
      <c r="R274" t="str" cm="1">
        <f t="array" ref="R274">_xlfn.IFS(B274="NY","New York",B274="TX","Texas",B274="CA","California")</f>
        <v>New York</v>
      </c>
    </row>
    <row r="275" spans="1:18" x14ac:dyDescent="0.3">
      <c r="A275" t="s">
        <v>1</v>
      </c>
      <c r="B275" t="s">
        <v>6</v>
      </c>
      <c r="C275" s="2">
        <v>43008</v>
      </c>
      <c r="D275" s="11" t="s">
        <v>123</v>
      </c>
      <c r="E275" s="3">
        <f t="shared" ca="1" si="4"/>
        <v>925589155</v>
      </c>
      <c r="F275" t="s">
        <v>11</v>
      </c>
      <c r="G275" t="s">
        <v>15</v>
      </c>
      <c r="H275" s="1" t="s">
        <v>236</v>
      </c>
      <c r="I275" t="s">
        <v>19</v>
      </c>
      <c r="J275" s="4">
        <v>1.2</v>
      </c>
      <c r="K275" s="4">
        <v>53.55</v>
      </c>
      <c r="L275" s="4">
        <v>2</v>
      </c>
      <c r="M275" s="4">
        <v>69.13</v>
      </c>
      <c r="N275" s="4">
        <v>152.8614</v>
      </c>
      <c r="O275" s="4">
        <v>24.06</v>
      </c>
      <c r="P275" s="4">
        <v>3.8764546470000001</v>
      </c>
      <c r="Q275" s="4">
        <v>18.86</v>
      </c>
      <c r="R275" t="str" cm="1">
        <f t="array" ref="R275">_xlfn.IFS(B275="NY","New York",B275="TX","Texas",B275="CA","California")</f>
        <v>New York</v>
      </c>
    </row>
    <row r="276" spans="1:18" x14ac:dyDescent="0.3">
      <c r="A276" t="s">
        <v>3</v>
      </c>
      <c r="B276" t="s">
        <v>8</v>
      </c>
      <c r="C276" s="2">
        <v>43065</v>
      </c>
      <c r="D276" s="11" t="s">
        <v>98</v>
      </c>
      <c r="E276" s="3">
        <f t="shared" ca="1" si="4"/>
        <v>374115154</v>
      </c>
      <c r="F276" t="s">
        <v>11</v>
      </c>
      <c r="G276" t="s">
        <v>15</v>
      </c>
      <c r="H276" s="1" t="s">
        <v>235</v>
      </c>
      <c r="I276" t="s">
        <v>17</v>
      </c>
      <c r="J276" s="4">
        <v>5.0999999999999996</v>
      </c>
      <c r="K276" s="4">
        <v>11.83</v>
      </c>
      <c r="L276" s="4">
        <v>6</v>
      </c>
      <c r="M276" s="4">
        <v>49.75</v>
      </c>
      <c r="N276" s="4">
        <v>185.5454</v>
      </c>
      <c r="O276" s="4">
        <v>598.26</v>
      </c>
      <c r="P276" s="4">
        <v>3.8764546470000001</v>
      </c>
      <c r="Q276" s="4">
        <v>80.510000000000005</v>
      </c>
      <c r="R276" t="str" cm="1">
        <f t="array" ref="R276">_xlfn.IFS(B276="NY","New York",B276="TX","Texas",B276="CA","California")</f>
        <v>California</v>
      </c>
    </row>
    <row r="277" spans="1:18" x14ac:dyDescent="0.3">
      <c r="A277" t="s">
        <v>3</v>
      </c>
      <c r="B277" t="s">
        <v>8</v>
      </c>
      <c r="C277" s="2">
        <v>43269</v>
      </c>
      <c r="D277" s="11" t="s">
        <v>136</v>
      </c>
      <c r="E277" s="3">
        <f t="shared" ca="1" si="4"/>
        <v>319941824</v>
      </c>
      <c r="F277" t="s">
        <v>12</v>
      </c>
      <c r="G277" t="s">
        <v>15</v>
      </c>
      <c r="H277" s="1" t="s">
        <v>236</v>
      </c>
      <c r="I277" t="s">
        <v>22</v>
      </c>
      <c r="J277" s="4">
        <v>9</v>
      </c>
      <c r="K277" s="4">
        <v>96.43</v>
      </c>
      <c r="L277" s="4">
        <v>7</v>
      </c>
      <c r="M277" s="4">
        <v>93.5</v>
      </c>
      <c r="N277" s="4">
        <v>180.1001</v>
      </c>
      <c r="O277" s="4">
        <v>335.79</v>
      </c>
      <c r="P277" s="4">
        <v>3.8764546470000001</v>
      </c>
      <c r="Q277" s="4">
        <v>80.183999999999997</v>
      </c>
      <c r="R277" t="str" cm="1">
        <f t="array" ref="R277">_xlfn.IFS(B277="NY","New York",B277="TX","Texas",B277="CA","California")</f>
        <v>California</v>
      </c>
    </row>
    <row r="278" spans="1:18" x14ac:dyDescent="0.3">
      <c r="A278" t="s">
        <v>2</v>
      </c>
      <c r="B278" t="s">
        <v>7</v>
      </c>
      <c r="C278" s="2">
        <v>43059</v>
      </c>
      <c r="D278" s="11" t="s">
        <v>187</v>
      </c>
      <c r="E278" s="3">
        <f t="shared" ca="1" si="4"/>
        <v>161341655</v>
      </c>
      <c r="F278" t="s">
        <v>11</v>
      </c>
      <c r="G278" t="s">
        <v>14</v>
      </c>
      <c r="H278" s="1" t="s">
        <v>236</v>
      </c>
      <c r="I278" t="s">
        <v>19</v>
      </c>
      <c r="J278" s="4">
        <v>4.8</v>
      </c>
      <c r="K278" s="4">
        <v>39.76</v>
      </c>
      <c r="L278" s="4">
        <v>10</v>
      </c>
      <c r="M278" s="4">
        <v>26.48</v>
      </c>
      <c r="N278" s="4">
        <v>182.50470000000001</v>
      </c>
      <c r="O278" s="4">
        <v>218.2</v>
      </c>
      <c r="P278" s="4">
        <v>3.8764546470000001</v>
      </c>
      <c r="Q278" s="4">
        <v>87.65</v>
      </c>
      <c r="R278" t="str" cm="1">
        <f t="array" ref="R278">_xlfn.IFS(B278="NY","New York",B278="TX","Texas",B278="CA","California")</f>
        <v>Texas</v>
      </c>
    </row>
    <row r="279" spans="1:18" x14ac:dyDescent="0.3">
      <c r="A279" t="s">
        <v>2</v>
      </c>
      <c r="B279" t="s">
        <v>7</v>
      </c>
      <c r="C279" s="2">
        <v>42845</v>
      </c>
      <c r="D279" s="11" t="s">
        <v>140</v>
      </c>
      <c r="E279" s="3">
        <f t="shared" ca="1" si="4"/>
        <v>141770387</v>
      </c>
      <c r="F279" t="s">
        <v>11</v>
      </c>
      <c r="G279" t="s">
        <v>15</v>
      </c>
      <c r="H279" s="1" t="s">
        <v>235</v>
      </c>
      <c r="I279" t="s">
        <v>22</v>
      </c>
      <c r="J279" s="4">
        <v>2.9</v>
      </c>
      <c r="K279" s="4">
        <v>37.5</v>
      </c>
      <c r="L279" s="4">
        <v>4</v>
      </c>
      <c r="M279" s="4">
        <v>85.19</v>
      </c>
      <c r="N279" s="4">
        <v>117.37390000000001</v>
      </c>
      <c r="O279" s="4">
        <v>381.68</v>
      </c>
      <c r="P279" s="4">
        <v>3.8764546470000001</v>
      </c>
      <c r="Q279" s="4">
        <v>15.35</v>
      </c>
      <c r="R279" t="str" cm="1">
        <f t="array" ref="R279">_xlfn.IFS(B279="NY","New York",B279="TX","Texas",B279="CA","California")</f>
        <v>Texas</v>
      </c>
    </row>
    <row r="280" spans="1:18" x14ac:dyDescent="0.3">
      <c r="A280" t="s">
        <v>2</v>
      </c>
      <c r="B280" t="s">
        <v>7</v>
      </c>
      <c r="C280" s="2">
        <v>43430</v>
      </c>
      <c r="D280" s="11" t="s">
        <v>188</v>
      </c>
      <c r="E280" s="3">
        <f t="shared" ca="1" si="4"/>
        <v>727893112</v>
      </c>
      <c r="F280" t="s">
        <v>12</v>
      </c>
      <c r="G280" t="s">
        <v>14</v>
      </c>
      <c r="H280" s="1" t="s">
        <v>236</v>
      </c>
      <c r="I280" t="s">
        <v>22</v>
      </c>
      <c r="J280" s="4">
        <v>1.9</v>
      </c>
      <c r="K280" s="4">
        <v>85.21</v>
      </c>
      <c r="L280" s="4">
        <v>10</v>
      </c>
      <c r="M280" s="4">
        <v>31.22</v>
      </c>
      <c r="N280" s="4">
        <v>132.89590000000001</v>
      </c>
      <c r="O280" s="4">
        <v>709.9</v>
      </c>
      <c r="P280" s="4">
        <v>3.8764546470000001</v>
      </c>
      <c r="Q280" s="4">
        <v>11.24</v>
      </c>
      <c r="R280" t="str" cm="1">
        <f t="array" ref="R280">_xlfn.IFS(B280="NY","New York",B280="TX","Texas",B280="CA","California")</f>
        <v>Texas</v>
      </c>
    </row>
    <row r="281" spans="1:18" x14ac:dyDescent="0.3">
      <c r="A281" t="s">
        <v>1</v>
      </c>
      <c r="B281" t="s">
        <v>6</v>
      </c>
      <c r="C281" s="2">
        <v>43173</v>
      </c>
      <c r="D281" s="11" t="s">
        <v>189</v>
      </c>
      <c r="E281" s="3">
        <f t="shared" ca="1" si="4"/>
        <v>559125138</v>
      </c>
      <c r="F281" t="s">
        <v>12</v>
      </c>
      <c r="G281" t="s">
        <v>14</v>
      </c>
      <c r="H281" s="1" t="s">
        <v>237</v>
      </c>
      <c r="I281" t="s">
        <v>20</v>
      </c>
      <c r="J281" s="4">
        <v>1</v>
      </c>
      <c r="K281" s="4">
        <v>23.33</v>
      </c>
      <c r="L281" s="4">
        <v>10</v>
      </c>
      <c r="M281" s="4">
        <v>44.72</v>
      </c>
      <c r="N281" s="4">
        <v>132.1841</v>
      </c>
      <c r="O281" s="4">
        <v>440.2</v>
      </c>
      <c r="P281" s="4">
        <v>3.8764546470000001</v>
      </c>
      <c r="Q281" s="4">
        <v>39.409999999999997</v>
      </c>
      <c r="R281" t="str" cm="1">
        <f t="array" ref="R281">_xlfn.IFS(B281="NY","New York",B281="TX","Texas",B281="CA","California")</f>
        <v>New York</v>
      </c>
    </row>
    <row r="282" spans="1:18" x14ac:dyDescent="0.3">
      <c r="A282" t="s">
        <v>1</v>
      </c>
      <c r="B282" t="s">
        <v>6</v>
      </c>
      <c r="C282" s="2">
        <v>42809</v>
      </c>
      <c r="D282" s="11" t="s">
        <v>147</v>
      </c>
      <c r="E282" s="3">
        <f t="shared" ca="1" si="4"/>
        <v>215958823</v>
      </c>
      <c r="F282" t="s">
        <v>11</v>
      </c>
      <c r="G282" t="s">
        <v>15</v>
      </c>
      <c r="H282" s="1" t="s">
        <v>237</v>
      </c>
      <c r="I282" t="s">
        <v>19</v>
      </c>
      <c r="J282" s="4">
        <v>1.2</v>
      </c>
      <c r="K282" s="4">
        <v>12.46</v>
      </c>
      <c r="L282" s="4">
        <v>8</v>
      </c>
      <c r="M282" s="4">
        <v>42.14</v>
      </c>
      <c r="N282" s="4">
        <v>168.9803</v>
      </c>
      <c r="O282" s="4">
        <v>559.67999999999995</v>
      </c>
      <c r="P282" s="4">
        <v>3.8764546470000001</v>
      </c>
      <c r="Q282" s="4">
        <v>57.62</v>
      </c>
      <c r="R282" t="str" cm="1">
        <f t="array" ref="R282">_xlfn.IFS(B282="NY","New York",B282="TX","Texas",B282="CA","California")</f>
        <v>New York</v>
      </c>
    </row>
    <row r="283" spans="1:18" x14ac:dyDescent="0.3">
      <c r="A283" t="s">
        <v>2</v>
      </c>
      <c r="B283" t="s">
        <v>7</v>
      </c>
      <c r="C283" s="2">
        <v>43272</v>
      </c>
      <c r="D283" s="11" t="s">
        <v>132</v>
      </c>
      <c r="E283" s="3">
        <f t="shared" ca="1" si="4"/>
        <v>662464653</v>
      </c>
      <c r="F283" t="s">
        <v>12</v>
      </c>
      <c r="G283" t="s">
        <v>15</v>
      </c>
      <c r="H283" s="1" t="s">
        <v>237</v>
      </c>
      <c r="I283" t="s">
        <v>19</v>
      </c>
      <c r="J283" s="4">
        <v>9.3000000000000007</v>
      </c>
      <c r="K283" s="4">
        <v>50.57</v>
      </c>
      <c r="L283" s="4">
        <v>1</v>
      </c>
      <c r="M283" s="4">
        <v>67.400000000000006</v>
      </c>
      <c r="N283" s="4">
        <v>133.8587</v>
      </c>
      <c r="O283" s="4">
        <v>37</v>
      </c>
      <c r="P283" s="4">
        <v>3.8764546470000001</v>
      </c>
      <c r="Q283" s="4">
        <v>14.36</v>
      </c>
      <c r="R283" t="str" cm="1">
        <f t="array" ref="R283">_xlfn.IFS(B283="NY","New York",B283="TX","Texas",B283="CA","California")</f>
        <v>Texas</v>
      </c>
    </row>
    <row r="284" spans="1:18" x14ac:dyDescent="0.3">
      <c r="A284" t="s">
        <v>1</v>
      </c>
      <c r="B284" t="s">
        <v>6</v>
      </c>
      <c r="C284" s="2">
        <v>43119</v>
      </c>
      <c r="D284" s="11" t="s">
        <v>75</v>
      </c>
      <c r="E284" s="3">
        <f t="shared" ca="1" si="4"/>
        <v>81874878</v>
      </c>
      <c r="F284" t="s">
        <v>11</v>
      </c>
      <c r="G284" t="s">
        <v>15</v>
      </c>
      <c r="H284" s="1" t="s">
        <v>236</v>
      </c>
      <c r="I284" t="s">
        <v>20</v>
      </c>
      <c r="J284" s="4">
        <v>5.0999999999999996</v>
      </c>
      <c r="K284" s="4">
        <v>12.14</v>
      </c>
      <c r="L284" s="4">
        <v>1</v>
      </c>
      <c r="M284" s="4">
        <v>71.78</v>
      </c>
      <c r="N284" s="4">
        <v>151.7611</v>
      </c>
      <c r="O284" s="4">
        <v>15.34</v>
      </c>
      <c r="P284" s="4">
        <v>3.8764546470000001</v>
      </c>
      <c r="Q284" s="4">
        <v>12.71</v>
      </c>
      <c r="R284" t="str" cm="1">
        <f t="array" ref="R284">_xlfn.IFS(B284="NY","New York",B284="TX","Texas",B284="CA","California")</f>
        <v>New York</v>
      </c>
    </row>
    <row r="285" spans="1:18" x14ac:dyDescent="0.3">
      <c r="A285" t="s">
        <v>1</v>
      </c>
      <c r="B285" t="s">
        <v>6</v>
      </c>
      <c r="C285" s="2">
        <v>43003</v>
      </c>
      <c r="D285" s="11" t="s">
        <v>42</v>
      </c>
      <c r="E285" s="3">
        <f t="shared" ca="1" si="4"/>
        <v>196693597</v>
      </c>
      <c r="F285" t="s">
        <v>12</v>
      </c>
      <c r="G285" t="s">
        <v>14</v>
      </c>
      <c r="H285" s="1" t="s">
        <v>235</v>
      </c>
      <c r="I285" t="s">
        <v>17</v>
      </c>
      <c r="J285" s="4">
        <v>2.8</v>
      </c>
      <c r="K285" s="4">
        <v>11.51</v>
      </c>
      <c r="L285" s="4">
        <v>6</v>
      </c>
      <c r="M285" s="4">
        <v>34.44</v>
      </c>
      <c r="N285" s="4">
        <v>153.00960000000001</v>
      </c>
      <c r="O285" s="4">
        <v>598.98</v>
      </c>
      <c r="P285" s="4">
        <v>3.8764546470000001</v>
      </c>
      <c r="Q285" s="4">
        <v>22.771999999999998</v>
      </c>
      <c r="R285" t="str" cm="1">
        <f t="array" ref="R285">_xlfn.IFS(B285="NY","New York",B285="TX","Texas",B285="CA","California")</f>
        <v>New York</v>
      </c>
    </row>
    <row r="286" spans="1:18" x14ac:dyDescent="0.3">
      <c r="A286" t="s">
        <v>1</v>
      </c>
      <c r="B286" t="s">
        <v>6</v>
      </c>
      <c r="C286" s="2">
        <v>43231</v>
      </c>
      <c r="D286" s="11" t="s">
        <v>190</v>
      </c>
      <c r="E286" s="3">
        <f t="shared" ca="1" si="4"/>
        <v>888105239</v>
      </c>
      <c r="F286" t="s">
        <v>11</v>
      </c>
      <c r="G286" t="s">
        <v>14</v>
      </c>
      <c r="H286" s="1" t="s">
        <v>236</v>
      </c>
      <c r="I286" t="s">
        <v>17</v>
      </c>
      <c r="J286" s="4">
        <v>9</v>
      </c>
      <c r="K286" s="4">
        <v>79.53</v>
      </c>
      <c r="L286" s="4">
        <v>4</v>
      </c>
      <c r="M286" s="4">
        <v>93.25</v>
      </c>
      <c r="N286" s="4">
        <v>155.07140000000001</v>
      </c>
      <c r="O286" s="4">
        <v>190.68</v>
      </c>
      <c r="P286" s="4">
        <v>3.8764546470000001</v>
      </c>
      <c r="Q286" s="4">
        <v>37.451999999999998</v>
      </c>
      <c r="R286" t="str" cm="1">
        <f t="array" ref="R286">_xlfn.IFS(B286="NY","New York",B286="TX","Texas",B286="CA","California")</f>
        <v>New York</v>
      </c>
    </row>
    <row r="287" spans="1:18" x14ac:dyDescent="0.3">
      <c r="A287" t="s">
        <v>3</v>
      </c>
      <c r="B287" t="s">
        <v>8</v>
      </c>
      <c r="C287" s="2">
        <v>43435</v>
      </c>
      <c r="D287" s="11" t="s">
        <v>71</v>
      </c>
      <c r="E287" s="3">
        <f t="shared" ca="1" si="4"/>
        <v>907770000</v>
      </c>
      <c r="F287" t="s">
        <v>12</v>
      </c>
      <c r="G287" t="s">
        <v>15</v>
      </c>
      <c r="H287" s="1" t="s">
        <v>236</v>
      </c>
      <c r="I287" t="s">
        <v>17</v>
      </c>
      <c r="J287" s="4">
        <v>7</v>
      </c>
      <c r="K287" s="4">
        <v>61.83</v>
      </c>
      <c r="L287" s="4">
        <v>5</v>
      </c>
      <c r="M287" s="4">
        <v>41.62</v>
      </c>
      <c r="N287" s="4">
        <v>120.4663</v>
      </c>
      <c r="O287" s="4">
        <v>333.4</v>
      </c>
      <c r="P287" s="4">
        <v>3.8764546470000001</v>
      </c>
      <c r="Q287" s="4">
        <v>38.692999999999998</v>
      </c>
      <c r="R287" t="str" cm="1">
        <f t="array" ref="R287">_xlfn.IFS(B287="NY","New York",B287="TX","Texas",B287="CA","California")</f>
        <v>California</v>
      </c>
    </row>
    <row r="288" spans="1:18" x14ac:dyDescent="0.3">
      <c r="A288" t="s">
        <v>2</v>
      </c>
      <c r="B288" t="s">
        <v>7</v>
      </c>
      <c r="C288" s="2">
        <v>43423</v>
      </c>
      <c r="D288" s="11" t="s">
        <v>92</v>
      </c>
      <c r="E288" s="3">
        <f t="shared" ca="1" si="4"/>
        <v>849285596</v>
      </c>
      <c r="F288" t="s">
        <v>12</v>
      </c>
      <c r="G288" t="s">
        <v>14</v>
      </c>
      <c r="H288" s="1" t="s">
        <v>236</v>
      </c>
      <c r="I288" t="s">
        <v>19</v>
      </c>
      <c r="J288" s="4">
        <v>7.7</v>
      </c>
      <c r="K288" s="4">
        <v>53.93</v>
      </c>
      <c r="L288" s="4">
        <v>1</v>
      </c>
      <c r="M288" s="4">
        <v>13.71</v>
      </c>
      <c r="N288" s="4">
        <v>124.8481</v>
      </c>
      <c r="O288" s="4">
        <v>74.86</v>
      </c>
      <c r="P288" s="4">
        <v>3.8764546470000001</v>
      </c>
      <c r="Q288" s="4">
        <v>20.986999999999998</v>
      </c>
      <c r="R288" t="str" cm="1">
        <f t="array" ref="R288">_xlfn.IFS(B288="NY","New York",B288="TX","Texas",B288="CA","California")</f>
        <v>Texas</v>
      </c>
    </row>
    <row r="289" spans="1:18" x14ac:dyDescent="0.3">
      <c r="A289" t="s">
        <v>2</v>
      </c>
      <c r="B289" t="s">
        <v>7</v>
      </c>
      <c r="C289" s="2">
        <v>42887</v>
      </c>
      <c r="D289" s="11" t="s">
        <v>190</v>
      </c>
      <c r="E289" s="3">
        <f t="shared" ca="1" si="4"/>
        <v>332378277</v>
      </c>
      <c r="F289" t="s">
        <v>11</v>
      </c>
      <c r="G289" t="s">
        <v>15</v>
      </c>
      <c r="H289" s="1" t="s">
        <v>236</v>
      </c>
      <c r="I289" t="s">
        <v>20</v>
      </c>
      <c r="J289" s="4">
        <v>3</v>
      </c>
      <c r="K289" s="4">
        <v>38.39</v>
      </c>
      <c r="L289" s="4">
        <v>9</v>
      </c>
      <c r="M289" s="4">
        <v>54.35</v>
      </c>
      <c r="N289" s="4">
        <v>171.30420000000001</v>
      </c>
      <c r="O289" s="4">
        <v>213.75</v>
      </c>
      <c r="P289" s="4">
        <v>3.8764546470000001</v>
      </c>
      <c r="Q289" s="4">
        <v>42.91</v>
      </c>
      <c r="R289" t="str" cm="1">
        <f t="array" ref="R289">_xlfn.IFS(B289="NY","New York",B289="TX","Texas",B289="CA","California")</f>
        <v>Texas</v>
      </c>
    </row>
    <row r="290" spans="1:18" x14ac:dyDescent="0.3">
      <c r="A290" t="s">
        <v>3</v>
      </c>
      <c r="B290" t="s">
        <v>8</v>
      </c>
      <c r="C290" s="2">
        <v>43240</v>
      </c>
      <c r="D290" s="11" t="s">
        <v>126</v>
      </c>
      <c r="E290" s="3">
        <f t="shared" ca="1" si="4"/>
        <v>606258080</v>
      </c>
      <c r="F290" t="s">
        <v>11</v>
      </c>
      <c r="G290" t="s">
        <v>15</v>
      </c>
      <c r="H290" s="1" t="s">
        <v>237</v>
      </c>
      <c r="I290" t="s">
        <v>21</v>
      </c>
      <c r="J290" s="4">
        <v>4</v>
      </c>
      <c r="K290" s="4">
        <v>11.04</v>
      </c>
      <c r="L290" s="4">
        <v>7</v>
      </c>
      <c r="M290" s="4">
        <v>24.92</v>
      </c>
      <c r="N290" s="4">
        <v>113.48309999999999</v>
      </c>
      <c r="O290" s="4">
        <v>339.57</v>
      </c>
      <c r="P290" s="4">
        <v>3.8764546470000001</v>
      </c>
      <c r="Q290" s="4">
        <v>88.93</v>
      </c>
      <c r="R290" t="str" cm="1">
        <f t="array" ref="R290">_xlfn.IFS(B290="NY","New York",B290="TX","Texas",B290="CA","California")</f>
        <v>California</v>
      </c>
    </row>
    <row r="291" spans="1:18" x14ac:dyDescent="0.3">
      <c r="A291" t="s">
        <v>1</v>
      </c>
      <c r="B291" t="s">
        <v>6</v>
      </c>
      <c r="C291" s="2">
        <v>43102</v>
      </c>
      <c r="D291" s="11" t="s">
        <v>155</v>
      </c>
      <c r="E291" s="3">
        <f t="shared" ca="1" si="4"/>
        <v>521608799</v>
      </c>
      <c r="F291" t="s">
        <v>11</v>
      </c>
      <c r="G291" t="s">
        <v>14</v>
      </c>
      <c r="H291" s="1" t="s">
        <v>236</v>
      </c>
      <c r="I291" t="s">
        <v>19</v>
      </c>
      <c r="J291" s="4">
        <v>1</v>
      </c>
      <c r="K291" s="4">
        <v>58.72</v>
      </c>
      <c r="L291" s="4">
        <v>7</v>
      </c>
      <c r="M291" s="4">
        <v>13.44</v>
      </c>
      <c r="N291" s="4">
        <v>101.2623</v>
      </c>
      <c r="O291" s="4">
        <v>664.16</v>
      </c>
      <c r="P291" s="4">
        <v>3.8764546470000001</v>
      </c>
      <c r="Q291" s="4">
        <v>73.3</v>
      </c>
      <c r="R291" t="str" cm="1">
        <f t="array" ref="R291">_xlfn.IFS(B291="NY","New York",B291="TX","Texas",B291="CA","California")</f>
        <v>New York</v>
      </c>
    </row>
    <row r="292" spans="1:18" x14ac:dyDescent="0.3">
      <c r="A292" t="s">
        <v>3</v>
      </c>
      <c r="B292" t="s">
        <v>8</v>
      </c>
      <c r="C292" s="2">
        <v>43244</v>
      </c>
      <c r="D292" s="11" t="s">
        <v>144</v>
      </c>
      <c r="E292" s="3">
        <f t="shared" ca="1" si="4"/>
        <v>624500973</v>
      </c>
      <c r="F292" t="s">
        <v>12</v>
      </c>
      <c r="G292" t="s">
        <v>14</v>
      </c>
      <c r="H292" s="1" t="s">
        <v>237</v>
      </c>
      <c r="I292" t="s">
        <v>18</v>
      </c>
      <c r="J292" s="4">
        <v>1</v>
      </c>
      <c r="K292" s="4">
        <v>37.03</v>
      </c>
      <c r="L292" s="4">
        <v>10</v>
      </c>
      <c r="M292" s="4">
        <v>80.790000000000006</v>
      </c>
      <c r="N292" s="4">
        <v>145.04689999999999</v>
      </c>
      <c r="O292" s="4">
        <v>403</v>
      </c>
      <c r="P292" s="4">
        <v>3.8764546470000001</v>
      </c>
      <c r="Q292" s="4">
        <v>82.35</v>
      </c>
      <c r="R292" t="str" cm="1">
        <f t="array" ref="R292">_xlfn.IFS(B292="NY","New York",B292="TX","Texas",B292="CA","California")</f>
        <v>California</v>
      </c>
    </row>
    <row r="293" spans="1:18" x14ac:dyDescent="0.3">
      <c r="A293" t="s">
        <v>2</v>
      </c>
      <c r="B293" t="s">
        <v>7</v>
      </c>
      <c r="C293" s="2">
        <v>43053</v>
      </c>
      <c r="D293" s="11" t="s">
        <v>191</v>
      </c>
      <c r="E293" s="3">
        <f t="shared" ca="1" si="4"/>
        <v>178591101</v>
      </c>
      <c r="F293" t="s">
        <v>12</v>
      </c>
      <c r="G293" t="s">
        <v>15</v>
      </c>
      <c r="H293" s="1" t="s">
        <v>235</v>
      </c>
      <c r="I293" t="s">
        <v>18</v>
      </c>
      <c r="J293" s="4">
        <v>4.0999999999999996</v>
      </c>
      <c r="K293" s="4">
        <v>37.14</v>
      </c>
      <c r="L293" s="4">
        <v>7</v>
      </c>
      <c r="M293" s="4">
        <v>59.36</v>
      </c>
      <c r="N293" s="4">
        <v>181.6096</v>
      </c>
      <c r="O293" s="4">
        <v>194.95</v>
      </c>
      <c r="P293" s="4">
        <v>3.8764546470000001</v>
      </c>
      <c r="Q293" s="4">
        <v>45.43</v>
      </c>
      <c r="R293" t="str" cm="1">
        <f t="array" ref="R293">_xlfn.IFS(B293="NY","New York",B293="TX","Texas",B293="CA","California")</f>
        <v>Texas</v>
      </c>
    </row>
    <row r="294" spans="1:18" x14ac:dyDescent="0.3">
      <c r="A294" t="s">
        <v>1</v>
      </c>
      <c r="B294" t="s">
        <v>6</v>
      </c>
      <c r="C294" s="2">
        <v>42868</v>
      </c>
      <c r="D294" s="11" t="s">
        <v>177</v>
      </c>
      <c r="E294" s="3">
        <f t="shared" ca="1" si="4"/>
        <v>199185062</v>
      </c>
      <c r="F294" t="s">
        <v>11</v>
      </c>
      <c r="G294" t="s">
        <v>14</v>
      </c>
      <c r="H294" s="1" t="s">
        <v>236</v>
      </c>
      <c r="I294" t="s">
        <v>18</v>
      </c>
      <c r="J294" s="4">
        <v>8.9</v>
      </c>
      <c r="K294" s="4">
        <v>41.14</v>
      </c>
      <c r="L294" s="4">
        <v>1</v>
      </c>
      <c r="M294" s="4">
        <v>65.569999999999993</v>
      </c>
      <c r="N294" s="4">
        <v>127.1829</v>
      </c>
      <c r="O294" s="4">
        <v>62.48</v>
      </c>
      <c r="P294" s="4">
        <v>3.8764546470000001</v>
      </c>
      <c r="Q294" s="4">
        <v>65.599999999999994</v>
      </c>
      <c r="R294" t="str" cm="1">
        <f t="array" ref="R294">_xlfn.IFS(B294="NY","New York",B294="TX","Texas",B294="CA","California")</f>
        <v>New York</v>
      </c>
    </row>
    <row r="295" spans="1:18" x14ac:dyDescent="0.3">
      <c r="A295" t="s">
        <v>1</v>
      </c>
      <c r="B295" t="s">
        <v>6</v>
      </c>
      <c r="C295" s="2">
        <v>43150</v>
      </c>
      <c r="D295" s="11" t="s">
        <v>134</v>
      </c>
      <c r="E295" s="3">
        <f t="shared" ca="1" si="4"/>
        <v>846439659</v>
      </c>
      <c r="F295" t="s">
        <v>11</v>
      </c>
      <c r="G295" t="s">
        <v>14</v>
      </c>
      <c r="H295" s="1" t="s">
        <v>236</v>
      </c>
      <c r="I295" t="s">
        <v>21</v>
      </c>
      <c r="J295" s="4">
        <v>3</v>
      </c>
      <c r="K295" s="4">
        <v>27.88</v>
      </c>
      <c r="L295" s="4">
        <v>2</v>
      </c>
      <c r="M295" s="4">
        <v>80.25</v>
      </c>
      <c r="N295" s="4">
        <v>136.29560000000001</v>
      </c>
      <c r="O295" s="4">
        <v>72.72</v>
      </c>
      <c r="P295" s="4">
        <v>3.8764546470000001</v>
      </c>
      <c r="Q295" s="4">
        <v>49.207999999999998</v>
      </c>
      <c r="R295" t="str" cm="1">
        <f t="array" ref="R295">_xlfn.IFS(B295="NY","New York",B295="TX","Texas",B295="CA","California")</f>
        <v>New York</v>
      </c>
    </row>
    <row r="296" spans="1:18" x14ac:dyDescent="0.3">
      <c r="A296" t="s">
        <v>3</v>
      </c>
      <c r="B296" t="s">
        <v>8</v>
      </c>
      <c r="C296" s="2">
        <v>42906</v>
      </c>
      <c r="D296" s="11" t="s">
        <v>94</v>
      </c>
      <c r="E296" s="3">
        <f t="shared" ca="1" si="4"/>
        <v>177740258</v>
      </c>
      <c r="F296" t="s">
        <v>12</v>
      </c>
      <c r="G296" t="s">
        <v>15</v>
      </c>
      <c r="H296" s="1" t="s">
        <v>235</v>
      </c>
      <c r="I296" t="s">
        <v>17</v>
      </c>
      <c r="J296" s="4">
        <v>4.7</v>
      </c>
      <c r="K296" s="4">
        <v>16.739999999999998</v>
      </c>
      <c r="L296" s="4">
        <v>10</v>
      </c>
      <c r="M296" s="4">
        <v>34.369999999999997</v>
      </c>
      <c r="N296" s="4">
        <v>127.7546</v>
      </c>
      <c r="O296" s="4">
        <v>181.1</v>
      </c>
      <c r="P296" s="4">
        <v>3.8764546470000001</v>
      </c>
      <c r="Q296" s="4">
        <v>28.553000000000001</v>
      </c>
      <c r="R296" t="str" cm="1">
        <f t="array" ref="R296">_xlfn.IFS(B296="NY","New York",B296="TX","Texas",B296="CA","California")</f>
        <v>California</v>
      </c>
    </row>
    <row r="297" spans="1:18" x14ac:dyDescent="0.3">
      <c r="A297" t="s">
        <v>2</v>
      </c>
      <c r="B297" t="s">
        <v>7</v>
      </c>
      <c r="C297" s="2">
        <v>43003</v>
      </c>
      <c r="D297" s="11" t="s">
        <v>30</v>
      </c>
      <c r="E297" s="3">
        <f t="shared" ca="1" si="4"/>
        <v>859166100</v>
      </c>
      <c r="F297" t="s">
        <v>11</v>
      </c>
      <c r="G297" t="s">
        <v>14</v>
      </c>
      <c r="H297" s="1" t="s">
        <v>236</v>
      </c>
      <c r="I297" t="s">
        <v>18</v>
      </c>
      <c r="J297" s="4">
        <v>8.3000000000000007</v>
      </c>
      <c r="K297" s="4">
        <v>67.25</v>
      </c>
      <c r="L297" s="4">
        <v>5</v>
      </c>
      <c r="M297" s="4">
        <v>39.06</v>
      </c>
      <c r="N297" s="4">
        <v>132.90369999999999</v>
      </c>
      <c r="O297" s="4">
        <v>259.60000000000002</v>
      </c>
      <c r="P297" s="4">
        <v>3.8764546470000001</v>
      </c>
      <c r="Q297" s="4">
        <v>78.09</v>
      </c>
      <c r="R297" t="str" cm="1">
        <f t="array" ref="R297">_xlfn.IFS(B297="NY","New York",B297="TX","Texas",B297="CA","California")</f>
        <v>Texas</v>
      </c>
    </row>
    <row r="298" spans="1:18" x14ac:dyDescent="0.3">
      <c r="A298" t="s">
        <v>2</v>
      </c>
      <c r="B298" t="s">
        <v>7</v>
      </c>
      <c r="C298" s="2">
        <v>43044</v>
      </c>
      <c r="D298" s="11" t="s">
        <v>60</v>
      </c>
      <c r="E298" s="3">
        <f t="shared" ca="1" si="4"/>
        <v>531838568</v>
      </c>
      <c r="F298" t="s">
        <v>12</v>
      </c>
      <c r="G298" t="s">
        <v>15</v>
      </c>
      <c r="H298" s="1" t="s">
        <v>236</v>
      </c>
      <c r="I298" t="s">
        <v>18</v>
      </c>
      <c r="J298" s="4">
        <v>8.6</v>
      </c>
      <c r="K298" s="4">
        <v>90.95</v>
      </c>
      <c r="L298" s="4">
        <v>4</v>
      </c>
      <c r="M298" s="4">
        <v>33.81</v>
      </c>
      <c r="N298" s="4">
        <v>158.5943</v>
      </c>
      <c r="O298" s="4">
        <v>115.36</v>
      </c>
      <c r="P298" s="4">
        <v>3.8764546470000001</v>
      </c>
      <c r="Q298" s="4">
        <v>79.908000000000001</v>
      </c>
      <c r="R298" t="str" cm="1">
        <f t="array" ref="R298">_xlfn.IFS(B298="NY","New York",B298="TX","Texas",B298="CA","California")</f>
        <v>Texas</v>
      </c>
    </row>
    <row r="299" spans="1:18" x14ac:dyDescent="0.3">
      <c r="A299" t="s">
        <v>1</v>
      </c>
      <c r="B299" t="s">
        <v>6</v>
      </c>
      <c r="C299" s="2">
        <v>43092</v>
      </c>
      <c r="D299" s="11" t="s">
        <v>192</v>
      </c>
      <c r="E299" s="3">
        <f t="shared" ca="1" si="4"/>
        <v>514191171</v>
      </c>
      <c r="F299" t="s">
        <v>12</v>
      </c>
      <c r="G299" t="s">
        <v>14</v>
      </c>
      <c r="H299" s="1" t="s">
        <v>235</v>
      </c>
      <c r="I299" t="s">
        <v>19</v>
      </c>
      <c r="J299" s="4">
        <v>3</v>
      </c>
      <c r="K299" s="4">
        <v>73.58</v>
      </c>
      <c r="L299" s="4">
        <v>6</v>
      </c>
      <c r="M299" s="4">
        <v>39.44</v>
      </c>
      <c r="N299" s="4">
        <v>163.2552</v>
      </c>
      <c r="O299" s="4">
        <v>470.28</v>
      </c>
      <c r="P299" s="4">
        <v>3.8764546470000001</v>
      </c>
      <c r="Q299" s="4">
        <v>24.85</v>
      </c>
      <c r="R299" t="str" cm="1">
        <f t="array" ref="R299">_xlfn.IFS(B299="NY","New York",B299="TX","Texas",B299="CA","California")</f>
        <v>New York</v>
      </c>
    </row>
    <row r="300" spans="1:18" x14ac:dyDescent="0.3">
      <c r="A300" t="s">
        <v>1</v>
      </c>
      <c r="B300" t="s">
        <v>6</v>
      </c>
      <c r="C300" s="2">
        <v>43013</v>
      </c>
      <c r="D300" s="11" t="s">
        <v>115</v>
      </c>
      <c r="E300" s="3">
        <f t="shared" ca="1" si="4"/>
        <v>565963053</v>
      </c>
      <c r="F300" t="s">
        <v>12</v>
      </c>
      <c r="G300" t="s">
        <v>14</v>
      </c>
      <c r="H300" s="1" t="s">
        <v>236</v>
      </c>
      <c r="I300" t="s">
        <v>19</v>
      </c>
      <c r="J300" s="4">
        <v>8</v>
      </c>
      <c r="K300" s="4">
        <v>16.25</v>
      </c>
      <c r="L300" s="4">
        <v>4</v>
      </c>
      <c r="M300" s="4">
        <v>97.1</v>
      </c>
      <c r="N300" s="4">
        <v>162.32159999999999</v>
      </c>
      <c r="O300" s="4">
        <v>240.04</v>
      </c>
      <c r="P300" s="4">
        <v>3.8764546470000001</v>
      </c>
      <c r="Q300" s="4">
        <v>63.021000000000001</v>
      </c>
      <c r="R300" t="str" cm="1">
        <f t="array" ref="R300">_xlfn.IFS(B300="NY","New York",B300="TX","Texas",B300="CA","California")</f>
        <v>New York</v>
      </c>
    </row>
    <row r="301" spans="1:18" x14ac:dyDescent="0.3">
      <c r="A301" t="s">
        <v>2</v>
      </c>
      <c r="B301" t="s">
        <v>7</v>
      </c>
      <c r="C301" s="2">
        <v>43420</v>
      </c>
      <c r="D301" s="11" t="s">
        <v>128</v>
      </c>
      <c r="E301" s="3">
        <f t="shared" ca="1" si="4"/>
        <v>219876558</v>
      </c>
      <c r="F301" t="s">
        <v>11</v>
      </c>
      <c r="G301" t="s">
        <v>14</v>
      </c>
      <c r="H301" s="1" t="s">
        <v>236</v>
      </c>
      <c r="I301" t="s">
        <v>19</v>
      </c>
      <c r="J301" s="4">
        <v>2.2999999999999998</v>
      </c>
      <c r="K301" s="4">
        <v>39.94</v>
      </c>
      <c r="L301" s="4">
        <v>1</v>
      </c>
      <c r="M301" s="4">
        <v>44.39</v>
      </c>
      <c r="N301" s="4">
        <v>126.3646</v>
      </c>
      <c r="O301" s="4">
        <v>88.61</v>
      </c>
      <c r="P301" s="4">
        <v>3.8764546470000001</v>
      </c>
      <c r="Q301" s="4">
        <v>69.682000000000002</v>
      </c>
      <c r="R301" t="str" cm="1">
        <f t="array" ref="R301">_xlfn.IFS(B301="NY","New York",B301="TX","Texas",B301="CA","California")</f>
        <v>Texas</v>
      </c>
    </row>
    <row r="302" spans="1:18" x14ac:dyDescent="0.3">
      <c r="A302" t="s">
        <v>2</v>
      </c>
      <c r="B302" t="s">
        <v>7</v>
      </c>
      <c r="C302" s="2">
        <v>43353</v>
      </c>
      <c r="D302" s="11" t="s">
        <v>40</v>
      </c>
      <c r="E302" s="3">
        <f t="shared" ca="1" si="4"/>
        <v>866338727</v>
      </c>
      <c r="F302" t="s">
        <v>12</v>
      </c>
      <c r="G302" t="s">
        <v>15</v>
      </c>
      <c r="H302" s="1" t="s">
        <v>237</v>
      </c>
      <c r="I302" t="s">
        <v>22</v>
      </c>
      <c r="J302" s="4">
        <v>4.3</v>
      </c>
      <c r="K302" s="4">
        <v>10.83</v>
      </c>
      <c r="L302" s="4">
        <v>2</v>
      </c>
      <c r="M302" s="4">
        <v>58.03</v>
      </c>
      <c r="N302" s="4">
        <v>116.6516</v>
      </c>
      <c r="O302" s="4">
        <v>199.64</v>
      </c>
      <c r="P302" s="4">
        <v>3.8764546470000001</v>
      </c>
      <c r="Q302" s="4">
        <v>40.270000000000003</v>
      </c>
      <c r="R302" t="str" cm="1">
        <f t="array" ref="R302">_xlfn.IFS(B302="NY","New York",B302="TX","Texas",B302="CA","California")</f>
        <v>Texas</v>
      </c>
    </row>
    <row r="303" spans="1:18" x14ac:dyDescent="0.3">
      <c r="A303" t="s">
        <v>3</v>
      </c>
      <c r="B303" t="s">
        <v>8</v>
      </c>
      <c r="C303" s="2">
        <v>42961</v>
      </c>
      <c r="D303" s="11" t="s">
        <v>104</v>
      </c>
      <c r="E303" s="3">
        <f t="shared" ca="1" si="4"/>
        <v>859851148</v>
      </c>
      <c r="F303" t="s">
        <v>12</v>
      </c>
      <c r="G303" t="s">
        <v>14</v>
      </c>
      <c r="H303" s="1" t="s">
        <v>237</v>
      </c>
      <c r="I303" t="s">
        <v>17</v>
      </c>
      <c r="J303" s="4">
        <v>9.6999999999999993</v>
      </c>
      <c r="K303" s="4">
        <v>95.74</v>
      </c>
      <c r="L303" s="4">
        <v>1</v>
      </c>
      <c r="M303" s="4">
        <v>81.94</v>
      </c>
      <c r="N303" s="4">
        <v>130.80500000000001</v>
      </c>
      <c r="O303" s="4">
        <v>39.01</v>
      </c>
      <c r="P303" s="4">
        <v>3.8764546470000001</v>
      </c>
      <c r="Q303" s="4">
        <v>36.155999999999999</v>
      </c>
      <c r="R303" t="str" cm="1">
        <f t="array" ref="R303">_xlfn.IFS(B303="NY","New York",B303="TX","Texas",B303="CA","California")</f>
        <v>California</v>
      </c>
    </row>
    <row r="304" spans="1:18" x14ac:dyDescent="0.3">
      <c r="A304" t="s">
        <v>2</v>
      </c>
      <c r="B304" t="s">
        <v>7</v>
      </c>
      <c r="C304" s="2">
        <v>42932</v>
      </c>
      <c r="D304" s="11" t="s">
        <v>90</v>
      </c>
      <c r="E304" s="3">
        <f t="shared" ca="1" si="4"/>
        <v>920613602</v>
      </c>
      <c r="F304" t="s">
        <v>12</v>
      </c>
      <c r="G304" t="s">
        <v>15</v>
      </c>
      <c r="H304" s="1" t="s">
        <v>236</v>
      </c>
      <c r="I304" t="s">
        <v>21</v>
      </c>
      <c r="J304" s="4">
        <v>5.8</v>
      </c>
      <c r="K304" s="4">
        <v>51.95</v>
      </c>
      <c r="L304" s="4">
        <v>1</v>
      </c>
      <c r="M304" s="4">
        <v>28.35</v>
      </c>
      <c r="N304" s="4">
        <v>156.90450000000001</v>
      </c>
      <c r="O304" s="4">
        <v>48.61</v>
      </c>
      <c r="P304" s="4">
        <v>3.8764546470000001</v>
      </c>
      <c r="Q304" s="4">
        <v>94.823999999999998</v>
      </c>
      <c r="R304" t="str" cm="1">
        <f t="array" ref="R304">_xlfn.IFS(B304="NY","New York",B304="TX","Texas",B304="CA","California")</f>
        <v>Texas</v>
      </c>
    </row>
    <row r="305" spans="1:18" x14ac:dyDescent="0.3">
      <c r="A305" t="s">
        <v>1</v>
      </c>
      <c r="B305" t="s">
        <v>6</v>
      </c>
      <c r="C305" s="2">
        <v>43200</v>
      </c>
      <c r="D305" s="11" t="s">
        <v>147</v>
      </c>
      <c r="E305" s="3">
        <f t="shared" ca="1" si="4"/>
        <v>988898837</v>
      </c>
      <c r="F305" t="s">
        <v>11</v>
      </c>
      <c r="G305" t="s">
        <v>15</v>
      </c>
      <c r="H305" s="1" t="s">
        <v>237</v>
      </c>
      <c r="I305" t="s">
        <v>18</v>
      </c>
      <c r="J305" s="4">
        <v>7</v>
      </c>
      <c r="K305" s="4">
        <v>11.3</v>
      </c>
      <c r="L305" s="4">
        <v>4</v>
      </c>
      <c r="M305" s="4">
        <v>69.680000000000007</v>
      </c>
      <c r="N305" s="4">
        <v>138.34719999999999</v>
      </c>
      <c r="O305" s="4">
        <v>204.76</v>
      </c>
      <c r="P305" s="4">
        <v>3.8764546470000001</v>
      </c>
      <c r="Q305" s="4">
        <v>44.984999999999999</v>
      </c>
      <c r="R305" t="str" cm="1">
        <f t="array" ref="R305">_xlfn.IFS(B305="NY","New York",B305="TX","Texas",B305="CA","California")</f>
        <v>New York</v>
      </c>
    </row>
    <row r="306" spans="1:18" x14ac:dyDescent="0.3">
      <c r="A306" t="s">
        <v>3</v>
      </c>
      <c r="B306" t="s">
        <v>8</v>
      </c>
      <c r="C306" s="2">
        <v>42986</v>
      </c>
      <c r="D306" s="11" t="s">
        <v>156</v>
      </c>
      <c r="E306" s="3">
        <f t="shared" ca="1" si="4"/>
        <v>441235045</v>
      </c>
      <c r="F306" t="s">
        <v>11</v>
      </c>
      <c r="G306" t="s">
        <v>15</v>
      </c>
      <c r="H306" s="1" t="s">
        <v>236</v>
      </c>
      <c r="I306" t="s">
        <v>18</v>
      </c>
      <c r="J306" s="4">
        <v>3</v>
      </c>
      <c r="K306" s="4">
        <v>15.83</v>
      </c>
      <c r="L306" s="4">
        <v>8</v>
      </c>
      <c r="M306" s="4">
        <v>40.880000000000003</v>
      </c>
      <c r="N306" s="4">
        <v>126.6285</v>
      </c>
      <c r="O306" s="4">
        <v>119.68</v>
      </c>
      <c r="P306" s="4">
        <v>3.8764546470000001</v>
      </c>
      <c r="Q306" s="4">
        <v>11.24</v>
      </c>
      <c r="R306" t="str" cm="1">
        <f t="array" ref="R306">_xlfn.IFS(B306="NY","New York",B306="TX","Texas",B306="CA","California")</f>
        <v>California</v>
      </c>
    </row>
    <row r="307" spans="1:18" x14ac:dyDescent="0.3">
      <c r="A307" t="s">
        <v>1</v>
      </c>
      <c r="B307" t="s">
        <v>6</v>
      </c>
      <c r="C307" s="2">
        <v>43136</v>
      </c>
      <c r="D307" s="11" t="s">
        <v>193</v>
      </c>
      <c r="E307" s="3">
        <f t="shared" ca="1" si="4"/>
        <v>86730900</v>
      </c>
      <c r="F307" t="s">
        <v>12</v>
      </c>
      <c r="G307" t="s">
        <v>14</v>
      </c>
      <c r="H307" s="1" t="s">
        <v>235</v>
      </c>
      <c r="I307" t="s">
        <v>18</v>
      </c>
      <c r="J307" s="4">
        <v>7</v>
      </c>
      <c r="K307" s="4">
        <v>44.78</v>
      </c>
      <c r="L307" s="4">
        <v>7</v>
      </c>
      <c r="M307" s="4">
        <v>18.350000000000001</v>
      </c>
      <c r="N307" s="4">
        <v>178.1283</v>
      </c>
      <c r="O307" s="4">
        <v>505.4</v>
      </c>
      <c r="P307" s="4">
        <v>3.8764546470000001</v>
      </c>
      <c r="Q307" s="4">
        <v>92.188999999999993</v>
      </c>
      <c r="R307" t="str" cm="1">
        <f t="array" ref="R307">_xlfn.IFS(B307="NY","New York",B307="TX","Texas",B307="CA","California")</f>
        <v>New York</v>
      </c>
    </row>
    <row r="308" spans="1:18" x14ac:dyDescent="0.3">
      <c r="A308" t="s">
        <v>1</v>
      </c>
      <c r="B308" t="s">
        <v>6</v>
      </c>
      <c r="C308" s="2">
        <v>43287</v>
      </c>
      <c r="D308" s="11" t="s">
        <v>92</v>
      </c>
      <c r="E308" s="3">
        <f t="shared" ca="1" si="4"/>
        <v>634014925</v>
      </c>
      <c r="F308" t="s">
        <v>11</v>
      </c>
      <c r="G308" t="s">
        <v>15</v>
      </c>
      <c r="H308" s="1" t="s">
        <v>236</v>
      </c>
      <c r="I308" t="s">
        <v>20</v>
      </c>
      <c r="J308" s="4">
        <v>4</v>
      </c>
      <c r="K308" s="4">
        <v>39.909999999999997</v>
      </c>
      <c r="L308" s="4">
        <v>7</v>
      </c>
      <c r="M308" s="4">
        <v>40.049999999999997</v>
      </c>
      <c r="N308" s="4">
        <v>158.3826</v>
      </c>
      <c r="O308" s="4">
        <v>281.61</v>
      </c>
      <c r="P308" s="4">
        <v>3.8764546470000001</v>
      </c>
      <c r="Q308" s="4">
        <v>89.623000000000005</v>
      </c>
      <c r="R308" t="str" cm="1">
        <f t="array" ref="R308">_xlfn.IFS(B308="NY","New York",B308="TX","Texas",B308="CA","California")</f>
        <v>New York</v>
      </c>
    </row>
    <row r="309" spans="1:18" x14ac:dyDescent="0.3">
      <c r="A309" t="s">
        <v>1</v>
      </c>
      <c r="B309" t="s">
        <v>6</v>
      </c>
      <c r="C309" s="2">
        <v>43313</v>
      </c>
      <c r="D309" s="11" t="s">
        <v>75</v>
      </c>
      <c r="E309" s="3">
        <f t="shared" ca="1" si="4"/>
        <v>938932714</v>
      </c>
      <c r="F309" t="s">
        <v>11</v>
      </c>
      <c r="G309" t="s">
        <v>14</v>
      </c>
      <c r="H309" s="1" t="s">
        <v>236</v>
      </c>
      <c r="I309" t="s">
        <v>19</v>
      </c>
      <c r="J309" s="4">
        <v>1.3</v>
      </c>
      <c r="K309" s="4">
        <v>23.33</v>
      </c>
      <c r="L309" s="4">
        <v>8</v>
      </c>
      <c r="M309" s="4">
        <v>54.8</v>
      </c>
      <c r="N309" s="4">
        <v>134.77529999999999</v>
      </c>
      <c r="O309" s="4">
        <v>710.32</v>
      </c>
      <c r="P309" s="4">
        <v>3.8764546470000001</v>
      </c>
      <c r="Q309" s="4">
        <v>42.347000000000001</v>
      </c>
      <c r="R309" t="str" cm="1">
        <f t="array" ref="R309">_xlfn.IFS(B309="NY","New York",B309="TX","Texas",B309="CA","California")</f>
        <v>New York</v>
      </c>
    </row>
    <row r="310" spans="1:18" x14ac:dyDescent="0.3">
      <c r="A310" t="s">
        <v>1</v>
      </c>
      <c r="B310" t="s">
        <v>6</v>
      </c>
      <c r="C310" s="2">
        <v>43308</v>
      </c>
      <c r="D310" s="11" t="s">
        <v>123</v>
      </c>
      <c r="E310" s="3">
        <f t="shared" ca="1" si="4"/>
        <v>91760563</v>
      </c>
      <c r="F310" t="s">
        <v>11</v>
      </c>
      <c r="G310" t="s">
        <v>14</v>
      </c>
      <c r="H310" s="1" t="s">
        <v>235</v>
      </c>
      <c r="I310" t="s">
        <v>18</v>
      </c>
      <c r="J310" s="4">
        <v>3</v>
      </c>
      <c r="K310" s="4">
        <v>70.73</v>
      </c>
      <c r="L310" s="4">
        <v>3</v>
      </c>
      <c r="M310" s="4">
        <v>94.6</v>
      </c>
      <c r="N310" s="4">
        <v>143.63640000000001</v>
      </c>
      <c r="O310" s="4">
        <v>79.44</v>
      </c>
      <c r="P310" s="4">
        <v>3.8764546470000001</v>
      </c>
      <c r="Q310" s="4">
        <v>44.328000000000003</v>
      </c>
      <c r="R310" t="str" cm="1">
        <f t="array" ref="R310">_xlfn.IFS(B310="NY","New York",B310="TX","Texas",B310="CA","California")</f>
        <v>New York</v>
      </c>
    </row>
    <row r="311" spans="1:18" x14ac:dyDescent="0.3">
      <c r="A311" t="s">
        <v>1</v>
      </c>
      <c r="B311" t="s">
        <v>6</v>
      </c>
      <c r="C311" s="2">
        <v>43178</v>
      </c>
      <c r="D311" s="11" t="s">
        <v>194</v>
      </c>
      <c r="E311" s="3">
        <f t="shared" ca="1" si="4"/>
        <v>792224243</v>
      </c>
      <c r="F311" t="s">
        <v>11</v>
      </c>
      <c r="G311" t="s">
        <v>15</v>
      </c>
      <c r="H311" s="1" t="s">
        <v>236</v>
      </c>
      <c r="I311" t="s">
        <v>22</v>
      </c>
      <c r="J311" s="4">
        <v>3</v>
      </c>
      <c r="K311" s="4">
        <v>18.440000000000001</v>
      </c>
      <c r="L311" s="4">
        <v>2</v>
      </c>
      <c r="M311" s="4">
        <v>33.64</v>
      </c>
      <c r="N311" s="4">
        <v>135.66560000000001</v>
      </c>
      <c r="O311" s="4">
        <v>163.82</v>
      </c>
      <c r="P311" s="4">
        <v>3.8764546470000001</v>
      </c>
      <c r="Q311" s="4">
        <v>39.450000000000003</v>
      </c>
      <c r="R311" t="str" cm="1">
        <f t="array" ref="R311">_xlfn.IFS(B311="NY","New York",B311="TX","Texas",B311="CA","California")</f>
        <v>New York</v>
      </c>
    </row>
    <row r="312" spans="1:18" x14ac:dyDescent="0.3">
      <c r="A312" t="s">
        <v>3</v>
      </c>
      <c r="B312" t="s">
        <v>8</v>
      </c>
      <c r="C312" s="2">
        <v>43161</v>
      </c>
      <c r="D312" s="11" t="s">
        <v>176</v>
      </c>
      <c r="E312" s="3">
        <f t="shared" ca="1" si="4"/>
        <v>645517168</v>
      </c>
      <c r="F312" t="s">
        <v>12</v>
      </c>
      <c r="G312" t="s">
        <v>14</v>
      </c>
      <c r="H312" s="1" t="s">
        <v>236</v>
      </c>
      <c r="I312" t="s">
        <v>20</v>
      </c>
      <c r="J312" s="4">
        <v>4</v>
      </c>
      <c r="K312" s="4">
        <v>92.5</v>
      </c>
      <c r="L312" s="4">
        <v>6</v>
      </c>
      <c r="M312" s="4">
        <v>67.87</v>
      </c>
      <c r="N312" s="4">
        <v>189.35720000000001</v>
      </c>
      <c r="O312" s="4">
        <v>479.58</v>
      </c>
      <c r="P312" s="4">
        <v>3.8764546470000001</v>
      </c>
      <c r="Q312" s="4">
        <v>35.054000000000002</v>
      </c>
      <c r="R312" t="str" cm="1">
        <f t="array" ref="R312">_xlfn.IFS(B312="NY","New York",B312="TX","Texas",B312="CA","California")</f>
        <v>California</v>
      </c>
    </row>
    <row r="313" spans="1:18" x14ac:dyDescent="0.3">
      <c r="A313" t="s">
        <v>2</v>
      </c>
      <c r="B313" t="s">
        <v>7</v>
      </c>
      <c r="C313" s="2">
        <v>43035</v>
      </c>
      <c r="D313" s="11" t="s">
        <v>141</v>
      </c>
      <c r="E313" s="3">
        <f t="shared" ca="1" si="4"/>
        <v>331660107</v>
      </c>
      <c r="F313" t="s">
        <v>12</v>
      </c>
      <c r="G313" t="s">
        <v>14</v>
      </c>
      <c r="H313" s="1" t="s">
        <v>235</v>
      </c>
      <c r="I313" t="s">
        <v>22</v>
      </c>
      <c r="J313" s="4">
        <v>2</v>
      </c>
      <c r="K313" s="4">
        <v>59.05</v>
      </c>
      <c r="L313" s="4">
        <v>2</v>
      </c>
      <c r="M313" s="4">
        <v>74.89</v>
      </c>
      <c r="N313" s="4">
        <v>110.77370000000001</v>
      </c>
      <c r="O313" s="4">
        <v>138.66</v>
      </c>
      <c r="P313" s="4">
        <v>3.8764546470000001</v>
      </c>
      <c r="Q313" s="4">
        <v>42.121000000000002</v>
      </c>
      <c r="R313" t="str" cm="1">
        <f t="array" ref="R313">_xlfn.IFS(B313="NY","New York",B313="TX","Texas",B313="CA","California")</f>
        <v>Texas</v>
      </c>
    </row>
    <row r="314" spans="1:18" x14ac:dyDescent="0.3">
      <c r="A314" t="s">
        <v>1</v>
      </c>
      <c r="B314" t="s">
        <v>6</v>
      </c>
      <c r="C314" s="2">
        <v>43293</v>
      </c>
      <c r="D314" s="11" t="s">
        <v>182</v>
      </c>
      <c r="E314" s="3">
        <f t="shared" ca="1" si="4"/>
        <v>591727862</v>
      </c>
      <c r="F314" t="s">
        <v>11</v>
      </c>
      <c r="G314" t="s">
        <v>14</v>
      </c>
      <c r="H314" s="1" t="s">
        <v>237</v>
      </c>
      <c r="I314" t="s">
        <v>21</v>
      </c>
      <c r="J314" s="4">
        <v>8</v>
      </c>
      <c r="K314" s="4">
        <v>30.92</v>
      </c>
      <c r="L314" s="4">
        <v>5</v>
      </c>
      <c r="M314" s="4">
        <v>77.03</v>
      </c>
      <c r="N314" s="4">
        <v>171.16050000000001</v>
      </c>
      <c r="O314" s="4">
        <v>71.150000000000006</v>
      </c>
      <c r="P314" s="4">
        <v>3.8764546470000001</v>
      </c>
      <c r="Q314" s="4">
        <v>54.725000000000001</v>
      </c>
      <c r="R314" t="str" cm="1">
        <f t="array" ref="R314">_xlfn.IFS(B314="NY","New York",B314="TX","Texas",B314="CA","California")</f>
        <v>New York</v>
      </c>
    </row>
    <row r="315" spans="1:18" x14ac:dyDescent="0.3">
      <c r="A315" t="s">
        <v>1</v>
      </c>
      <c r="B315" t="s">
        <v>6</v>
      </c>
      <c r="C315" s="2">
        <v>42953</v>
      </c>
      <c r="D315" s="11" t="s">
        <v>99</v>
      </c>
      <c r="E315" s="3">
        <f t="shared" ca="1" si="4"/>
        <v>799568642</v>
      </c>
      <c r="F315" t="s">
        <v>11</v>
      </c>
      <c r="G315" t="s">
        <v>14</v>
      </c>
      <c r="H315" s="1" t="s">
        <v>236</v>
      </c>
      <c r="I315" t="s">
        <v>17</v>
      </c>
      <c r="J315" s="4">
        <v>5.6</v>
      </c>
      <c r="K315" s="4">
        <v>82.86</v>
      </c>
      <c r="L315" s="4">
        <v>9</v>
      </c>
      <c r="M315" s="4">
        <v>72.8</v>
      </c>
      <c r="N315" s="4">
        <v>163.1063</v>
      </c>
      <c r="O315" s="4">
        <v>139.94999999999999</v>
      </c>
      <c r="P315" s="4">
        <v>3.8764546470000001</v>
      </c>
      <c r="Q315" s="4">
        <v>94.153999999999996</v>
      </c>
      <c r="R315" t="str" cm="1">
        <f t="array" ref="R315">_xlfn.IFS(B315="NY","New York",B315="TX","Texas",B315="CA","California")</f>
        <v>New York</v>
      </c>
    </row>
    <row r="316" spans="1:18" x14ac:dyDescent="0.3">
      <c r="A316" t="s">
        <v>2</v>
      </c>
      <c r="B316" t="s">
        <v>7</v>
      </c>
      <c r="C316" s="2">
        <v>42799</v>
      </c>
      <c r="D316" s="11" t="s">
        <v>97</v>
      </c>
      <c r="E316" s="3">
        <f t="shared" ca="1" si="4"/>
        <v>300371135</v>
      </c>
      <c r="F316" t="s">
        <v>11</v>
      </c>
      <c r="G316" t="s">
        <v>14</v>
      </c>
      <c r="H316" s="1" t="s">
        <v>236</v>
      </c>
      <c r="I316" t="s">
        <v>18</v>
      </c>
      <c r="J316" s="4">
        <v>2.6</v>
      </c>
      <c r="K316" s="4">
        <v>67.819999999999993</v>
      </c>
      <c r="L316" s="4">
        <v>10</v>
      </c>
      <c r="M316" s="4">
        <v>68.510000000000005</v>
      </c>
      <c r="N316" s="4">
        <v>186.8151</v>
      </c>
      <c r="O316" s="4">
        <v>781.3</v>
      </c>
      <c r="P316" s="4">
        <v>3.8764546470000001</v>
      </c>
      <c r="Q316" s="4">
        <v>31.78</v>
      </c>
      <c r="R316" t="str" cm="1">
        <f t="array" ref="R316">_xlfn.IFS(B316="NY","New York",B316="TX","Texas",B316="CA","California")</f>
        <v>Texas</v>
      </c>
    </row>
    <row r="317" spans="1:18" x14ac:dyDescent="0.3">
      <c r="A317" t="s">
        <v>2</v>
      </c>
      <c r="B317" t="s">
        <v>7</v>
      </c>
      <c r="C317" s="2">
        <v>43087</v>
      </c>
      <c r="D317" s="11" t="s">
        <v>146</v>
      </c>
      <c r="E317" s="3">
        <f t="shared" ca="1" si="4"/>
        <v>314346290</v>
      </c>
      <c r="F317" t="s">
        <v>12</v>
      </c>
      <c r="G317" t="s">
        <v>14</v>
      </c>
      <c r="H317" s="1" t="s">
        <v>236</v>
      </c>
      <c r="I317" t="s">
        <v>21</v>
      </c>
      <c r="J317" s="4">
        <v>9.9</v>
      </c>
      <c r="K317" s="4">
        <v>99.68</v>
      </c>
      <c r="L317" s="4">
        <v>2</v>
      </c>
      <c r="M317" s="4">
        <v>54.54</v>
      </c>
      <c r="N317" s="4">
        <v>171.37629999999999</v>
      </c>
      <c r="O317" s="4">
        <v>198.74</v>
      </c>
      <c r="P317" s="4">
        <v>3.8764546470000001</v>
      </c>
      <c r="Q317" s="4">
        <v>77.58</v>
      </c>
      <c r="R317" t="str" cm="1">
        <f t="array" ref="R317">_xlfn.IFS(B317="NY","New York",B317="TX","Texas",B317="CA","California")</f>
        <v>Texas</v>
      </c>
    </row>
    <row r="318" spans="1:18" x14ac:dyDescent="0.3">
      <c r="A318" t="s">
        <v>2</v>
      </c>
      <c r="B318" t="s">
        <v>7</v>
      </c>
      <c r="C318" s="2">
        <v>43226</v>
      </c>
      <c r="D318" s="11" t="s">
        <v>195</v>
      </c>
      <c r="E318" s="3">
        <f t="shared" ca="1" si="4"/>
        <v>195427864</v>
      </c>
      <c r="F318" t="s">
        <v>11</v>
      </c>
      <c r="G318" t="s">
        <v>14</v>
      </c>
      <c r="H318" s="1" t="s">
        <v>236</v>
      </c>
      <c r="I318" t="s">
        <v>21</v>
      </c>
      <c r="J318" s="4">
        <v>6.5</v>
      </c>
      <c r="K318" s="4">
        <v>88.33</v>
      </c>
      <c r="L318" s="4">
        <v>3</v>
      </c>
      <c r="M318" s="4">
        <v>56</v>
      </c>
      <c r="N318" s="4">
        <v>151.06700000000001</v>
      </c>
      <c r="O318" s="4">
        <v>63.24</v>
      </c>
      <c r="P318" s="4">
        <v>3.8764546470000001</v>
      </c>
      <c r="Q318" s="4">
        <v>10.98</v>
      </c>
      <c r="R318" t="str" cm="1">
        <f t="array" ref="R318">_xlfn.IFS(B318="NY","New York",B318="TX","Texas",B318="CA","California")</f>
        <v>Texas</v>
      </c>
    </row>
    <row r="319" spans="1:18" x14ac:dyDescent="0.3">
      <c r="A319" t="s">
        <v>2</v>
      </c>
      <c r="B319" t="s">
        <v>7</v>
      </c>
      <c r="C319" s="2">
        <v>43372</v>
      </c>
      <c r="D319" s="11" t="s">
        <v>138</v>
      </c>
      <c r="E319" s="3">
        <f t="shared" ca="1" si="4"/>
        <v>894353932</v>
      </c>
      <c r="F319" t="s">
        <v>12</v>
      </c>
      <c r="G319" t="s">
        <v>14</v>
      </c>
      <c r="H319" s="1" t="s">
        <v>236</v>
      </c>
      <c r="I319" t="s">
        <v>18</v>
      </c>
      <c r="J319" s="4">
        <v>8</v>
      </c>
      <c r="K319" s="4">
        <v>55.49</v>
      </c>
      <c r="L319" s="4">
        <v>5</v>
      </c>
      <c r="M319" s="4">
        <v>94.4</v>
      </c>
      <c r="N319" s="4">
        <v>105.31910000000001</v>
      </c>
      <c r="O319" s="4">
        <v>373.95</v>
      </c>
      <c r="P319" s="4">
        <v>3.8764546470000001</v>
      </c>
      <c r="Q319" s="4">
        <v>90</v>
      </c>
      <c r="R319" t="str" cm="1">
        <f t="array" ref="R319">_xlfn.IFS(B319="NY","New York",B319="TX","Texas",B319="CA","California")</f>
        <v>Texas</v>
      </c>
    </row>
    <row r="320" spans="1:18" x14ac:dyDescent="0.3">
      <c r="A320" t="s">
        <v>2</v>
      </c>
      <c r="B320" t="s">
        <v>7</v>
      </c>
      <c r="C320" s="2">
        <v>43047</v>
      </c>
      <c r="D320" s="11" t="s">
        <v>196</v>
      </c>
      <c r="E320" s="3">
        <f t="shared" ca="1" si="4"/>
        <v>674028976</v>
      </c>
      <c r="F320" t="s">
        <v>11</v>
      </c>
      <c r="G320" t="s">
        <v>14</v>
      </c>
      <c r="H320" s="1" t="s">
        <v>237</v>
      </c>
      <c r="I320" t="s">
        <v>17</v>
      </c>
      <c r="J320" s="4">
        <v>8</v>
      </c>
      <c r="K320" s="4">
        <v>31.56</v>
      </c>
      <c r="L320" s="4">
        <v>7</v>
      </c>
      <c r="M320" s="4">
        <v>75.7</v>
      </c>
      <c r="N320" s="4">
        <v>128.27770000000001</v>
      </c>
      <c r="O320" s="4">
        <v>207.69</v>
      </c>
      <c r="P320" s="4">
        <v>3.8764546470000001</v>
      </c>
      <c r="Q320" s="4">
        <v>93.28</v>
      </c>
      <c r="R320" t="str" cm="1">
        <f t="array" ref="R320">_xlfn.IFS(B320="NY","New York",B320="TX","Texas",B320="CA","California")</f>
        <v>Texas</v>
      </c>
    </row>
    <row r="321" spans="1:18" x14ac:dyDescent="0.3">
      <c r="A321" t="s">
        <v>2</v>
      </c>
      <c r="B321" t="s">
        <v>7</v>
      </c>
      <c r="C321" s="2">
        <v>42969</v>
      </c>
      <c r="D321" s="11" t="s">
        <v>142</v>
      </c>
      <c r="E321" s="3">
        <f t="shared" ca="1" si="4"/>
        <v>48095168</v>
      </c>
      <c r="F321" t="s">
        <v>12</v>
      </c>
      <c r="G321" t="s">
        <v>14</v>
      </c>
      <c r="H321" s="1" t="s">
        <v>235</v>
      </c>
      <c r="I321" t="s">
        <v>17</v>
      </c>
      <c r="J321" s="4">
        <v>8</v>
      </c>
      <c r="K321" s="4">
        <v>85.76</v>
      </c>
      <c r="L321" s="4">
        <v>4</v>
      </c>
      <c r="M321" s="4">
        <v>60.38</v>
      </c>
      <c r="N321" s="4">
        <v>146.17169999999999</v>
      </c>
      <c r="O321" s="4">
        <v>176.28</v>
      </c>
      <c r="P321" s="4">
        <v>3.8764546470000001</v>
      </c>
      <c r="Q321" s="4">
        <v>49.93</v>
      </c>
      <c r="R321" t="str" cm="1">
        <f t="array" ref="R321">_xlfn.IFS(B321="NY","New York",B321="TX","Texas",B321="CA","California")</f>
        <v>Texas</v>
      </c>
    </row>
    <row r="322" spans="1:18" x14ac:dyDescent="0.3">
      <c r="A322" t="s">
        <v>2</v>
      </c>
      <c r="B322" t="s">
        <v>7</v>
      </c>
      <c r="C322" s="2">
        <v>43061</v>
      </c>
      <c r="D322" s="11" t="s">
        <v>139</v>
      </c>
      <c r="E322" s="3">
        <f t="shared" ca="1" si="4"/>
        <v>381497955</v>
      </c>
      <c r="F322" t="s">
        <v>11</v>
      </c>
      <c r="G322" t="s">
        <v>15</v>
      </c>
      <c r="H322" s="1" t="s">
        <v>236</v>
      </c>
      <c r="I322" t="s">
        <v>21</v>
      </c>
      <c r="J322" s="4">
        <v>6.6</v>
      </c>
      <c r="K322" s="4">
        <v>82.64</v>
      </c>
      <c r="L322" s="4">
        <v>9</v>
      </c>
      <c r="M322" s="4">
        <v>68.91</v>
      </c>
      <c r="N322" s="4">
        <v>173.71199999999999</v>
      </c>
      <c r="O322" s="4">
        <v>206.37</v>
      </c>
      <c r="P322" s="4">
        <v>3.8764546470000001</v>
      </c>
      <c r="Q322" s="4">
        <v>41.606999999999999</v>
      </c>
      <c r="R322" t="str" cm="1">
        <f t="array" ref="R322">_xlfn.IFS(B322="NY","New York",B322="TX","Texas",B322="CA","California")</f>
        <v>Texas</v>
      </c>
    </row>
    <row r="323" spans="1:18" x14ac:dyDescent="0.3">
      <c r="A323" t="s">
        <v>2</v>
      </c>
      <c r="B323" t="s">
        <v>7</v>
      </c>
      <c r="C323" s="2">
        <v>43417</v>
      </c>
      <c r="D323" s="11" t="s">
        <v>46</v>
      </c>
      <c r="E323" s="3">
        <f t="shared" ref="E323:E386" ca="1" si="5">RANDBETWEEN(10000000,1000000000)</f>
        <v>627167357</v>
      </c>
      <c r="F323" t="s">
        <v>11</v>
      </c>
      <c r="G323" t="s">
        <v>15</v>
      </c>
      <c r="H323" s="1" t="s">
        <v>236</v>
      </c>
      <c r="I323" t="s">
        <v>17</v>
      </c>
      <c r="J323" s="4">
        <v>5.3</v>
      </c>
      <c r="K323" s="4">
        <v>63.7</v>
      </c>
      <c r="L323" s="4">
        <v>1</v>
      </c>
      <c r="M323" s="4">
        <v>50.83</v>
      </c>
      <c r="N323" s="4">
        <v>157.82480000000001</v>
      </c>
      <c r="O323" s="4">
        <v>39.42</v>
      </c>
      <c r="P323" s="4">
        <v>3.8764546470000001</v>
      </c>
      <c r="Q323" s="4">
        <v>67.52</v>
      </c>
      <c r="R323" t="str" cm="1">
        <f t="array" ref="R323">_xlfn.IFS(B323="NY","New York",B323="TX","Texas",B323="CA","California")</f>
        <v>Texas</v>
      </c>
    </row>
    <row r="324" spans="1:18" x14ac:dyDescent="0.3">
      <c r="A324" t="s">
        <v>1</v>
      </c>
      <c r="B324" t="s">
        <v>6</v>
      </c>
      <c r="C324" s="2">
        <v>43109</v>
      </c>
      <c r="D324" s="11" t="s">
        <v>197</v>
      </c>
      <c r="E324" s="3">
        <f t="shared" ca="1" si="5"/>
        <v>39312457</v>
      </c>
      <c r="F324" t="s">
        <v>12</v>
      </c>
      <c r="G324" t="s">
        <v>15</v>
      </c>
      <c r="H324" s="1" t="s">
        <v>235</v>
      </c>
      <c r="I324" t="s">
        <v>17</v>
      </c>
      <c r="J324" s="4">
        <v>1.1000000000000001</v>
      </c>
      <c r="K324" s="4">
        <v>74.73</v>
      </c>
      <c r="L324" s="4">
        <v>6</v>
      </c>
      <c r="M324" s="4">
        <v>18.28</v>
      </c>
      <c r="N324" s="4">
        <v>173.0626</v>
      </c>
      <c r="O324" s="4">
        <v>91.56</v>
      </c>
      <c r="P324" s="4">
        <v>3.8764546470000001</v>
      </c>
      <c r="Q324" s="4">
        <v>10.59</v>
      </c>
      <c r="R324" t="str" cm="1">
        <f t="array" ref="R324">_xlfn.IFS(B324="NY","New York",B324="TX","Texas",B324="CA","California")</f>
        <v>New York</v>
      </c>
    </row>
    <row r="325" spans="1:18" x14ac:dyDescent="0.3">
      <c r="A325" t="s">
        <v>1</v>
      </c>
      <c r="B325" t="s">
        <v>6</v>
      </c>
      <c r="C325" s="2">
        <v>43370</v>
      </c>
      <c r="D325" s="11" t="s">
        <v>189</v>
      </c>
      <c r="E325" s="3">
        <f t="shared" ca="1" si="5"/>
        <v>49337583</v>
      </c>
      <c r="F325" t="s">
        <v>11</v>
      </c>
      <c r="G325" t="s">
        <v>15</v>
      </c>
      <c r="H325" s="1" t="s">
        <v>236</v>
      </c>
      <c r="I325" t="s">
        <v>22</v>
      </c>
      <c r="J325" s="4">
        <v>9.5</v>
      </c>
      <c r="K325" s="4">
        <v>81.239999999999995</v>
      </c>
      <c r="L325" s="4">
        <v>5</v>
      </c>
      <c r="M325" s="4">
        <v>69.88</v>
      </c>
      <c r="N325" s="4">
        <v>184.1746</v>
      </c>
      <c r="O325" s="4">
        <v>308.85000000000002</v>
      </c>
      <c r="P325" s="4">
        <v>3.8764546470000001</v>
      </c>
      <c r="Q325" s="4">
        <v>95.284000000000006</v>
      </c>
      <c r="R325" t="str" cm="1">
        <f t="array" ref="R325">_xlfn.IFS(B325="NY","New York",B325="TX","Texas",B325="CA","California")</f>
        <v>New York</v>
      </c>
    </row>
    <row r="326" spans="1:18" x14ac:dyDescent="0.3">
      <c r="A326" t="s">
        <v>1</v>
      </c>
      <c r="B326" t="s">
        <v>6</v>
      </c>
      <c r="C326" s="2">
        <v>43332</v>
      </c>
      <c r="D326" s="11" t="s">
        <v>49</v>
      </c>
      <c r="E326" s="3">
        <f t="shared" ca="1" si="5"/>
        <v>540952496</v>
      </c>
      <c r="F326" t="s">
        <v>12</v>
      </c>
      <c r="G326" t="s">
        <v>15</v>
      </c>
      <c r="H326" s="1" t="s">
        <v>237</v>
      </c>
      <c r="I326" t="s">
        <v>19</v>
      </c>
      <c r="J326" s="4">
        <v>4.7</v>
      </c>
      <c r="K326" s="4">
        <v>77.180000000000007</v>
      </c>
      <c r="L326" s="4">
        <v>6</v>
      </c>
      <c r="M326" s="4">
        <v>88.38</v>
      </c>
      <c r="N326" s="4">
        <v>182.59280000000001</v>
      </c>
      <c r="O326" s="4">
        <v>129.12</v>
      </c>
      <c r="P326" s="4">
        <v>3.8764546470000001</v>
      </c>
      <c r="Q326" s="4">
        <v>94.855000000000004</v>
      </c>
      <c r="R326" t="str" cm="1">
        <f t="array" ref="R326">_xlfn.IFS(B326="NY","New York",B326="TX","Texas",B326="CA","California")</f>
        <v>New York</v>
      </c>
    </row>
    <row r="327" spans="1:18" x14ac:dyDescent="0.3">
      <c r="A327" t="s">
        <v>3</v>
      </c>
      <c r="B327" t="s">
        <v>8</v>
      </c>
      <c r="C327" s="2">
        <v>42965</v>
      </c>
      <c r="D327" s="11" t="s">
        <v>198</v>
      </c>
      <c r="E327" s="3">
        <f t="shared" ca="1" si="5"/>
        <v>37968348</v>
      </c>
      <c r="F327" t="s">
        <v>12</v>
      </c>
      <c r="G327" t="s">
        <v>15</v>
      </c>
      <c r="H327" s="1" t="s">
        <v>235</v>
      </c>
      <c r="I327" t="s">
        <v>20</v>
      </c>
      <c r="J327" s="4">
        <v>9.5</v>
      </c>
      <c r="K327" s="4">
        <v>55.33</v>
      </c>
      <c r="L327" s="4">
        <v>4</v>
      </c>
      <c r="M327" s="4">
        <v>14.38</v>
      </c>
      <c r="N327" s="4">
        <v>101.3502</v>
      </c>
      <c r="O327" s="4">
        <v>390.96</v>
      </c>
      <c r="P327" s="4">
        <v>3.8764546470000001</v>
      </c>
      <c r="Q327" s="4">
        <v>95.602000000000004</v>
      </c>
      <c r="R327" t="str" cm="1">
        <f t="array" ref="R327">_xlfn.IFS(B327="NY","New York",B327="TX","Texas",B327="CA","California")</f>
        <v>California</v>
      </c>
    </row>
    <row r="328" spans="1:18" x14ac:dyDescent="0.3">
      <c r="A328" t="s">
        <v>1</v>
      </c>
      <c r="B328" t="s">
        <v>6</v>
      </c>
      <c r="C328" s="2">
        <v>43214</v>
      </c>
      <c r="D328" s="11" t="s">
        <v>91</v>
      </c>
      <c r="E328" s="3">
        <f t="shared" ca="1" si="5"/>
        <v>687159080</v>
      </c>
      <c r="F328" t="s">
        <v>12</v>
      </c>
      <c r="G328" t="s">
        <v>14</v>
      </c>
      <c r="H328" s="1" t="s">
        <v>236</v>
      </c>
      <c r="I328" t="s">
        <v>21</v>
      </c>
      <c r="J328" s="4">
        <v>5.7</v>
      </c>
      <c r="K328" s="4">
        <v>20.72</v>
      </c>
      <c r="L328" s="4">
        <v>5</v>
      </c>
      <c r="M328" s="4">
        <v>18.579999999999998</v>
      </c>
      <c r="N328" s="4">
        <v>151.898</v>
      </c>
      <c r="O328" s="4">
        <v>498.9</v>
      </c>
      <c r="P328" s="4">
        <v>3.8764546470000001</v>
      </c>
      <c r="Q328" s="4">
        <v>70.12</v>
      </c>
      <c r="R328" t="str" cm="1">
        <f t="array" ref="R328">_xlfn.IFS(B328="NY","New York",B328="TX","Texas",B328="CA","California")</f>
        <v>New York</v>
      </c>
    </row>
    <row r="329" spans="1:18" x14ac:dyDescent="0.3">
      <c r="A329" t="s">
        <v>2</v>
      </c>
      <c r="B329" t="s">
        <v>7</v>
      </c>
      <c r="C329" s="2">
        <v>43429</v>
      </c>
      <c r="D329" s="11" t="s">
        <v>32</v>
      </c>
      <c r="E329" s="3">
        <f t="shared" ca="1" si="5"/>
        <v>489488131</v>
      </c>
      <c r="F329" t="s">
        <v>12</v>
      </c>
      <c r="G329" t="s">
        <v>14</v>
      </c>
      <c r="H329" s="1" t="s">
        <v>236</v>
      </c>
      <c r="I329" t="s">
        <v>21</v>
      </c>
      <c r="J329" s="4">
        <v>2.2000000000000002</v>
      </c>
      <c r="K329" s="4">
        <v>74.180000000000007</v>
      </c>
      <c r="L329" s="4">
        <v>4</v>
      </c>
      <c r="M329" s="4">
        <v>79.75</v>
      </c>
      <c r="N329" s="4">
        <v>165.0658</v>
      </c>
      <c r="O329" s="4">
        <v>377.04</v>
      </c>
      <c r="P329" s="4">
        <v>3.8764546470000001</v>
      </c>
      <c r="Q329" s="4">
        <v>97.867999999999995</v>
      </c>
      <c r="R329" t="str" cm="1">
        <f t="array" ref="R329">_xlfn.IFS(B329="NY","New York",B329="TX","Texas",B329="CA","California")</f>
        <v>Texas</v>
      </c>
    </row>
    <row r="330" spans="1:18" x14ac:dyDescent="0.3">
      <c r="A330" t="s">
        <v>3</v>
      </c>
      <c r="B330" t="s">
        <v>8</v>
      </c>
      <c r="C330" s="2">
        <v>42896</v>
      </c>
      <c r="D330" s="11" t="s">
        <v>170</v>
      </c>
      <c r="E330" s="3">
        <f t="shared" ca="1" si="5"/>
        <v>175001847</v>
      </c>
      <c r="F330" t="s">
        <v>12</v>
      </c>
      <c r="G330" t="s">
        <v>14</v>
      </c>
      <c r="H330" s="1" t="s">
        <v>237</v>
      </c>
      <c r="I330" t="s">
        <v>17</v>
      </c>
      <c r="J330" s="4">
        <v>2.2999999999999998</v>
      </c>
      <c r="K330" s="4">
        <v>15.9</v>
      </c>
      <c r="L330" s="4">
        <v>4</v>
      </c>
      <c r="M330" s="4">
        <v>72.819999999999993</v>
      </c>
      <c r="N330" s="4">
        <v>150.8382</v>
      </c>
      <c r="O330" s="4">
        <v>204.52</v>
      </c>
      <c r="P330" s="4">
        <v>3.8764546470000001</v>
      </c>
      <c r="Q330" s="4">
        <v>87.198999999999998</v>
      </c>
      <c r="R330" t="str" cm="1">
        <f t="array" ref="R330">_xlfn.IFS(B330="NY","New York",B330="TX","Texas",B330="CA","California")</f>
        <v>California</v>
      </c>
    </row>
    <row r="331" spans="1:18" x14ac:dyDescent="0.3">
      <c r="A331" t="s">
        <v>1</v>
      </c>
      <c r="B331" t="s">
        <v>6</v>
      </c>
      <c r="C331" s="2">
        <v>42816</v>
      </c>
      <c r="D331" s="11" t="s">
        <v>87</v>
      </c>
      <c r="E331" s="3">
        <f t="shared" ca="1" si="5"/>
        <v>316134586</v>
      </c>
      <c r="F331" t="s">
        <v>12</v>
      </c>
      <c r="G331" t="s">
        <v>14</v>
      </c>
      <c r="H331" s="1" t="s">
        <v>236</v>
      </c>
      <c r="I331" t="s">
        <v>18</v>
      </c>
      <c r="J331" s="4">
        <v>6.5</v>
      </c>
      <c r="K331" s="4">
        <v>10.11</v>
      </c>
      <c r="L331" s="4">
        <v>4</v>
      </c>
      <c r="M331" s="4">
        <v>39.630000000000003</v>
      </c>
      <c r="N331" s="4">
        <v>101.1219</v>
      </c>
      <c r="O331" s="4">
        <v>145.44</v>
      </c>
      <c r="P331" s="4">
        <v>3.8764546470000001</v>
      </c>
      <c r="Q331" s="4">
        <v>63.36</v>
      </c>
      <c r="R331" t="str" cm="1">
        <f t="array" ref="R331">_xlfn.IFS(B331="NY","New York",B331="TX","Texas",B331="CA","California")</f>
        <v>New York</v>
      </c>
    </row>
    <row r="332" spans="1:18" x14ac:dyDescent="0.3">
      <c r="A332" t="s">
        <v>3</v>
      </c>
      <c r="B332" t="s">
        <v>8</v>
      </c>
      <c r="C332" s="2">
        <v>43388</v>
      </c>
      <c r="D332" s="11" t="s">
        <v>42</v>
      </c>
      <c r="E332" s="3">
        <f t="shared" ca="1" si="5"/>
        <v>787760195</v>
      </c>
      <c r="F332" t="s">
        <v>12</v>
      </c>
      <c r="G332" t="s">
        <v>15</v>
      </c>
      <c r="H332" s="1" t="s">
        <v>236</v>
      </c>
      <c r="I332" t="s">
        <v>19</v>
      </c>
      <c r="J332" s="4">
        <v>8.8000000000000007</v>
      </c>
      <c r="K332" s="4">
        <v>11.13</v>
      </c>
      <c r="L332" s="4">
        <v>9</v>
      </c>
      <c r="M332" s="4">
        <v>31.52</v>
      </c>
      <c r="N332" s="4">
        <v>131.96809999999999</v>
      </c>
      <c r="O332" s="4">
        <v>198.18</v>
      </c>
      <c r="P332" s="4">
        <v>3.8764546470000001</v>
      </c>
      <c r="Q332" s="4">
        <v>72.02</v>
      </c>
      <c r="R332" t="str" cm="1">
        <f t="array" ref="R332">_xlfn.IFS(B332="NY","New York",B332="TX","Texas",B332="CA","California")</f>
        <v>California</v>
      </c>
    </row>
    <row r="333" spans="1:18" x14ac:dyDescent="0.3">
      <c r="A333" t="s">
        <v>1</v>
      </c>
      <c r="B333" t="s">
        <v>6</v>
      </c>
      <c r="C333" s="2">
        <v>42919</v>
      </c>
      <c r="D333" s="11" t="s">
        <v>178</v>
      </c>
      <c r="E333" s="3">
        <f t="shared" ca="1" si="5"/>
        <v>371349831</v>
      </c>
      <c r="F333" t="s">
        <v>12</v>
      </c>
      <c r="G333" t="s">
        <v>15</v>
      </c>
      <c r="H333" s="1" t="s">
        <v>237</v>
      </c>
      <c r="I333" t="s">
        <v>21</v>
      </c>
      <c r="J333" s="4">
        <v>3</v>
      </c>
      <c r="K333" s="4">
        <v>39.020000000000003</v>
      </c>
      <c r="L333" s="4">
        <v>3</v>
      </c>
      <c r="M333" s="4">
        <v>31.49</v>
      </c>
      <c r="N333" s="4">
        <v>128.58590000000001</v>
      </c>
      <c r="O333" s="4">
        <v>98.7</v>
      </c>
      <c r="P333" s="4">
        <v>3.8764546470000001</v>
      </c>
      <c r="Q333" s="4">
        <v>25.672999999999998</v>
      </c>
      <c r="R333" t="str" cm="1">
        <f t="array" ref="R333">_xlfn.IFS(B333="NY","New York",B333="TX","Texas",B333="CA","California")</f>
        <v>New York</v>
      </c>
    </row>
    <row r="334" spans="1:18" x14ac:dyDescent="0.3">
      <c r="A334" t="s">
        <v>1</v>
      </c>
      <c r="B334" t="s">
        <v>6</v>
      </c>
      <c r="C334" s="2">
        <v>43139</v>
      </c>
      <c r="D334" s="11" t="s">
        <v>30</v>
      </c>
      <c r="E334" s="3">
        <f t="shared" ca="1" si="5"/>
        <v>741688002</v>
      </c>
      <c r="F334" t="s">
        <v>12</v>
      </c>
      <c r="G334" t="s">
        <v>15</v>
      </c>
      <c r="H334" s="1" t="s">
        <v>236</v>
      </c>
      <c r="I334" t="s">
        <v>22</v>
      </c>
      <c r="J334" s="4">
        <v>9.9</v>
      </c>
      <c r="K334" s="4">
        <v>10.72</v>
      </c>
      <c r="L334" s="4">
        <v>5</v>
      </c>
      <c r="M334" s="4">
        <v>29.89</v>
      </c>
      <c r="N334" s="4">
        <v>145.68969999999999</v>
      </c>
      <c r="O334" s="4">
        <v>385.1</v>
      </c>
      <c r="P334" s="4">
        <v>3.8764546470000001</v>
      </c>
      <c r="Q334" s="4">
        <v>49.674999999999997</v>
      </c>
      <c r="R334" t="str" cm="1">
        <f t="array" ref="R334">_xlfn.IFS(B334="NY","New York",B334="TX","Texas",B334="CA","California")</f>
        <v>New York</v>
      </c>
    </row>
    <row r="335" spans="1:18" x14ac:dyDescent="0.3">
      <c r="A335" t="s">
        <v>1</v>
      </c>
      <c r="B335" t="s">
        <v>6</v>
      </c>
      <c r="C335" s="2">
        <v>43028</v>
      </c>
      <c r="D335" s="11" t="s">
        <v>105</v>
      </c>
      <c r="E335" s="3">
        <f t="shared" ca="1" si="5"/>
        <v>210179375</v>
      </c>
      <c r="F335" t="s">
        <v>12</v>
      </c>
      <c r="G335" t="s">
        <v>14</v>
      </c>
      <c r="H335" s="1" t="s">
        <v>237</v>
      </c>
      <c r="I335" t="s">
        <v>21</v>
      </c>
      <c r="J335" s="4">
        <v>2.9</v>
      </c>
      <c r="K335" s="4">
        <v>68.540000000000006</v>
      </c>
      <c r="L335" s="4">
        <v>2</v>
      </c>
      <c r="M335" s="4">
        <v>14.43</v>
      </c>
      <c r="N335" s="4">
        <v>131.63310000000001</v>
      </c>
      <c r="O335" s="4">
        <v>46.96</v>
      </c>
      <c r="P335" s="4">
        <v>3.8764546470000001</v>
      </c>
      <c r="Q335" s="4">
        <v>86.097999999999999</v>
      </c>
      <c r="R335" t="str" cm="1">
        <f t="array" ref="R335">_xlfn.IFS(B335="NY","New York",B335="TX","Texas",B335="CA","California")</f>
        <v>New York</v>
      </c>
    </row>
    <row r="336" spans="1:18" x14ac:dyDescent="0.3">
      <c r="A336" t="s">
        <v>2</v>
      </c>
      <c r="B336" t="s">
        <v>7</v>
      </c>
      <c r="C336" s="2">
        <v>43422</v>
      </c>
      <c r="D336" s="11" t="s">
        <v>57</v>
      </c>
      <c r="E336" s="3">
        <f t="shared" ca="1" si="5"/>
        <v>583350764</v>
      </c>
      <c r="F336" t="s">
        <v>12</v>
      </c>
      <c r="G336" t="s">
        <v>14</v>
      </c>
      <c r="H336" s="1" t="s">
        <v>235</v>
      </c>
      <c r="I336" t="s">
        <v>20</v>
      </c>
      <c r="J336" s="4">
        <v>1.4</v>
      </c>
      <c r="K336" s="4">
        <v>55.96</v>
      </c>
      <c r="L336" s="4">
        <v>5</v>
      </c>
      <c r="M336" s="4">
        <v>37.1</v>
      </c>
      <c r="N336" s="4">
        <v>146.47669999999999</v>
      </c>
      <c r="O336" s="4">
        <v>73.5</v>
      </c>
      <c r="P336" s="4">
        <v>3.8764546470000001</v>
      </c>
      <c r="Q336" s="4">
        <v>93.552999999999997</v>
      </c>
      <c r="R336" t="str" cm="1">
        <f t="array" ref="R336">_xlfn.IFS(B336="NY","New York",B336="TX","Texas",B336="CA","California")</f>
        <v>Texas</v>
      </c>
    </row>
    <row r="337" spans="1:18" x14ac:dyDescent="0.3">
      <c r="A337" t="s">
        <v>1</v>
      </c>
      <c r="B337" t="s">
        <v>6</v>
      </c>
      <c r="C337" s="2">
        <v>43087</v>
      </c>
      <c r="D337" s="11" t="s">
        <v>56</v>
      </c>
      <c r="E337" s="3">
        <f t="shared" ca="1" si="5"/>
        <v>92967142</v>
      </c>
      <c r="F337" t="s">
        <v>11</v>
      </c>
      <c r="G337" t="s">
        <v>14</v>
      </c>
      <c r="H337" s="1" t="s">
        <v>237</v>
      </c>
      <c r="I337" t="s">
        <v>18</v>
      </c>
      <c r="J337" s="4">
        <v>2.9</v>
      </c>
      <c r="K337" s="4">
        <v>51.06</v>
      </c>
      <c r="L337" s="4">
        <v>5</v>
      </c>
      <c r="M337" s="4">
        <v>35.99</v>
      </c>
      <c r="N337" s="4">
        <v>133.7724</v>
      </c>
      <c r="O337" s="4">
        <v>142.25</v>
      </c>
      <c r="P337" s="4">
        <v>3.8764546470000001</v>
      </c>
      <c r="Q337" s="4">
        <v>22.513999999999999</v>
      </c>
      <c r="R337" t="str" cm="1">
        <f t="array" ref="R337">_xlfn.IFS(B337="NY","New York",B337="TX","Texas",B337="CA","California")</f>
        <v>New York</v>
      </c>
    </row>
    <row r="338" spans="1:18" x14ac:dyDescent="0.3">
      <c r="A338" t="s">
        <v>1</v>
      </c>
      <c r="B338" t="s">
        <v>6</v>
      </c>
      <c r="C338" s="2">
        <v>43124</v>
      </c>
      <c r="D338" s="11" t="s">
        <v>174</v>
      </c>
      <c r="E338" s="3">
        <f t="shared" ca="1" si="5"/>
        <v>139843046</v>
      </c>
      <c r="F338" t="s">
        <v>12</v>
      </c>
      <c r="G338" t="s">
        <v>15</v>
      </c>
      <c r="H338" s="1" t="s">
        <v>235</v>
      </c>
      <c r="I338" t="s">
        <v>22</v>
      </c>
      <c r="J338" s="4">
        <v>4.3</v>
      </c>
      <c r="K338" s="4">
        <v>75.540000000000006</v>
      </c>
      <c r="L338" s="4">
        <v>9</v>
      </c>
      <c r="M338" s="4">
        <v>51.22</v>
      </c>
      <c r="N338" s="4">
        <v>123.3747</v>
      </c>
      <c r="O338" s="4">
        <v>687.6</v>
      </c>
      <c r="P338" s="4">
        <v>3.8764546470000001</v>
      </c>
      <c r="Q338" s="4">
        <v>46.701000000000001</v>
      </c>
      <c r="R338" t="str" cm="1">
        <f t="array" ref="R338">_xlfn.IFS(B338="NY","New York",B338="TX","Texas",B338="CA","California")</f>
        <v>New York</v>
      </c>
    </row>
    <row r="339" spans="1:18" x14ac:dyDescent="0.3">
      <c r="A339" t="s">
        <v>3</v>
      </c>
      <c r="B339" t="s">
        <v>8</v>
      </c>
      <c r="C339" s="2">
        <v>42897</v>
      </c>
      <c r="D339" s="11" t="s">
        <v>199</v>
      </c>
      <c r="E339" s="3">
        <f t="shared" ca="1" si="5"/>
        <v>747495537</v>
      </c>
      <c r="F339" t="s">
        <v>11</v>
      </c>
      <c r="G339" t="s">
        <v>15</v>
      </c>
      <c r="H339" s="1" t="s">
        <v>236</v>
      </c>
      <c r="I339" t="s">
        <v>20</v>
      </c>
      <c r="J339" s="4">
        <v>2.1</v>
      </c>
      <c r="K339" s="4">
        <v>84.19</v>
      </c>
      <c r="L339" s="4">
        <v>6</v>
      </c>
      <c r="M339" s="4">
        <v>68.28</v>
      </c>
      <c r="N339" s="4">
        <v>182.43350000000001</v>
      </c>
      <c r="O339" s="4">
        <v>347.7</v>
      </c>
      <c r="P339" s="4">
        <v>3.8764546470000001</v>
      </c>
      <c r="Q339" s="4">
        <v>76.692999999999998</v>
      </c>
      <c r="R339" t="str" cm="1">
        <f t="array" ref="R339">_xlfn.IFS(B339="NY","New York",B339="TX","Texas",B339="CA","California")</f>
        <v>California</v>
      </c>
    </row>
    <row r="340" spans="1:18" x14ac:dyDescent="0.3">
      <c r="A340" t="s">
        <v>2</v>
      </c>
      <c r="B340" t="s">
        <v>7</v>
      </c>
      <c r="C340" s="2">
        <v>43066</v>
      </c>
      <c r="D340" s="11" t="s">
        <v>172</v>
      </c>
      <c r="E340" s="3">
        <f t="shared" ca="1" si="5"/>
        <v>852704023</v>
      </c>
      <c r="F340" t="s">
        <v>11</v>
      </c>
      <c r="G340" t="s">
        <v>15</v>
      </c>
      <c r="H340" s="1" t="s">
        <v>237</v>
      </c>
      <c r="I340" t="s">
        <v>18</v>
      </c>
      <c r="J340" s="4">
        <v>1.3</v>
      </c>
      <c r="K340" s="4">
        <v>90.02</v>
      </c>
      <c r="L340" s="4">
        <v>3</v>
      </c>
      <c r="M340" s="4">
        <v>23.73</v>
      </c>
      <c r="N340" s="4">
        <v>115.66630000000001</v>
      </c>
      <c r="O340" s="4">
        <v>142.94999999999999</v>
      </c>
      <c r="P340" s="4">
        <v>3.8764546470000001</v>
      </c>
      <c r="Q340" s="4">
        <v>60.997</v>
      </c>
      <c r="R340" t="str" cm="1">
        <f t="array" ref="R340">_xlfn.IFS(B340="NY","New York",B340="TX","Texas",B340="CA","California")</f>
        <v>Texas</v>
      </c>
    </row>
    <row r="341" spans="1:18" x14ac:dyDescent="0.3">
      <c r="A341" t="s">
        <v>3</v>
      </c>
      <c r="B341" t="s">
        <v>8</v>
      </c>
      <c r="C341" s="2">
        <v>43463</v>
      </c>
      <c r="D341" s="11" t="s">
        <v>116</v>
      </c>
      <c r="E341" s="3">
        <f t="shared" ca="1" si="5"/>
        <v>583712320</v>
      </c>
      <c r="F341" t="s">
        <v>11</v>
      </c>
      <c r="G341" t="s">
        <v>14</v>
      </c>
      <c r="H341" s="1" t="s">
        <v>237</v>
      </c>
      <c r="I341" t="s">
        <v>21</v>
      </c>
      <c r="J341" s="4">
        <v>6.3</v>
      </c>
      <c r="K341" s="4">
        <v>74.8</v>
      </c>
      <c r="L341" s="4">
        <v>9</v>
      </c>
      <c r="M341" s="4">
        <v>15.67</v>
      </c>
      <c r="N341" s="4">
        <v>104.03530000000001</v>
      </c>
      <c r="O341" s="4">
        <v>385.38</v>
      </c>
      <c r="P341" s="4">
        <v>3.8764546470000001</v>
      </c>
      <c r="Q341" s="4">
        <v>30.414999999999999</v>
      </c>
      <c r="R341" t="str" cm="1">
        <f t="array" ref="R341">_xlfn.IFS(B341="NY","New York",B341="TX","Texas",B341="CA","California")</f>
        <v>California</v>
      </c>
    </row>
    <row r="342" spans="1:18" x14ac:dyDescent="0.3">
      <c r="A342" t="s">
        <v>3</v>
      </c>
      <c r="B342" t="s">
        <v>8</v>
      </c>
      <c r="C342" s="2">
        <v>43388</v>
      </c>
      <c r="D342" s="11" t="s">
        <v>200</v>
      </c>
      <c r="E342" s="3">
        <f t="shared" ca="1" si="5"/>
        <v>659223950</v>
      </c>
      <c r="F342" t="s">
        <v>12</v>
      </c>
      <c r="G342" t="s">
        <v>14</v>
      </c>
      <c r="H342" s="1" t="s">
        <v>237</v>
      </c>
      <c r="I342" t="s">
        <v>18</v>
      </c>
      <c r="J342" s="4">
        <v>8.9</v>
      </c>
      <c r="K342" s="4">
        <v>17.78</v>
      </c>
      <c r="L342" s="4">
        <v>3</v>
      </c>
      <c r="M342" s="4">
        <v>43.13</v>
      </c>
      <c r="N342" s="4">
        <v>130.98929999999999</v>
      </c>
      <c r="O342" s="4">
        <v>144.27000000000001</v>
      </c>
      <c r="P342" s="4">
        <v>3.8764546470000001</v>
      </c>
      <c r="Q342" s="4">
        <v>46.518000000000001</v>
      </c>
      <c r="R342" t="str" cm="1">
        <f t="array" ref="R342">_xlfn.IFS(B342="NY","New York",B342="TX","Texas",B342="CA","California")</f>
        <v>California</v>
      </c>
    </row>
    <row r="343" spans="1:18" x14ac:dyDescent="0.3">
      <c r="A343" t="s">
        <v>3</v>
      </c>
      <c r="B343" t="s">
        <v>8</v>
      </c>
      <c r="C343" s="2">
        <v>43026</v>
      </c>
      <c r="D343" s="11" t="s">
        <v>173</v>
      </c>
      <c r="E343" s="3">
        <f t="shared" ca="1" si="5"/>
        <v>134026792</v>
      </c>
      <c r="F343" t="s">
        <v>11</v>
      </c>
      <c r="G343" t="s">
        <v>14</v>
      </c>
      <c r="H343" s="1" t="s">
        <v>235</v>
      </c>
      <c r="I343" t="s">
        <v>17</v>
      </c>
      <c r="J343" s="4">
        <v>7</v>
      </c>
      <c r="K343" s="4">
        <v>94.33</v>
      </c>
      <c r="L343" s="4">
        <v>7</v>
      </c>
      <c r="M343" s="4">
        <v>16.46</v>
      </c>
      <c r="N343" s="4">
        <v>135.40350000000001</v>
      </c>
      <c r="O343" s="4">
        <v>391.79</v>
      </c>
      <c r="P343" s="4">
        <v>3.8764546470000001</v>
      </c>
      <c r="Q343" s="4">
        <v>93.26</v>
      </c>
      <c r="R343" t="str" cm="1">
        <f t="array" ref="R343">_xlfn.IFS(B343="NY","New York",B343="TX","Texas",B343="CA","California")</f>
        <v>California</v>
      </c>
    </row>
    <row r="344" spans="1:18" x14ac:dyDescent="0.3">
      <c r="A344" t="s">
        <v>3</v>
      </c>
      <c r="B344" t="s">
        <v>8</v>
      </c>
      <c r="C344" s="2">
        <v>43319</v>
      </c>
      <c r="D344" s="11" t="s">
        <v>44</v>
      </c>
      <c r="E344" s="3">
        <f t="shared" ca="1" si="5"/>
        <v>435868619</v>
      </c>
      <c r="F344" t="s">
        <v>11</v>
      </c>
      <c r="G344" t="s">
        <v>14</v>
      </c>
      <c r="H344" s="1" t="s">
        <v>236</v>
      </c>
      <c r="I344" t="s">
        <v>17</v>
      </c>
      <c r="J344" s="4">
        <v>1.1000000000000001</v>
      </c>
      <c r="K344" s="4">
        <v>90.53</v>
      </c>
      <c r="L344" s="4">
        <v>7</v>
      </c>
      <c r="M344" s="4">
        <v>92.5</v>
      </c>
      <c r="N344" s="4">
        <v>182.66630000000001</v>
      </c>
      <c r="O344" s="4">
        <v>538.29999999999995</v>
      </c>
      <c r="P344" s="4">
        <v>3.8764546470000001</v>
      </c>
      <c r="Q344" s="4">
        <v>31.08</v>
      </c>
      <c r="R344" t="str" cm="1">
        <f t="array" ref="R344">_xlfn.IFS(B344="NY","New York",B344="TX","Texas",B344="CA","California")</f>
        <v>California</v>
      </c>
    </row>
    <row r="345" spans="1:18" x14ac:dyDescent="0.3">
      <c r="A345" t="s">
        <v>2</v>
      </c>
      <c r="B345" t="s">
        <v>7</v>
      </c>
      <c r="C345" s="2">
        <v>42829</v>
      </c>
      <c r="D345" s="11" t="s">
        <v>161</v>
      </c>
      <c r="E345" s="3">
        <f t="shared" ca="1" si="5"/>
        <v>607035895</v>
      </c>
      <c r="F345" t="s">
        <v>11</v>
      </c>
      <c r="G345" t="s">
        <v>15</v>
      </c>
      <c r="H345" s="1" t="s">
        <v>235</v>
      </c>
      <c r="I345" t="s">
        <v>21</v>
      </c>
      <c r="J345" s="4">
        <v>4.2</v>
      </c>
      <c r="K345" s="4">
        <v>29.43</v>
      </c>
      <c r="L345" s="4">
        <v>5</v>
      </c>
      <c r="M345" s="4">
        <v>25.04</v>
      </c>
      <c r="N345" s="4">
        <v>172.98869999999999</v>
      </c>
      <c r="O345" s="4">
        <v>485.15</v>
      </c>
      <c r="P345" s="4">
        <v>3.8764546470000001</v>
      </c>
      <c r="Q345" s="4">
        <v>75.272000000000006</v>
      </c>
      <c r="R345" t="str" cm="1">
        <f t="array" ref="R345">_xlfn.IFS(B345="NY","New York",B345="TX","Texas",B345="CA","California")</f>
        <v>Texas</v>
      </c>
    </row>
    <row r="346" spans="1:18" x14ac:dyDescent="0.3">
      <c r="A346" t="s">
        <v>1</v>
      </c>
      <c r="B346" t="s">
        <v>6</v>
      </c>
      <c r="C346" s="2">
        <v>43183</v>
      </c>
      <c r="D346" s="11" t="s">
        <v>41</v>
      </c>
      <c r="E346" s="3">
        <f t="shared" ca="1" si="5"/>
        <v>665019010</v>
      </c>
      <c r="F346" t="s">
        <v>12</v>
      </c>
      <c r="G346" t="s">
        <v>15</v>
      </c>
      <c r="H346" s="1" t="s">
        <v>236</v>
      </c>
      <c r="I346" t="s">
        <v>20</v>
      </c>
      <c r="J346" s="4">
        <v>7.5</v>
      </c>
      <c r="K346" s="4">
        <v>87.18</v>
      </c>
      <c r="L346" s="4">
        <v>3</v>
      </c>
      <c r="M346" s="4">
        <v>97.66</v>
      </c>
      <c r="N346" s="4">
        <v>136.11750000000001</v>
      </c>
      <c r="O346" s="4">
        <v>133.94999999999999</v>
      </c>
      <c r="P346" s="4">
        <v>3.8764546470000001</v>
      </c>
      <c r="Q346" s="4">
        <v>29.131</v>
      </c>
      <c r="R346" t="str" cm="1">
        <f t="array" ref="R346">_xlfn.IFS(B346="NY","New York",B346="TX","Texas",B346="CA","California")</f>
        <v>New York</v>
      </c>
    </row>
    <row r="347" spans="1:18" x14ac:dyDescent="0.3">
      <c r="A347" t="s">
        <v>1</v>
      </c>
      <c r="B347" t="s">
        <v>6</v>
      </c>
      <c r="C347" s="2">
        <v>42962</v>
      </c>
      <c r="D347" s="11" t="s">
        <v>201</v>
      </c>
      <c r="E347" s="3">
        <f t="shared" ca="1" si="5"/>
        <v>334476162</v>
      </c>
      <c r="F347" t="s">
        <v>11</v>
      </c>
      <c r="G347" t="s">
        <v>15</v>
      </c>
      <c r="H347" s="1" t="s">
        <v>235</v>
      </c>
      <c r="I347" t="s">
        <v>22</v>
      </c>
      <c r="J347" s="4">
        <v>7.1</v>
      </c>
      <c r="K347" s="4">
        <v>21.97</v>
      </c>
      <c r="L347" s="4">
        <v>9</v>
      </c>
      <c r="M347" s="4">
        <v>34.64</v>
      </c>
      <c r="N347" s="4">
        <v>157.45679999999999</v>
      </c>
      <c r="O347" s="4">
        <v>701.37</v>
      </c>
      <c r="P347" s="4">
        <v>3.8764546470000001</v>
      </c>
      <c r="Q347" s="4">
        <v>36.74</v>
      </c>
      <c r="R347" t="str" cm="1">
        <f t="array" ref="R347">_xlfn.IFS(B347="NY","New York",B347="TX","Texas",B347="CA","California")</f>
        <v>New York</v>
      </c>
    </row>
    <row r="348" spans="1:18" x14ac:dyDescent="0.3">
      <c r="A348" t="s">
        <v>1</v>
      </c>
      <c r="B348" t="s">
        <v>6</v>
      </c>
      <c r="C348" s="2">
        <v>43067</v>
      </c>
      <c r="D348" s="11" t="s">
        <v>52</v>
      </c>
      <c r="E348" s="3">
        <f t="shared" ca="1" si="5"/>
        <v>194946954</v>
      </c>
      <c r="F348" t="s">
        <v>12</v>
      </c>
      <c r="G348" t="s">
        <v>14</v>
      </c>
      <c r="H348" s="1" t="s">
        <v>236</v>
      </c>
      <c r="I348" t="s">
        <v>18</v>
      </c>
      <c r="J348" s="4">
        <v>9.9</v>
      </c>
      <c r="K348" s="4">
        <v>37.56</v>
      </c>
      <c r="L348" s="4">
        <v>1</v>
      </c>
      <c r="M348" s="4">
        <v>91.45</v>
      </c>
      <c r="N348" s="4">
        <v>176.01929999999999</v>
      </c>
      <c r="O348" s="4">
        <v>71.95</v>
      </c>
      <c r="P348" s="4">
        <v>3.8764546470000001</v>
      </c>
      <c r="Q348" s="4">
        <v>78.424999999999997</v>
      </c>
      <c r="R348" t="str" cm="1">
        <f t="array" ref="R348">_xlfn.IFS(B348="NY","New York",B348="TX","Texas",B348="CA","California")</f>
        <v>New York</v>
      </c>
    </row>
    <row r="349" spans="1:18" x14ac:dyDescent="0.3">
      <c r="A349" t="s">
        <v>2</v>
      </c>
      <c r="B349" t="s">
        <v>7</v>
      </c>
      <c r="C349" s="2">
        <v>42954</v>
      </c>
      <c r="D349" s="11" t="s">
        <v>136</v>
      </c>
      <c r="E349" s="3">
        <f t="shared" ca="1" si="5"/>
        <v>410802440</v>
      </c>
      <c r="F349" t="s">
        <v>11</v>
      </c>
      <c r="G349" t="s">
        <v>14</v>
      </c>
      <c r="H349" s="1" t="s">
        <v>236</v>
      </c>
      <c r="I349" t="s">
        <v>19</v>
      </c>
      <c r="J349" s="4">
        <v>2.1</v>
      </c>
      <c r="K349" s="4">
        <v>11.35</v>
      </c>
      <c r="L349" s="4">
        <v>8</v>
      </c>
      <c r="M349" s="4">
        <v>22.14</v>
      </c>
      <c r="N349" s="4">
        <v>108.6001</v>
      </c>
      <c r="O349" s="4">
        <v>714</v>
      </c>
      <c r="P349" s="4">
        <v>3.8764546470000001</v>
      </c>
      <c r="Q349" s="4">
        <v>97.668999999999997</v>
      </c>
      <c r="R349" t="str" cm="1">
        <f t="array" ref="R349">_xlfn.IFS(B349="NY","New York",B349="TX","Texas",B349="CA","California")</f>
        <v>Texas</v>
      </c>
    </row>
    <row r="350" spans="1:18" x14ac:dyDescent="0.3">
      <c r="A350" t="s">
        <v>1</v>
      </c>
      <c r="B350" t="s">
        <v>6</v>
      </c>
      <c r="C350" s="2">
        <v>43310</v>
      </c>
      <c r="D350" s="11" t="s">
        <v>101</v>
      </c>
      <c r="E350" s="3">
        <f t="shared" ca="1" si="5"/>
        <v>22265734</v>
      </c>
      <c r="F350" t="s">
        <v>12</v>
      </c>
      <c r="G350" t="s">
        <v>15</v>
      </c>
      <c r="H350" s="1" t="s">
        <v>236</v>
      </c>
      <c r="I350" t="s">
        <v>18</v>
      </c>
      <c r="J350" s="4">
        <v>7.1</v>
      </c>
      <c r="K350" s="4">
        <v>45.41</v>
      </c>
      <c r="L350" s="4">
        <v>7</v>
      </c>
      <c r="M350" s="4">
        <v>53.23</v>
      </c>
      <c r="N350" s="4">
        <v>136.02510000000001</v>
      </c>
      <c r="O350" s="4">
        <v>182.14</v>
      </c>
      <c r="P350" s="4">
        <v>3.8764546470000001</v>
      </c>
      <c r="Q350" s="4">
        <v>61.463999999999999</v>
      </c>
      <c r="R350" t="str" cm="1">
        <f t="array" ref="R350">_xlfn.IFS(B350="NY","New York",B350="TX","Texas",B350="CA","California")</f>
        <v>New York</v>
      </c>
    </row>
    <row r="351" spans="1:18" x14ac:dyDescent="0.3">
      <c r="A351" t="s">
        <v>3</v>
      </c>
      <c r="B351" t="s">
        <v>8</v>
      </c>
      <c r="C351" s="2">
        <v>42871</v>
      </c>
      <c r="D351" s="11" t="s">
        <v>202</v>
      </c>
      <c r="E351" s="3">
        <f t="shared" ca="1" si="5"/>
        <v>447692965</v>
      </c>
      <c r="F351" t="s">
        <v>11</v>
      </c>
      <c r="G351" t="s">
        <v>15</v>
      </c>
      <c r="H351" s="1" t="s">
        <v>237</v>
      </c>
      <c r="I351" t="s">
        <v>17</v>
      </c>
      <c r="J351" s="4">
        <v>6</v>
      </c>
      <c r="K351" s="4">
        <v>13.36</v>
      </c>
      <c r="L351" s="4">
        <v>10</v>
      </c>
      <c r="M351" s="4">
        <v>49.51</v>
      </c>
      <c r="N351" s="4">
        <v>121.7974</v>
      </c>
      <c r="O351" s="4">
        <v>135</v>
      </c>
      <c r="P351" s="4">
        <v>3.8764546470000001</v>
      </c>
      <c r="Q351" s="4">
        <v>34.381</v>
      </c>
      <c r="R351" t="str" cm="1">
        <f t="array" ref="R351">_xlfn.IFS(B351="NY","New York",B351="TX","Texas",B351="CA","California")</f>
        <v>California</v>
      </c>
    </row>
    <row r="352" spans="1:18" x14ac:dyDescent="0.3">
      <c r="A352" t="s">
        <v>2</v>
      </c>
      <c r="B352" t="s">
        <v>7</v>
      </c>
      <c r="C352" s="2">
        <v>42817</v>
      </c>
      <c r="D352" s="11" t="s">
        <v>74</v>
      </c>
      <c r="E352" s="3">
        <f t="shared" ca="1" si="5"/>
        <v>717689600</v>
      </c>
      <c r="F352" t="s">
        <v>11</v>
      </c>
      <c r="G352" t="s">
        <v>14</v>
      </c>
      <c r="H352" s="1" t="s">
        <v>237</v>
      </c>
      <c r="I352" t="s">
        <v>22</v>
      </c>
      <c r="J352" s="4">
        <v>9.5</v>
      </c>
      <c r="K352" s="4">
        <v>67.95</v>
      </c>
      <c r="L352" s="4">
        <v>10</v>
      </c>
      <c r="M352" s="4">
        <v>64.19</v>
      </c>
      <c r="N352" s="4">
        <v>150.1344</v>
      </c>
      <c r="O352" s="4">
        <v>993</v>
      </c>
      <c r="P352" s="4">
        <v>3.8764546470000001</v>
      </c>
      <c r="Q352" s="4">
        <v>93.251999999999995</v>
      </c>
      <c r="R352" t="str" cm="1">
        <f t="array" ref="R352">_xlfn.IFS(B352="NY","New York",B352="TX","Texas",B352="CA","California")</f>
        <v>Texas</v>
      </c>
    </row>
    <row r="353" spans="1:18" x14ac:dyDescent="0.3">
      <c r="A353" t="s">
        <v>1</v>
      </c>
      <c r="B353" t="s">
        <v>6</v>
      </c>
      <c r="C353" s="2">
        <v>43117</v>
      </c>
      <c r="D353" s="11" t="s">
        <v>179</v>
      </c>
      <c r="E353" s="3">
        <f t="shared" ca="1" si="5"/>
        <v>755492739</v>
      </c>
      <c r="F353" t="s">
        <v>12</v>
      </c>
      <c r="G353" t="s">
        <v>15</v>
      </c>
      <c r="H353" s="1" t="s">
        <v>236</v>
      </c>
      <c r="I353" t="s">
        <v>18</v>
      </c>
      <c r="J353" s="4">
        <v>1.4</v>
      </c>
      <c r="K353" s="4">
        <v>91.19</v>
      </c>
      <c r="L353" s="4">
        <v>7</v>
      </c>
      <c r="M353" s="4">
        <v>52.7</v>
      </c>
      <c r="N353" s="4">
        <v>137.13759999999999</v>
      </c>
      <c r="O353" s="4">
        <v>361.83</v>
      </c>
      <c r="P353" s="4">
        <v>3.8764546470000001</v>
      </c>
      <c r="Q353" s="4">
        <v>58.67</v>
      </c>
      <c r="R353" t="str" cm="1">
        <f t="array" ref="R353">_xlfn.IFS(B353="NY","New York",B353="TX","Texas",B353="CA","California")</f>
        <v>New York</v>
      </c>
    </row>
    <row r="354" spans="1:18" x14ac:dyDescent="0.3">
      <c r="A354" t="s">
        <v>3</v>
      </c>
      <c r="B354" t="s">
        <v>8</v>
      </c>
      <c r="C354" s="2">
        <v>42810</v>
      </c>
      <c r="D354" s="11" t="s">
        <v>145</v>
      </c>
      <c r="E354" s="3">
        <f t="shared" ca="1" si="5"/>
        <v>987621672</v>
      </c>
      <c r="F354" t="s">
        <v>11</v>
      </c>
      <c r="G354" t="s">
        <v>14</v>
      </c>
      <c r="H354" s="1" t="s">
        <v>237</v>
      </c>
      <c r="I354" t="s">
        <v>22</v>
      </c>
      <c r="J354" s="4">
        <v>5.2</v>
      </c>
      <c r="K354" s="4">
        <v>22.97</v>
      </c>
      <c r="L354" s="4">
        <v>7</v>
      </c>
      <c r="M354" s="4">
        <v>95.73</v>
      </c>
      <c r="N354" s="4">
        <v>158.95429999999999</v>
      </c>
      <c r="O354" s="4">
        <v>383.11</v>
      </c>
      <c r="P354" s="4">
        <v>3.8764546470000001</v>
      </c>
      <c r="Q354" s="4">
        <v>21.14</v>
      </c>
      <c r="R354" t="str" cm="1">
        <f t="array" ref="R354">_xlfn.IFS(B354="NY","New York",B354="TX","Texas",B354="CA","California")</f>
        <v>California</v>
      </c>
    </row>
    <row r="355" spans="1:18" x14ac:dyDescent="0.3">
      <c r="A355" t="s">
        <v>3</v>
      </c>
      <c r="B355" t="s">
        <v>8</v>
      </c>
      <c r="C355" s="2">
        <v>42807</v>
      </c>
      <c r="D355" s="11" t="s">
        <v>50</v>
      </c>
      <c r="E355" s="3">
        <f t="shared" ca="1" si="5"/>
        <v>332031662</v>
      </c>
      <c r="F355" t="s">
        <v>12</v>
      </c>
      <c r="G355" t="s">
        <v>14</v>
      </c>
      <c r="H355" s="1" t="s">
        <v>236</v>
      </c>
      <c r="I355" t="s">
        <v>19</v>
      </c>
      <c r="J355" s="4">
        <v>2.4</v>
      </c>
      <c r="K355" s="4">
        <v>33.46</v>
      </c>
      <c r="L355" s="4">
        <v>9</v>
      </c>
      <c r="M355" s="4">
        <v>56.18</v>
      </c>
      <c r="N355" s="4">
        <v>145.16239999999999</v>
      </c>
      <c r="O355" s="4">
        <v>243</v>
      </c>
      <c r="P355" s="4">
        <v>3.8764546470000001</v>
      </c>
      <c r="Q355" s="4">
        <v>71.13</v>
      </c>
      <c r="R355" t="str" cm="1">
        <f t="array" ref="R355">_xlfn.IFS(B355="NY","New York",B355="TX","Texas",B355="CA","California")</f>
        <v>California</v>
      </c>
    </row>
    <row r="356" spans="1:18" x14ac:dyDescent="0.3">
      <c r="A356" t="s">
        <v>2</v>
      </c>
      <c r="B356" t="s">
        <v>7</v>
      </c>
      <c r="C356" s="2">
        <v>43204</v>
      </c>
      <c r="D356" s="11" t="s">
        <v>114</v>
      </c>
      <c r="E356" s="3">
        <f t="shared" ca="1" si="5"/>
        <v>197999674</v>
      </c>
      <c r="F356" t="s">
        <v>11</v>
      </c>
      <c r="G356" t="s">
        <v>15</v>
      </c>
      <c r="H356" s="1" t="s">
        <v>236</v>
      </c>
      <c r="I356" t="s">
        <v>18</v>
      </c>
      <c r="J356" s="4">
        <v>9.3000000000000007</v>
      </c>
      <c r="K356" s="4">
        <v>39.49</v>
      </c>
      <c r="L356" s="4">
        <v>1</v>
      </c>
      <c r="M356" s="4">
        <v>79.78</v>
      </c>
      <c r="N356" s="4">
        <v>152.82679999999999</v>
      </c>
      <c r="O356" s="4">
        <v>30.24</v>
      </c>
      <c r="P356" s="4">
        <v>3.8764546470000001</v>
      </c>
      <c r="Q356" s="4">
        <v>73.16</v>
      </c>
      <c r="R356" t="str" cm="1">
        <f t="array" ref="R356">_xlfn.IFS(B356="NY","New York",B356="TX","Texas",B356="CA","California")</f>
        <v>Texas</v>
      </c>
    </row>
    <row r="357" spans="1:18" x14ac:dyDescent="0.3">
      <c r="A357" t="s">
        <v>3</v>
      </c>
      <c r="B357" t="s">
        <v>8</v>
      </c>
      <c r="C357" s="2">
        <v>43411</v>
      </c>
      <c r="D357" s="11" t="s">
        <v>36</v>
      </c>
      <c r="E357" s="3">
        <f t="shared" ca="1" si="5"/>
        <v>998164810</v>
      </c>
      <c r="F357" t="s">
        <v>11</v>
      </c>
      <c r="G357" t="s">
        <v>14</v>
      </c>
      <c r="H357" s="1" t="s">
        <v>237</v>
      </c>
      <c r="I357" t="s">
        <v>21</v>
      </c>
      <c r="J357" s="4">
        <v>1.4</v>
      </c>
      <c r="K357" s="4">
        <v>65.86</v>
      </c>
      <c r="L357" s="4">
        <v>4</v>
      </c>
      <c r="M357" s="4">
        <v>50.79</v>
      </c>
      <c r="N357" s="4">
        <v>146.81800000000001</v>
      </c>
      <c r="O357" s="4">
        <v>356.56</v>
      </c>
      <c r="P357" s="4">
        <v>3.8764546470000001</v>
      </c>
      <c r="Q357" s="4">
        <v>63.082999999999998</v>
      </c>
      <c r="R357" t="str" cm="1">
        <f t="array" ref="R357">_xlfn.IFS(B357="NY","New York",B357="TX","Texas",B357="CA","California")</f>
        <v>California</v>
      </c>
    </row>
    <row r="358" spans="1:18" x14ac:dyDescent="0.3">
      <c r="A358" t="s">
        <v>2</v>
      </c>
      <c r="B358" t="s">
        <v>7</v>
      </c>
      <c r="C358" s="2">
        <v>43309</v>
      </c>
      <c r="D358" s="11" t="s">
        <v>177</v>
      </c>
      <c r="E358" s="3">
        <f t="shared" ca="1" si="5"/>
        <v>600272722</v>
      </c>
      <c r="F358" t="s">
        <v>11</v>
      </c>
      <c r="G358" t="s">
        <v>15</v>
      </c>
      <c r="H358" s="1" t="s">
        <v>237</v>
      </c>
      <c r="I358" t="s">
        <v>22</v>
      </c>
      <c r="J358" s="4">
        <v>5.4</v>
      </c>
      <c r="K358" s="4">
        <v>25.83</v>
      </c>
      <c r="L358" s="4">
        <v>10</v>
      </c>
      <c r="M358" s="4">
        <v>95.03</v>
      </c>
      <c r="N358" s="4">
        <v>178.2123</v>
      </c>
      <c r="O358" s="4">
        <v>375.5</v>
      </c>
      <c r="P358" s="4">
        <v>3.8764546470000001</v>
      </c>
      <c r="Q358" s="4">
        <v>82.796000000000006</v>
      </c>
      <c r="R358" t="str" cm="1">
        <f t="array" ref="R358">_xlfn.IFS(B358="NY","New York",B358="TX","Texas",B358="CA","California")</f>
        <v>Texas</v>
      </c>
    </row>
    <row r="359" spans="1:18" x14ac:dyDescent="0.3">
      <c r="A359" t="s">
        <v>2</v>
      </c>
      <c r="B359" t="s">
        <v>7</v>
      </c>
      <c r="C359" s="2">
        <v>42905</v>
      </c>
      <c r="D359" s="11" t="s">
        <v>82</v>
      </c>
      <c r="E359" s="3">
        <f t="shared" ca="1" si="5"/>
        <v>63785651</v>
      </c>
      <c r="F359" t="s">
        <v>11</v>
      </c>
      <c r="G359" t="s">
        <v>15</v>
      </c>
      <c r="H359" s="1" t="s">
        <v>236</v>
      </c>
      <c r="I359" t="s">
        <v>20</v>
      </c>
      <c r="J359" s="4">
        <v>2</v>
      </c>
      <c r="K359" s="4">
        <v>38.54</v>
      </c>
      <c r="L359" s="4">
        <v>10</v>
      </c>
      <c r="M359" s="4">
        <v>25.95</v>
      </c>
      <c r="N359" s="4">
        <v>110.3947</v>
      </c>
      <c r="O359" s="4">
        <v>954.4</v>
      </c>
      <c r="P359" s="4">
        <v>3.8764546470000001</v>
      </c>
      <c r="Q359" s="4">
        <v>61.731999999999999</v>
      </c>
      <c r="R359" t="str" cm="1">
        <f t="array" ref="R359">_xlfn.IFS(B359="NY","New York",B359="TX","Texas",B359="CA","California")</f>
        <v>Texas</v>
      </c>
    </row>
    <row r="360" spans="1:18" x14ac:dyDescent="0.3">
      <c r="A360" t="s">
        <v>3</v>
      </c>
      <c r="B360" t="s">
        <v>8</v>
      </c>
      <c r="C360" s="2">
        <v>43115</v>
      </c>
      <c r="D360" s="11" t="s">
        <v>163</v>
      </c>
      <c r="E360" s="3">
        <f t="shared" ca="1" si="5"/>
        <v>416284109</v>
      </c>
      <c r="F360" t="s">
        <v>12</v>
      </c>
      <c r="G360" t="s">
        <v>15</v>
      </c>
      <c r="H360" s="1" t="s">
        <v>235</v>
      </c>
      <c r="I360" t="s">
        <v>18</v>
      </c>
      <c r="J360" s="4">
        <v>6.8</v>
      </c>
      <c r="K360" s="4">
        <v>39.72</v>
      </c>
      <c r="L360" s="4">
        <v>3</v>
      </c>
      <c r="M360" s="4">
        <v>53.97</v>
      </c>
      <c r="N360" s="4">
        <v>146.28739999999999</v>
      </c>
      <c r="O360" s="4">
        <v>82.5</v>
      </c>
      <c r="P360" s="4">
        <v>3.8764546470000001</v>
      </c>
      <c r="Q360" s="4">
        <v>64.45</v>
      </c>
      <c r="R360" t="str" cm="1">
        <f t="array" ref="R360">_xlfn.IFS(B360="NY","New York",B360="TX","Texas",B360="CA","California")</f>
        <v>California</v>
      </c>
    </row>
    <row r="361" spans="1:18" x14ac:dyDescent="0.3">
      <c r="A361" t="s">
        <v>3</v>
      </c>
      <c r="B361" t="s">
        <v>8</v>
      </c>
      <c r="C361" s="2">
        <v>42863</v>
      </c>
      <c r="D361" s="11" t="s">
        <v>175</v>
      </c>
      <c r="E361" s="3">
        <f t="shared" ca="1" si="5"/>
        <v>710408967</v>
      </c>
      <c r="F361" t="s">
        <v>12</v>
      </c>
      <c r="G361" t="s">
        <v>15</v>
      </c>
      <c r="H361" s="1" t="s">
        <v>236</v>
      </c>
      <c r="I361" t="s">
        <v>20</v>
      </c>
      <c r="J361" s="4">
        <v>9.6</v>
      </c>
      <c r="K361" s="4">
        <v>61.46</v>
      </c>
      <c r="L361" s="4">
        <v>1</v>
      </c>
      <c r="M361" s="4">
        <v>47.46</v>
      </c>
      <c r="N361" s="4">
        <v>176.8741</v>
      </c>
      <c r="O361" s="4">
        <v>74.97</v>
      </c>
      <c r="P361" s="4">
        <v>3.8764546470000001</v>
      </c>
      <c r="Q361" s="4">
        <v>30.593</v>
      </c>
      <c r="R361" t="str" cm="1">
        <f t="array" ref="R361">_xlfn.IFS(B361="NY","New York",B361="TX","Texas",B361="CA","California")</f>
        <v>California</v>
      </c>
    </row>
    <row r="362" spans="1:18" x14ac:dyDescent="0.3">
      <c r="A362" t="s">
        <v>1</v>
      </c>
      <c r="B362" t="s">
        <v>6</v>
      </c>
      <c r="C362" s="2">
        <v>42983</v>
      </c>
      <c r="D362" s="11" t="s">
        <v>203</v>
      </c>
      <c r="E362" s="3">
        <f t="shared" ca="1" si="5"/>
        <v>736237357</v>
      </c>
      <c r="F362" t="s">
        <v>12</v>
      </c>
      <c r="G362" t="s">
        <v>14</v>
      </c>
      <c r="H362" s="1" t="s">
        <v>237</v>
      </c>
      <c r="I362" t="s">
        <v>21</v>
      </c>
      <c r="J362" s="4">
        <v>7.3</v>
      </c>
      <c r="K362" s="4">
        <v>28.03</v>
      </c>
      <c r="L362" s="4">
        <v>8</v>
      </c>
      <c r="M362" s="4">
        <v>68.45</v>
      </c>
      <c r="N362" s="4">
        <v>155.11060000000001</v>
      </c>
      <c r="O362" s="4">
        <v>647.67999999999995</v>
      </c>
      <c r="P362" s="4">
        <v>3.8764546470000001</v>
      </c>
      <c r="Q362" s="4">
        <v>10.135</v>
      </c>
      <c r="R362" t="str" cm="1">
        <f t="array" ref="R362">_xlfn.IFS(B362="NY","New York",B362="TX","Texas",B362="CA","California")</f>
        <v>New York</v>
      </c>
    </row>
    <row r="363" spans="1:18" x14ac:dyDescent="0.3">
      <c r="A363" t="s">
        <v>2</v>
      </c>
      <c r="B363" t="s">
        <v>7</v>
      </c>
      <c r="C363" s="2">
        <v>42997</v>
      </c>
      <c r="D363" s="11" t="s">
        <v>119</v>
      </c>
      <c r="E363" s="3">
        <f t="shared" ca="1" si="5"/>
        <v>411388965</v>
      </c>
      <c r="F363" t="s">
        <v>11</v>
      </c>
      <c r="G363" t="s">
        <v>15</v>
      </c>
      <c r="H363" s="1" t="s">
        <v>236</v>
      </c>
      <c r="I363" t="s">
        <v>21</v>
      </c>
      <c r="J363" s="4">
        <v>8.9</v>
      </c>
      <c r="K363" s="4">
        <v>23.2</v>
      </c>
      <c r="L363" s="4">
        <v>8</v>
      </c>
      <c r="M363" s="4">
        <v>44.78</v>
      </c>
      <c r="N363" s="4">
        <v>125.85939999999999</v>
      </c>
      <c r="O363" s="4">
        <v>755.76</v>
      </c>
      <c r="P363" s="4">
        <v>3.8764546470000001</v>
      </c>
      <c r="Q363" s="4">
        <v>47.54</v>
      </c>
      <c r="R363" t="str" cm="1">
        <f t="array" ref="R363">_xlfn.IFS(B363="NY","New York",B363="TX","Texas",B363="CA","California")</f>
        <v>Texas</v>
      </c>
    </row>
    <row r="364" spans="1:18" x14ac:dyDescent="0.3">
      <c r="A364" t="s">
        <v>2</v>
      </c>
      <c r="B364" t="s">
        <v>7</v>
      </c>
      <c r="C364" s="2">
        <v>43407</v>
      </c>
      <c r="D364" s="11" t="s">
        <v>176</v>
      </c>
      <c r="E364" s="3">
        <f t="shared" ca="1" si="5"/>
        <v>523641536</v>
      </c>
      <c r="F364" t="s">
        <v>12</v>
      </c>
      <c r="G364" t="s">
        <v>15</v>
      </c>
      <c r="H364" s="1" t="s">
        <v>235</v>
      </c>
      <c r="I364" t="s">
        <v>21</v>
      </c>
      <c r="J364" s="4">
        <v>6.9</v>
      </c>
      <c r="K364" s="4">
        <v>16.23</v>
      </c>
      <c r="L364" s="4">
        <v>2</v>
      </c>
      <c r="M364" s="4">
        <v>58.53</v>
      </c>
      <c r="N364" s="4">
        <v>148.88640000000001</v>
      </c>
      <c r="O364" s="4">
        <v>199.58</v>
      </c>
      <c r="P364" s="4">
        <v>3.8764546470000001</v>
      </c>
      <c r="Q364" s="4">
        <v>71.010000000000005</v>
      </c>
      <c r="R364" t="str" cm="1">
        <f t="array" ref="R364">_xlfn.IFS(B364="NY","New York",B364="TX","Texas",B364="CA","California")</f>
        <v>Texas</v>
      </c>
    </row>
    <row r="365" spans="1:18" x14ac:dyDescent="0.3">
      <c r="A365" t="s">
        <v>1</v>
      </c>
      <c r="B365" t="s">
        <v>6</v>
      </c>
      <c r="C365" s="2">
        <v>43338</v>
      </c>
      <c r="D365" s="11" t="s">
        <v>46</v>
      </c>
      <c r="E365" s="3">
        <f t="shared" ca="1" si="5"/>
        <v>501093420</v>
      </c>
      <c r="F365" t="s">
        <v>12</v>
      </c>
      <c r="G365" t="s">
        <v>15</v>
      </c>
      <c r="H365" s="1" t="s">
        <v>236</v>
      </c>
      <c r="I365" t="s">
        <v>19</v>
      </c>
      <c r="J365" s="4">
        <v>9</v>
      </c>
      <c r="K365" s="4">
        <v>62.34</v>
      </c>
      <c r="L365" s="4">
        <v>6</v>
      </c>
      <c r="M365" s="4">
        <v>30.72</v>
      </c>
      <c r="N365" s="4">
        <v>180.8887</v>
      </c>
      <c r="O365" s="4">
        <v>439.32</v>
      </c>
      <c r="P365" s="4">
        <v>3.8764546470000001</v>
      </c>
      <c r="Q365" s="4">
        <v>26.66</v>
      </c>
      <c r="R365" t="str" cm="1">
        <f t="array" ref="R365">_xlfn.IFS(B365="NY","New York",B365="TX","Texas",B365="CA","California")</f>
        <v>New York</v>
      </c>
    </row>
    <row r="366" spans="1:18" x14ac:dyDescent="0.3">
      <c r="A366" t="s">
        <v>2</v>
      </c>
      <c r="B366" t="s">
        <v>7</v>
      </c>
      <c r="C366" s="2">
        <v>43026</v>
      </c>
      <c r="D366" s="11" t="s">
        <v>119</v>
      </c>
      <c r="E366" s="3">
        <f t="shared" ca="1" si="5"/>
        <v>292707042</v>
      </c>
      <c r="F366" t="s">
        <v>11</v>
      </c>
      <c r="G366" t="s">
        <v>15</v>
      </c>
      <c r="H366" s="1" t="s">
        <v>236</v>
      </c>
      <c r="I366" t="s">
        <v>21</v>
      </c>
      <c r="J366" s="4">
        <v>7</v>
      </c>
      <c r="K366" s="4">
        <v>68.13</v>
      </c>
      <c r="L366" s="4">
        <v>4</v>
      </c>
      <c r="M366" s="4">
        <v>43.46</v>
      </c>
      <c r="N366" s="4">
        <v>178.6207</v>
      </c>
      <c r="O366" s="4">
        <v>164.96</v>
      </c>
      <c r="P366" s="4">
        <v>3.8764546470000001</v>
      </c>
      <c r="Q366" s="4">
        <v>71.531999999999996</v>
      </c>
      <c r="R366" t="str" cm="1">
        <f t="array" ref="R366">_xlfn.IFS(B366="NY","New York",B366="TX","Texas",B366="CA","California")</f>
        <v>Texas</v>
      </c>
    </row>
    <row r="367" spans="1:18" x14ac:dyDescent="0.3">
      <c r="A367" t="s">
        <v>2</v>
      </c>
      <c r="B367" t="s">
        <v>7</v>
      </c>
      <c r="C367" s="2">
        <v>43135</v>
      </c>
      <c r="D367" s="11" t="s">
        <v>204</v>
      </c>
      <c r="E367" s="3">
        <f t="shared" ca="1" si="5"/>
        <v>734543733</v>
      </c>
      <c r="F367" t="s">
        <v>11</v>
      </c>
      <c r="G367" t="s">
        <v>15</v>
      </c>
      <c r="H367" s="1" t="s">
        <v>236</v>
      </c>
      <c r="I367" t="s">
        <v>22</v>
      </c>
      <c r="J367" s="4">
        <v>7</v>
      </c>
      <c r="K367" s="4">
        <v>55.07</v>
      </c>
      <c r="L367" s="4">
        <v>4</v>
      </c>
      <c r="M367" s="4">
        <v>80.31</v>
      </c>
      <c r="N367" s="4">
        <v>104.0275</v>
      </c>
      <c r="O367" s="4">
        <v>326.72000000000003</v>
      </c>
      <c r="P367" s="4">
        <v>3.8764546470000001</v>
      </c>
      <c r="Q367" s="4">
        <v>61.073999999999998</v>
      </c>
      <c r="R367" t="str" cm="1">
        <f t="array" ref="R367">_xlfn.IFS(B367="NY","New York",B367="TX","Texas",B367="CA","California")</f>
        <v>Texas</v>
      </c>
    </row>
    <row r="368" spans="1:18" x14ac:dyDescent="0.3">
      <c r="A368" t="s">
        <v>2</v>
      </c>
      <c r="B368" t="s">
        <v>7</v>
      </c>
      <c r="C368" s="2">
        <v>42825</v>
      </c>
      <c r="D368" s="11" t="s">
        <v>90</v>
      </c>
      <c r="E368" s="3">
        <f t="shared" ca="1" si="5"/>
        <v>405786180</v>
      </c>
      <c r="F368" t="s">
        <v>11</v>
      </c>
      <c r="G368" t="s">
        <v>15</v>
      </c>
      <c r="H368" s="1" t="s">
        <v>236</v>
      </c>
      <c r="I368" t="s">
        <v>18</v>
      </c>
      <c r="J368" s="4">
        <v>9</v>
      </c>
      <c r="K368" s="4">
        <v>82.86</v>
      </c>
      <c r="L368" s="4">
        <v>9</v>
      </c>
      <c r="M368" s="4">
        <v>72.27</v>
      </c>
      <c r="N368" s="4">
        <v>127.0086</v>
      </c>
      <c r="O368" s="4">
        <v>461.88</v>
      </c>
      <c r="P368" s="4">
        <v>3.8764546470000001</v>
      </c>
      <c r="Q368" s="4">
        <v>79.706000000000003</v>
      </c>
      <c r="R368" t="str" cm="1">
        <f t="array" ref="R368">_xlfn.IFS(B368="NY","New York",B368="TX","Texas",B368="CA","California")</f>
        <v>Texas</v>
      </c>
    </row>
    <row r="369" spans="1:18" x14ac:dyDescent="0.3">
      <c r="A369" t="s">
        <v>1</v>
      </c>
      <c r="B369" t="s">
        <v>6</v>
      </c>
      <c r="C369" s="2">
        <v>43156</v>
      </c>
      <c r="D369" s="11" t="s">
        <v>173</v>
      </c>
      <c r="E369" s="3">
        <f t="shared" ca="1" si="5"/>
        <v>836860487</v>
      </c>
      <c r="F369" t="s">
        <v>12</v>
      </c>
      <c r="G369" t="s">
        <v>14</v>
      </c>
      <c r="H369" s="1" t="s">
        <v>236</v>
      </c>
      <c r="I369" t="s">
        <v>19</v>
      </c>
      <c r="J369" s="4">
        <v>7</v>
      </c>
      <c r="K369" s="4">
        <v>80.430000000000007</v>
      </c>
      <c r="L369" s="4">
        <v>4</v>
      </c>
      <c r="M369" s="4">
        <v>85.85</v>
      </c>
      <c r="N369" s="4">
        <v>165.56659999999999</v>
      </c>
      <c r="O369" s="4">
        <v>263.76</v>
      </c>
      <c r="P369" s="4">
        <v>3.8764546470000001</v>
      </c>
      <c r="Q369" s="4">
        <v>76.326999999999998</v>
      </c>
      <c r="R369" t="str" cm="1">
        <f t="array" ref="R369">_xlfn.IFS(B369="NY","New York",B369="TX","Texas",B369="CA","California")</f>
        <v>New York</v>
      </c>
    </row>
    <row r="370" spans="1:18" x14ac:dyDescent="0.3">
      <c r="A370" t="s">
        <v>2</v>
      </c>
      <c r="B370" t="s">
        <v>7</v>
      </c>
      <c r="C370" s="2">
        <v>42815</v>
      </c>
      <c r="D370" s="11" t="s">
        <v>132</v>
      </c>
      <c r="E370" s="3">
        <f t="shared" ca="1" si="5"/>
        <v>830986650</v>
      </c>
      <c r="F370" t="s">
        <v>11</v>
      </c>
      <c r="G370" t="s">
        <v>15</v>
      </c>
      <c r="H370" s="1" t="s">
        <v>236</v>
      </c>
      <c r="I370" t="s">
        <v>20</v>
      </c>
      <c r="J370" s="4">
        <v>9</v>
      </c>
      <c r="K370" s="4">
        <v>22.32</v>
      </c>
      <c r="L370" s="4">
        <v>10</v>
      </c>
      <c r="M370" s="4">
        <v>32.94</v>
      </c>
      <c r="N370" s="4">
        <v>180.96610000000001</v>
      </c>
      <c r="O370" s="4">
        <v>143.6</v>
      </c>
      <c r="P370" s="4">
        <v>3.8764546470000001</v>
      </c>
      <c r="Q370" s="4">
        <v>76.515000000000001</v>
      </c>
      <c r="R370" t="str" cm="1">
        <f t="array" ref="R370">_xlfn.IFS(B370="NY","New York",B370="TX","Texas",B370="CA","California")</f>
        <v>Texas</v>
      </c>
    </row>
    <row r="371" spans="1:18" x14ac:dyDescent="0.3">
      <c r="A371" t="s">
        <v>1</v>
      </c>
      <c r="B371" t="s">
        <v>6</v>
      </c>
      <c r="C371" s="2">
        <v>43178</v>
      </c>
      <c r="D371" s="11" t="s">
        <v>201</v>
      </c>
      <c r="E371" s="3">
        <f t="shared" ca="1" si="5"/>
        <v>491729858</v>
      </c>
      <c r="F371" t="s">
        <v>12</v>
      </c>
      <c r="G371" t="s">
        <v>14</v>
      </c>
      <c r="H371" s="1" t="s">
        <v>237</v>
      </c>
      <c r="I371" t="s">
        <v>18</v>
      </c>
      <c r="J371" s="4">
        <v>7</v>
      </c>
      <c r="K371" s="4">
        <v>83.77</v>
      </c>
      <c r="L371" s="4">
        <v>9</v>
      </c>
      <c r="M371" s="4">
        <v>87.7</v>
      </c>
      <c r="N371" s="4">
        <v>160.26519999999999</v>
      </c>
      <c r="O371" s="4">
        <v>193.5</v>
      </c>
      <c r="P371" s="4">
        <v>3.8764546470000001</v>
      </c>
      <c r="Q371" s="4">
        <v>91.266999999999996</v>
      </c>
      <c r="R371" t="str" cm="1">
        <f t="array" ref="R371">_xlfn.IFS(B371="NY","New York",B371="TX","Texas",B371="CA","California")</f>
        <v>New York</v>
      </c>
    </row>
    <row r="372" spans="1:18" x14ac:dyDescent="0.3">
      <c r="A372" t="s">
        <v>3</v>
      </c>
      <c r="B372" t="s">
        <v>8</v>
      </c>
      <c r="C372" s="2">
        <v>43366</v>
      </c>
      <c r="D372" s="11" t="s">
        <v>132</v>
      </c>
      <c r="E372" s="3">
        <f t="shared" ca="1" si="5"/>
        <v>770971619</v>
      </c>
      <c r="F372" t="s">
        <v>11</v>
      </c>
      <c r="G372" t="s">
        <v>14</v>
      </c>
      <c r="H372" s="1" t="s">
        <v>236</v>
      </c>
      <c r="I372" t="s">
        <v>18</v>
      </c>
      <c r="J372" s="4">
        <v>2</v>
      </c>
      <c r="K372" s="4">
        <v>13.21</v>
      </c>
      <c r="L372" s="4">
        <v>7</v>
      </c>
      <c r="M372" s="4">
        <v>99.04</v>
      </c>
      <c r="N372" s="4">
        <v>187.7157</v>
      </c>
      <c r="O372" s="4">
        <v>183.82</v>
      </c>
      <c r="P372" s="4">
        <v>3.8764546470000001</v>
      </c>
      <c r="Q372" s="4">
        <v>23.285</v>
      </c>
      <c r="R372" t="str" cm="1">
        <f t="array" ref="R372">_xlfn.IFS(B372="NY","New York",B372="TX","Texas",B372="CA","California")</f>
        <v>California</v>
      </c>
    </row>
    <row r="373" spans="1:18" x14ac:dyDescent="0.3">
      <c r="A373" t="s">
        <v>3</v>
      </c>
      <c r="B373" t="s">
        <v>8</v>
      </c>
      <c r="C373" s="2">
        <v>43337</v>
      </c>
      <c r="D373" s="11" t="s">
        <v>97</v>
      </c>
      <c r="E373" s="3">
        <f t="shared" ca="1" si="5"/>
        <v>750071529</v>
      </c>
      <c r="F373" t="s">
        <v>11</v>
      </c>
      <c r="G373" t="s">
        <v>15</v>
      </c>
      <c r="H373" s="1" t="s">
        <v>237</v>
      </c>
      <c r="I373" t="s">
        <v>22</v>
      </c>
      <c r="J373" s="4">
        <v>3</v>
      </c>
      <c r="K373" s="4">
        <v>82.96</v>
      </c>
      <c r="L373" s="4">
        <v>2</v>
      </c>
      <c r="M373" s="4">
        <v>62.24</v>
      </c>
      <c r="N373" s="4">
        <v>113.6189</v>
      </c>
      <c r="O373" s="4">
        <v>121.92</v>
      </c>
      <c r="P373" s="4">
        <v>3.8764546470000001</v>
      </c>
      <c r="Q373" s="4">
        <v>47.875999999999998</v>
      </c>
      <c r="R373" t="str" cm="1">
        <f t="array" ref="R373">_xlfn.IFS(B373="NY","New York",B373="TX","Texas",B373="CA","California")</f>
        <v>California</v>
      </c>
    </row>
    <row r="374" spans="1:18" x14ac:dyDescent="0.3">
      <c r="A374" t="s">
        <v>2</v>
      </c>
      <c r="B374" t="s">
        <v>7</v>
      </c>
      <c r="C374" s="2">
        <v>43247</v>
      </c>
      <c r="D374" s="11" t="s">
        <v>205</v>
      </c>
      <c r="E374" s="3">
        <f t="shared" ca="1" si="5"/>
        <v>282903731</v>
      </c>
      <c r="F374" t="s">
        <v>11</v>
      </c>
      <c r="G374" t="s">
        <v>15</v>
      </c>
      <c r="H374" s="1" t="s">
        <v>235</v>
      </c>
      <c r="I374" t="s">
        <v>19</v>
      </c>
      <c r="J374" s="4">
        <v>3</v>
      </c>
      <c r="K374" s="4">
        <v>58.01</v>
      </c>
      <c r="L374" s="4">
        <v>6</v>
      </c>
      <c r="M374" s="4">
        <v>48.94</v>
      </c>
      <c r="N374" s="4">
        <v>182.85810000000001</v>
      </c>
      <c r="O374" s="4">
        <v>420.66</v>
      </c>
      <c r="P374" s="4">
        <v>3.8764546470000001</v>
      </c>
      <c r="Q374" s="4">
        <v>68.531000000000006</v>
      </c>
      <c r="R374" t="str" cm="1">
        <f t="array" ref="R374">_xlfn.IFS(B374="NY","New York",B374="TX","Texas",B374="CA","California")</f>
        <v>Texas</v>
      </c>
    </row>
    <row r="375" spans="1:18" x14ac:dyDescent="0.3">
      <c r="A375" t="s">
        <v>2</v>
      </c>
      <c r="B375" t="s">
        <v>7</v>
      </c>
      <c r="C375" s="2">
        <v>43159</v>
      </c>
      <c r="D375" s="11" t="s">
        <v>206</v>
      </c>
      <c r="E375" s="3">
        <f t="shared" ca="1" si="5"/>
        <v>48790092</v>
      </c>
      <c r="F375" t="s">
        <v>12</v>
      </c>
      <c r="G375" t="s">
        <v>15</v>
      </c>
      <c r="H375" s="1" t="s">
        <v>236</v>
      </c>
      <c r="I375" t="s">
        <v>22</v>
      </c>
      <c r="J375" s="4">
        <v>1.8</v>
      </c>
      <c r="K375" s="4">
        <v>55.94</v>
      </c>
      <c r="L375" s="4">
        <v>6</v>
      </c>
      <c r="M375" s="4">
        <v>27.86</v>
      </c>
      <c r="N375" s="4">
        <v>154.5318</v>
      </c>
      <c r="O375" s="4">
        <v>252.48</v>
      </c>
      <c r="P375" s="4">
        <v>3.8764546470000001</v>
      </c>
      <c r="Q375" s="4">
        <v>28.96</v>
      </c>
      <c r="R375" t="str" cm="1">
        <f t="array" ref="R375">_xlfn.IFS(B375="NY","New York",B375="TX","Texas",B375="CA","California")</f>
        <v>Texas</v>
      </c>
    </row>
    <row r="376" spans="1:18" x14ac:dyDescent="0.3">
      <c r="A376" t="s">
        <v>1</v>
      </c>
      <c r="B376" t="s">
        <v>6</v>
      </c>
      <c r="C376" s="2">
        <v>43188</v>
      </c>
      <c r="D376" s="11" t="s">
        <v>47</v>
      </c>
      <c r="E376" s="3">
        <f t="shared" ca="1" si="5"/>
        <v>767075453</v>
      </c>
      <c r="F376" t="s">
        <v>11</v>
      </c>
      <c r="G376" t="s">
        <v>15</v>
      </c>
      <c r="H376" s="1" t="s">
        <v>237</v>
      </c>
      <c r="I376" t="s">
        <v>19</v>
      </c>
      <c r="J376" s="4">
        <v>1</v>
      </c>
      <c r="K376" s="4">
        <v>62.47</v>
      </c>
      <c r="L376" s="4">
        <v>5</v>
      </c>
      <c r="M376" s="4">
        <v>29.62</v>
      </c>
      <c r="N376" s="4">
        <v>112.6173</v>
      </c>
      <c r="O376" s="4">
        <v>335.45</v>
      </c>
      <c r="P376" s="4">
        <v>3.8764546470000001</v>
      </c>
      <c r="Q376" s="4">
        <v>15.11</v>
      </c>
      <c r="R376" t="str" cm="1">
        <f t="array" ref="R376">_xlfn.IFS(B376="NY","New York",B376="TX","Texas",B376="CA","California")</f>
        <v>New York</v>
      </c>
    </row>
    <row r="377" spans="1:18" x14ac:dyDescent="0.3">
      <c r="A377" t="s">
        <v>1</v>
      </c>
      <c r="B377" t="s">
        <v>6</v>
      </c>
      <c r="C377" s="2">
        <v>43289</v>
      </c>
      <c r="D377" s="11" t="s">
        <v>52</v>
      </c>
      <c r="E377" s="3">
        <f t="shared" ca="1" si="5"/>
        <v>640452444</v>
      </c>
      <c r="F377" t="s">
        <v>11</v>
      </c>
      <c r="G377" t="s">
        <v>14</v>
      </c>
      <c r="H377" s="1" t="s">
        <v>235</v>
      </c>
      <c r="I377" t="s">
        <v>22</v>
      </c>
      <c r="J377" s="4">
        <v>5.7</v>
      </c>
      <c r="K377" s="4">
        <v>79.010000000000005</v>
      </c>
      <c r="L377" s="4">
        <v>5</v>
      </c>
      <c r="M377" s="4">
        <v>52.28</v>
      </c>
      <c r="N377" s="4">
        <v>103.4997</v>
      </c>
      <c r="O377" s="4">
        <v>483.5</v>
      </c>
      <c r="P377" s="4">
        <v>3.8764546470000001</v>
      </c>
      <c r="Q377" s="4">
        <v>73.959999999999994</v>
      </c>
      <c r="R377" t="str" cm="1">
        <f t="array" ref="R377">_xlfn.IFS(B377="NY","New York",B377="TX","Texas",B377="CA","California")</f>
        <v>New York</v>
      </c>
    </row>
    <row r="378" spans="1:18" x14ac:dyDescent="0.3">
      <c r="A378" t="s">
        <v>3</v>
      </c>
      <c r="B378" t="s">
        <v>8</v>
      </c>
      <c r="C378" s="2">
        <v>42945</v>
      </c>
      <c r="D378" s="11" t="s">
        <v>73</v>
      </c>
      <c r="E378" s="3">
        <f t="shared" ca="1" si="5"/>
        <v>541682384</v>
      </c>
      <c r="F378" t="s">
        <v>11</v>
      </c>
      <c r="G378" t="s">
        <v>14</v>
      </c>
      <c r="H378" s="1" t="s">
        <v>237</v>
      </c>
      <c r="I378" t="s">
        <v>19</v>
      </c>
      <c r="J378" s="4">
        <v>3.4</v>
      </c>
      <c r="K378" s="4">
        <v>38.04</v>
      </c>
      <c r="L378" s="4">
        <v>9</v>
      </c>
      <c r="M378" s="4">
        <v>41.28</v>
      </c>
      <c r="N378" s="4">
        <v>147.47130000000001</v>
      </c>
      <c r="O378" s="4">
        <v>318.42</v>
      </c>
      <c r="P378" s="4">
        <v>3.8764546470000001</v>
      </c>
      <c r="Q378" s="4">
        <v>25.94</v>
      </c>
      <c r="R378" t="str" cm="1">
        <f t="array" ref="R378">_xlfn.IFS(B378="NY","New York",B378="TX","Texas",B378="CA","California")</f>
        <v>California</v>
      </c>
    </row>
    <row r="379" spans="1:18" x14ac:dyDescent="0.3">
      <c r="A379" t="s">
        <v>2</v>
      </c>
      <c r="B379" t="s">
        <v>7</v>
      </c>
      <c r="C379" s="2">
        <v>43412</v>
      </c>
      <c r="D379" s="11" t="s">
        <v>176</v>
      </c>
      <c r="E379" s="3">
        <f t="shared" ca="1" si="5"/>
        <v>59932407</v>
      </c>
      <c r="F379" t="s">
        <v>12</v>
      </c>
      <c r="G379" t="s">
        <v>15</v>
      </c>
      <c r="H379" s="1" t="s">
        <v>235</v>
      </c>
      <c r="I379" t="s">
        <v>20</v>
      </c>
      <c r="J379" s="4">
        <v>3.7</v>
      </c>
      <c r="K379" s="4">
        <v>53.57</v>
      </c>
      <c r="L379" s="4">
        <v>7</v>
      </c>
      <c r="M379" s="4">
        <v>38.57</v>
      </c>
      <c r="N379" s="4">
        <v>132.29859999999999</v>
      </c>
      <c r="O379" s="4">
        <v>668.43</v>
      </c>
      <c r="P379" s="4">
        <v>3.8764546470000001</v>
      </c>
      <c r="Q379" s="4">
        <v>51.53</v>
      </c>
      <c r="R379" t="str" cm="1">
        <f t="array" ref="R379">_xlfn.IFS(B379="NY","New York",B379="TX","Texas",B379="CA","California")</f>
        <v>Texas</v>
      </c>
    </row>
    <row r="380" spans="1:18" x14ac:dyDescent="0.3">
      <c r="A380" t="s">
        <v>2</v>
      </c>
      <c r="B380" t="s">
        <v>7</v>
      </c>
      <c r="C380" s="2">
        <v>43275</v>
      </c>
      <c r="D380" s="11" t="s">
        <v>79</v>
      </c>
      <c r="E380" s="3">
        <f t="shared" ca="1" si="5"/>
        <v>359678127</v>
      </c>
      <c r="F380" t="s">
        <v>12</v>
      </c>
      <c r="G380" t="s">
        <v>14</v>
      </c>
      <c r="H380" s="1" t="s">
        <v>235</v>
      </c>
      <c r="I380" t="s">
        <v>22</v>
      </c>
      <c r="J380" s="4">
        <v>4.9000000000000004</v>
      </c>
      <c r="K380" s="4">
        <v>85.68</v>
      </c>
      <c r="L380" s="4">
        <v>4</v>
      </c>
      <c r="M380" s="4">
        <v>37.700000000000003</v>
      </c>
      <c r="N380" s="4">
        <v>161.64429999999999</v>
      </c>
      <c r="O380" s="4">
        <v>387.92</v>
      </c>
      <c r="P380" s="4">
        <v>3.8764546470000001</v>
      </c>
      <c r="Q380" s="4">
        <v>11.5</v>
      </c>
      <c r="R380" t="str" cm="1">
        <f t="array" ref="R380">_xlfn.IFS(B380="NY","New York",B380="TX","Texas",B380="CA","California")</f>
        <v>Texas</v>
      </c>
    </row>
    <row r="381" spans="1:18" x14ac:dyDescent="0.3">
      <c r="A381" t="s">
        <v>3</v>
      </c>
      <c r="B381" t="s">
        <v>8</v>
      </c>
      <c r="C381" s="2">
        <v>43225</v>
      </c>
      <c r="D381" s="11" t="s">
        <v>126</v>
      </c>
      <c r="E381" s="3">
        <f t="shared" ca="1" si="5"/>
        <v>402415901</v>
      </c>
      <c r="F381" t="s">
        <v>11</v>
      </c>
      <c r="G381" t="s">
        <v>15</v>
      </c>
      <c r="H381" s="1" t="s">
        <v>237</v>
      </c>
      <c r="I381" t="s">
        <v>18</v>
      </c>
      <c r="J381" s="4">
        <v>3.6</v>
      </c>
      <c r="K381" s="4">
        <v>10.66</v>
      </c>
      <c r="L381" s="4">
        <v>4</v>
      </c>
      <c r="M381" s="4">
        <v>29.73</v>
      </c>
      <c r="N381" s="4">
        <v>179.65549999999999</v>
      </c>
      <c r="O381" s="4">
        <v>94.6</v>
      </c>
      <c r="P381" s="4">
        <v>3.8764546470000001</v>
      </c>
      <c r="Q381" s="4">
        <v>40.049999999999997</v>
      </c>
      <c r="R381" t="str" cm="1">
        <f t="array" ref="R381">_xlfn.IFS(B381="NY","New York",B381="TX","Texas",B381="CA","California")</f>
        <v>California</v>
      </c>
    </row>
    <row r="382" spans="1:18" x14ac:dyDescent="0.3">
      <c r="A382" t="s">
        <v>1</v>
      </c>
      <c r="B382" t="s">
        <v>6</v>
      </c>
      <c r="C382" s="2">
        <v>42966</v>
      </c>
      <c r="D382" s="11" t="s">
        <v>124</v>
      </c>
      <c r="E382" s="3">
        <f t="shared" ca="1" si="5"/>
        <v>202127268</v>
      </c>
      <c r="F382" t="s">
        <v>12</v>
      </c>
      <c r="G382" t="s">
        <v>14</v>
      </c>
      <c r="H382" s="1" t="s">
        <v>237</v>
      </c>
      <c r="I382" t="s">
        <v>20</v>
      </c>
      <c r="J382" s="4">
        <v>9.1</v>
      </c>
      <c r="K382" s="4">
        <v>36.17</v>
      </c>
      <c r="L382" s="4">
        <v>4</v>
      </c>
      <c r="M382" s="4">
        <v>17.579999999999998</v>
      </c>
      <c r="N382" s="4">
        <v>168.89320000000001</v>
      </c>
      <c r="O382" s="4">
        <v>329.32</v>
      </c>
      <c r="P382" s="4">
        <v>3.8764546470000001</v>
      </c>
      <c r="Q382" s="4">
        <v>51.15</v>
      </c>
      <c r="R382" t="str" cm="1">
        <f t="array" ref="R382">_xlfn.IFS(B382="NY","New York",B382="TX","Texas",B382="CA","California")</f>
        <v>New York</v>
      </c>
    </row>
    <row r="383" spans="1:18" x14ac:dyDescent="0.3">
      <c r="A383" t="s">
        <v>2</v>
      </c>
      <c r="B383" t="s">
        <v>7</v>
      </c>
      <c r="C383" s="2">
        <v>43011</v>
      </c>
      <c r="D383" s="11" t="s">
        <v>182</v>
      </c>
      <c r="E383" s="3">
        <f t="shared" ca="1" si="5"/>
        <v>694325747</v>
      </c>
      <c r="F383" t="s">
        <v>11</v>
      </c>
      <c r="G383" t="s">
        <v>15</v>
      </c>
      <c r="H383" s="1" t="s">
        <v>236</v>
      </c>
      <c r="I383" t="s">
        <v>18</v>
      </c>
      <c r="J383" s="4">
        <v>8.9</v>
      </c>
      <c r="K383" s="4">
        <v>32.380000000000003</v>
      </c>
      <c r="L383" s="4">
        <v>2</v>
      </c>
      <c r="M383" s="4">
        <v>92.67</v>
      </c>
      <c r="N383" s="4">
        <v>147.99940000000001</v>
      </c>
      <c r="O383" s="4">
        <v>53.22</v>
      </c>
      <c r="P383" s="4">
        <v>3.8764546470000001</v>
      </c>
      <c r="Q383" s="4">
        <v>54.283999999999999</v>
      </c>
      <c r="R383" t="str" cm="1">
        <f t="array" ref="R383">_xlfn.IFS(B383="NY","New York",B383="TX","Texas",B383="CA","California")</f>
        <v>Texas</v>
      </c>
    </row>
    <row r="384" spans="1:18" x14ac:dyDescent="0.3">
      <c r="A384" t="s">
        <v>3</v>
      </c>
      <c r="B384" t="s">
        <v>8</v>
      </c>
      <c r="C384" s="2">
        <v>42895</v>
      </c>
      <c r="D384" s="11" t="s">
        <v>194</v>
      </c>
      <c r="E384" s="3">
        <f t="shared" ca="1" si="5"/>
        <v>509324583</v>
      </c>
      <c r="F384" t="s">
        <v>11</v>
      </c>
      <c r="G384" t="s">
        <v>15</v>
      </c>
      <c r="H384" s="1" t="s">
        <v>236</v>
      </c>
      <c r="I384" t="s">
        <v>21</v>
      </c>
      <c r="J384" s="4">
        <v>3.8</v>
      </c>
      <c r="K384" s="4">
        <v>71.180000000000007</v>
      </c>
      <c r="L384" s="4">
        <v>5</v>
      </c>
      <c r="M384" s="4">
        <v>57.25</v>
      </c>
      <c r="N384" s="4">
        <v>162.4238</v>
      </c>
      <c r="O384" s="4">
        <v>498.45</v>
      </c>
      <c r="P384" s="4">
        <v>3.8764546470000001</v>
      </c>
      <c r="Q384" s="4">
        <v>87.613</v>
      </c>
      <c r="R384" t="str" cm="1">
        <f t="array" ref="R384">_xlfn.IFS(B384="NY","New York",B384="TX","Texas",B384="CA","California")</f>
        <v>California</v>
      </c>
    </row>
    <row r="385" spans="1:18" x14ac:dyDescent="0.3">
      <c r="A385" t="s">
        <v>2</v>
      </c>
      <c r="B385" t="s">
        <v>7</v>
      </c>
      <c r="C385" s="2">
        <v>42977</v>
      </c>
      <c r="D385" s="11" t="s">
        <v>196</v>
      </c>
      <c r="E385" s="3">
        <f t="shared" ca="1" si="5"/>
        <v>53538426</v>
      </c>
      <c r="F385" t="s">
        <v>11</v>
      </c>
      <c r="G385" t="s">
        <v>14</v>
      </c>
      <c r="H385" s="1" t="s">
        <v>235</v>
      </c>
      <c r="I385" t="s">
        <v>21</v>
      </c>
      <c r="J385" s="4">
        <v>9.6</v>
      </c>
      <c r="K385" s="4">
        <v>67.27</v>
      </c>
      <c r="L385" s="4">
        <v>4</v>
      </c>
      <c r="M385" s="4">
        <v>11.83</v>
      </c>
      <c r="N385" s="4">
        <v>107.4834</v>
      </c>
      <c r="O385" s="4">
        <v>299.56</v>
      </c>
      <c r="P385" s="4">
        <v>3.8764546470000001</v>
      </c>
      <c r="Q385" s="4">
        <v>38.170999999999999</v>
      </c>
      <c r="R385" t="str" cm="1">
        <f t="array" ref="R385">_xlfn.IFS(B385="NY","New York",B385="TX","Texas",B385="CA","California")</f>
        <v>Texas</v>
      </c>
    </row>
    <row r="386" spans="1:18" x14ac:dyDescent="0.3">
      <c r="A386" t="s">
        <v>1</v>
      </c>
      <c r="B386" t="s">
        <v>6</v>
      </c>
      <c r="C386" s="2">
        <v>42909</v>
      </c>
      <c r="D386" s="11" t="s">
        <v>31</v>
      </c>
      <c r="E386" s="3">
        <f t="shared" ca="1" si="5"/>
        <v>988059932</v>
      </c>
      <c r="F386" t="s">
        <v>11</v>
      </c>
      <c r="G386" t="s">
        <v>15</v>
      </c>
      <c r="H386" s="1" t="s">
        <v>235</v>
      </c>
      <c r="I386" t="s">
        <v>21</v>
      </c>
      <c r="J386" s="4">
        <v>9.1</v>
      </c>
      <c r="K386" s="4">
        <v>97.83</v>
      </c>
      <c r="L386" s="4">
        <v>5</v>
      </c>
      <c r="M386" s="4">
        <v>85.54</v>
      </c>
      <c r="N386" s="4">
        <v>101.4113</v>
      </c>
      <c r="O386" s="4">
        <v>204.7</v>
      </c>
      <c r="P386" s="4">
        <v>3.8764546470000001</v>
      </c>
      <c r="Q386" s="4">
        <v>80.828999999999994</v>
      </c>
      <c r="R386" t="str" cm="1">
        <f t="array" ref="R386">_xlfn.IFS(B386="NY","New York",B386="TX","Texas",B386="CA","California")</f>
        <v>New York</v>
      </c>
    </row>
    <row r="387" spans="1:18" x14ac:dyDescent="0.3">
      <c r="A387" t="s">
        <v>3</v>
      </c>
      <c r="B387" t="s">
        <v>8</v>
      </c>
      <c r="C387" s="2">
        <v>43355</v>
      </c>
      <c r="D387" s="11" t="s">
        <v>161</v>
      </c>
      <c r="E387" s="3">
        <f t="shared" ref="E387:E450" ca="1" si="6">RANDBETWEEN(10000000,1000000000)</f>
        <v>295037737</v>
      </c>
      <c r="F387" t="s">
        <v>12</v>
      </c>
      <c r="G387" t="s">
        <v>14</v>
      </c>
      <c r="H387" s="1" t="s">
        <v>236</v>
      </c>
      <c r="I387" t="s">
        <v>20</v>
      </c>
      <c r="J387" s="4">
        <v>5.9</v>
      </c>
      <c r="K387" s="4">
        <v>34.67</v>
      </c>
      <c r="L387" s="4">
        <v>1</v>
      </c>
      <c r="M387" s="4">
        <v>22.9</v>
      </c>
      <c r="N387" s="4">
        <v>139.26820000000001</v>
      </c>
      <c r="O387" s="4">
        <v>75.819999999999993</v>
      </c>
      <c r="P387" s="4">
        <v>3.8764546470000001</v>
      </c>
      <c r="Q387" s="4">
        <v>65.222999999999999</v>
      </c>
      <c r="R387" t="str" cm="1">
        <f t="array" ref="R387">_xlfn.IFS(B387="NY","New York",B387="TX","Texas",B387="CA","California")</f>
        <v>California</v>
      </c>
    </row>
    <row r="388" spans="1:18" x14ac:dyDescent="0.3">
      <c r="A388" t="s">
        <v>2</v>
      </c>
      <c r="B388" t="s">
        <v>7</v>
      </c>
      <c r="C388" s="2">
        <v>42840</v>
      </c>
      <c r="D388" s="11" t="s">
        <v>118</v>
      </c>
      <c r="E388" s="3">
        <f t="shared" ca="1" si="6"/>
        <v>871620300</v>
      </c>
      <c r="F388" t="s">
        <v>12</v>
      </c>
      <c r="G388" t="s">
        <v>15</v>
      </c>
      <c r="H388" s="1" t="s">
        <v>236</v>
      </c>
      <c r="I388" t="s">
        <v>21</v>
      </c>
      <c r="J388" s="4">
        <v>3.2</v>
      </c>
      <c r="K388" s="4">
        <v>68.97</v>
      </c>
      <c r="L388" s="4">
        <v>6</v>
      </c>
      <c r="M388" s="4">
        <v>30.83</v>
      </c>
      <c r="N388" s="4">
        <v>110.5098</v>
      </c>
      <c r="O388" s="4">
        <v>280.62</v>
      </c>
      <c r="P388" s="4">
        <v>3.8764546470000001</v>
      </c>
      <c r="Q388" s="4">
        <v>98.82</v>
      </c>
      <c r="R388" t="str" cm="1">
        <f t="array" ref="R388">_xlfn.IFS(B388="NY","New York",B388="TX","Texas",B388="CA","California")</f>
        <v>Texas</v>
      </c>
    </row>
    <row r="389" spans="1:18" x14ac:dyDescent="0.3">
      <c r="A389" t="s">
        <v>1</v>
      </c>
      <c r="B389" t="s">
        <v>6</v>
      </c>
      <c r="C389" s="2">
        <v>42797</v>
      </c>
      <c r="D389" s="11" t="s">
        <v>119</v>
      </c>
      <c r="E389" s="3">
        <f t="shared" ca="1" si="6"/>
        <v>583008751</v>
      </c>
      <c r="F389" t="s">
        <v>11</v>
      </c>
      <c r="G389" t="s">
        <v>15</v>
      </c>
      <c r="H389" s="1" t="s">
        <v>237</v>
      </c>
      <c r="I389" t="s">
        <v>17</v>
      </c>
      <c r="J389" s="4">
        <v>8.4</v>
      </c>
      <c r="K389" s="4">
        <v>35.729999999999997</v>
      </c>
      <c r="L389" s="4">
        <v>10</v>
      </c>
      <c r="M389" s="4">
        <v>33.83</v>
      </c>
      <c r="N389" s="4">
        <v>135.46899999999999</v>
      </c>
      <c r="O389" s="4">
        <v>323.2</v>
      </c>
      <c r="P389" s="4">
        <v>3.8764546470000001</v>
      </c>
      <c r="Q389" s="4">
        <v>68.581000000000003</v>
      </c>
      <c r="R389" t="str" cm="1">
        <f t="array" ref="R389">_xlfn.IFS(B389="NY","New York",B389="TX","Texas",B389="CA","California")</f>
        <v>New York</v>
      </c>
    </row>
    <row r="390" spans="1:18" x14ac:dyDescent="0.3">
      <c r="A390" t="s">
        <v>2</v>
      </c>
      <c r="B390" t="s">
        <v>7</v>
      </c>
      <c r="C390" s="2">
        <v>43461</v>
      </c>
      <c r="D390" s="11" t="s">
        <v>40</v>
      </c>
      <c r="E390" s="3">
        <f t="shared" ca="1" si="6"/>
        <v>743248413</v>
      </c>
      <c r="F390" t="s">
        <v>11</v>
      </c>
      <c r="G390" t="s">
        <v>14</v>
      </c>
      <c r="H390" s="1" t="s">
        <v>235</v>
      </c>
      <c r="I390" t="s">
        <v>22</v>
      </c>
      <c r="J390" s="4">
        <v>4.0999999999999996</v>
      </c>
      <c r="K390" s="4">
        <v>13.57</v>
      </c>
      <c r="L390" s="4">
        <v>9</v>
      </c>
      <c r="M390" s="4">
        <v>29.67</v>
      </c>
      <c r="N390" s="4">
        <v>133.14259999999999</v>
      </c>
      <c r="O390" s="4">
        <v>486.63</v>
      </c>
      <c r="P390" s="4">
        <v>3.8764546470000001</v>
      </c>
      <c r="Q390" s="4">
        <v>21.896999999999998</v>
      </c>
      <c r="R390" t="str" cm="1">
        <f t="array" ref="R390">_xlfn.IFS(B390="NY","New York",B390="TX","Texas",B390="CA","California")</f>
        <v>Texas</v>
      </c>
    </row>
    <row r="391" spans="1:18" x14ac:dyDescent="0.3">
      <c r="A391" t="s">
        <v>3</v>
      </c>
      <c r="B391" t="s">
        <v>8</v>
      </c>
      <c r="C391" s="2">
        <v>43155</v>
      </c>
      <c r="D391" s="11" t="s">
        <v>30</v>
      </c>
      <c r="E391" s="3">
        <f t="shared" ca="1" si="6"/>
        <v>381983564</v>
      </c>
      <c r="F391" t="s">
        <v>12</v>
      </c>
      <c r="G391" t="s">
        <v>15</v>
      </c>
      <c r="H391" s="1" t="s">
        <v>237</v>
      </c>
      <c r="I391" t="s">
        <v>21</v>
      </c>
      <c r="J391" s="4">
        <v>2.2000000000000002</v>
      </c>
      <c r="K391" s="4">
        <v>92.57</v>
      </c>
      <c r="L391" s="4">
        <v>7</v>
      </c>
      <c r="M391" s="4">
        <v>11.39</v>
      </c>
      <c r="N391" s="4">
        <v>141.5317</v>
      </c>
      <c r="O391" s="4">
        <v>127.54</v>
      </c>
      <c r="P391" s="4">
        <v>3.8764546470000001</v>
      </c>
      <c r="Q391" s="4">
        <v>12.827999999999999</v>
      </c>
      <c r="R391" t="str" cm="1">
        <f t="array" ref="R391">_xlfn.IFS(B391="NY","New York",B391="TX","Texas",B391="CA","California")</f>
        <v>California</v>
      </c>
    </row>
    <row r="392" spans="1:18" x14ac:dyDescent="0.3">
      <c r="A392" t="s">
        <v>2</v>
      </c>
      <c r="B392" t="s">
        <v>7</v>
      </c>
      <c r="C392" s="2">
        <v>43274</v>
      </c>
      <c r="D392" s="11" t="s">
        <v>170</v>
      </c>
      <c r="E392" s="3">
        <f t="shared" ca="1" si="6"/>
        <v>908298079</v>
      </c>
      <c r="F392" t="s">
        <v>11</v>
      </c>
      <c r="G392" t="s">
        <v>14</v>
      </c>
      <c r="H392" s="1" t="s">
        <v>236</v>
      </c>
      <c r="I392" t="s">
        <v>22</v>
      </c>
      <c r="J392" s="4">
        <v>2.1</v>
      </c>
      <c r="K392" s="4">
        <v>24</v>
      </c>
      <c r="L392" s="4">
        <v>3</v>
      </c>
      <c r="M392" s="4">
        <v>70.14</v>
      </c>
      <c r="N392" s="4">
        <v>104.7274</v>
      </c>
      <c r="O392" s="4">
        <v>241.44</v>
      </c>
      <c r="P392" s="4">
        <v>3.8764546470000001</v>
      </c>
      <c r="Q392" s="4">
        <v>41.220999999999997</v>
      </c>
      <c r="R392" t="str" cm="1">
        <f t="array" ref="R392">_xlfn.IFS(B392="NY","New York",B392="TX","Texas",B392="CA","California")</f>
        <v>Texas</v>
      </c>
    </row>
    <row r="393" spans="1:18" x14ac:dyDescent="0.3">
      <c r="A393" t="s">
        <v>3</v>
      </c>
      <c r="B393" t="s">
        <v>8</v>
      </c>
      <c r="C393" s="2">
        <v>42904</v>
      </c>
      <c r="D393" s="11" t="s">
        <v>166</v>
      </c>
      <c r="E393" s="3">
        <f t="shared" ca="1" si="6"/>
        <v>760658131</v>
      </c>
      <c r="F393" t="s">
        <v>11</v>
      </c>
      <c r="G393" t="s">
        <v>15</v>
      </c>
      <c r="H393" s="1" t="s">
        <v>236</v>
      </c>
      <c r="I393" t="s">
        <v>22</v>
      </c>
      <c r="J393" s="4">
        <v>7.5</v>
      </c>
      <c r="K393" s="4">
        <v>50.7</v>
      </c>
      <c r="L393" s="4">
        <v>10</v>
      </c>
      <c r="M393" s="4">
        <v>80.56</v>
      </c>
      <c r="N393" s="4">
        <v>105.8498</v>
      </c>
      <c r="O393" s="4">
        <v>379.5</v>
      </c>
      <c r="P393" s="4">
        <v>3.8764546470000001</v>
      </c>
      <c r="Q393" s="4">
        <v>34.459000000000003</v>
      </c>
      <c r="R393" t="str" cm="1">
        <f t="array" ref="R393">_xlfn.IFS(B393="NY","New York",B393="TX","Texas",B393="CA","California")</f>
        <v>California</v>
      </c>
    </row>
    <row r="394" spans="1:18" x14ac:dyDescent="0.3">
      <c r="A394" t="s">
        <v>1</v>
      </c>
      <c r="B394" t="s">
        <v>6</v>
      </c>
      <c r="C394" s="2">
        <v>43326</v>
      </c>
      <c r="D394" s="11" t="s">
        <v>133</v>
      </c>
      <c r="E394" s="3">
        <f t="shared" ca="1" si="6"/>
        <v>756820708</v>
      </c>
      <c r="F394" t="s">
        <v>12</v>
      </c>
      <c r="G394" t="s">
        <v>14</v>
      </c>
      <c r="H394" s="1" t="s">
        <v>235</v>
      </c>
      <c r="I394" t="s">
        <v>18</v>
      </c>
      <c r="J394" s="4">
        <v>5.3</v>
      </c>
      <c r="K394" s="4">
        <v>47.46</v>
      </c>
      <c r="L394" s="4">
        <v>1</v>
      </c>
      <c r="M394" s="4">
        <v>59.8</v>
      </c>
      <c r="N394" s="4">
        <v>166.16489999999999</v>
      </c>
      <c r="O394" s="4">
        <v>76.819999999999993</v>
      </c>
      <c r="P394" s="4">
        <v>3.8764546470000001</v>
      </c>
      <c r="Q394" s="4">
        <v>68.763999999999996</v>
      </c>
      <c r="R394" t="str" cm="1">
        <f t="array" ref="R394">_xlfn.IFS(B394="NY","New York",B394="TX","Texas",B394="CA","California")</f>
        <v>New York</v>
      </c>
    </row>
    <row r="395" spans="1:18" x14ac:dyDescent="0.3">
      <c r="A395" t="s">
        <v>1</v>
      </c>
      <c r="B395" t="s">
        <v>6</v>
      </c>
      <c r="C395" s="2">
        <v>43164</v>
      </c>
      <c r="D395" s="11" t="s">
        <v>182</v>
      </c>
      <c r="E395" s="3">
        <f t="shared" ca="1" si="6"/>
        <v>688579991</v>
      </c>
      <c r="F395" t="s">
        <v>11</v>
      </c>
      <c r="G395" t="s">
        <v>14</v>
      </c>
      <c r="H395" s="1" t="s">
        <v>237</v>
      </c>
      <c r="I395" t="s">
        <v>20</v>
      </c>
      <c r="J395" s="4">
        <v>3.7</v>
      </c>
      <c r="K395" s="4">
        <v>68.42</v>
      </c>
      <c r="L395" s="4">
        <v>10</v>
      </c>
      <c r="M395" s="4">
        <v>32.93</v>
      </c>
      <c r="N395" s="4">
        <v>130.82159999999999</v>
      </c>
      <c r="O395" s="4">
        <v>522.6</v>
      </c>
      <c r="P395" s="4">
        <v>3.8764546470000001</v>
      </c>
      <c r="Q395" s="4">
        <v>78.45</v>
      </c>
      <c r="R395" t="str" cm="1">
        <f t="array" ref="R395">_xlfn.IFS(B395="NY","New York",B395="TX","Texas",B395="CA","California")</f>
        <v>New York</v>
      </c>
    </row>
    <row r="396" spans="1:18" x14ac:dyDescent="0.3">
      <c r="A396" t="s">
        <v>1</v>
      </c>
      <c r="B396" t="s">
        <v>6</v>
      </c>
      <c r="C396" s="2">
        <v>43089</v>
      </c>
      <c r="D396" s="11" t="s">
        <v>207</v>
      </c>
      <c r="E396" s="3">
        <f t="shared" ca="1" si="6"/>
        <v>666151033</v>
      </c>
      <c r="F396" t="s">
        <v>11</v>
      </c>
      <c r="G396" t="s">
        <v>15</v>
      </c>
      <c r="H396" s="1" t="s">
        <v>235</v>
      </c>
      <c r="I396" t="s">
        <v>17</v>
      </c>
      <c r="J396" s="4">
        <v>8.4</v>
      </c>
      <c r="K396" s="4">
        <v>78.81</v>
      </c>
      <c r="L396" s="4">
        <v>1</v>
      </c>
      <c r="M396" s="4">
        <v>82.3</v>
      </c>
      <c r="N396" s="4">
        <v>114.4665</v>
      </c>
      <c r="O396" s="4">
        <v>79.739999999999995</v>
      </c>
      <c r="P396" s="4">
        <v>3.8764546470000001</v>
      </c>
      <c r="Q396" s="4">
        <v>93.662999999999997</v>
      </c>
      <c r="R396" t="str" cm="1">
        <f t="array" ref="R396">_xlfn.IFS(B396="NY","New York",B396="TX","Texas",B396="CA","California")</f>
        <v>New York</v>
      </c>
    </row>
    <row r="397" spans="1:18" x14ac:dyDescent="0.3">
      <c r="A397" t="s">
        <v>1</v>
      </c>
      <c r="B397" t="s">
        <v>6</v>
      </c>
      <c r="C397" s="2">
        <v>42946</v>
      </c>
      <c r="D397" s="11" t="s">
        <v>138</v>
      </c>
      <c r="E397" s="3">
        <f t="shared" ca="1" si="6"/>
        <v>529778089</v>
      </c>
      <c r="F397" t="s">
        <v>11</v>
      </c>
      <c r="G397" t="s">
        <v>15</v>
      </c>
      <c r="H397" s="1" t="s">
        <v>235</v>
      </c>
      <c r="I397" t="s">
        <v>17</v>
      </c>
      <c r="J397" s="4">
        <v>7.5</v>
      </c>
      <c r="K397" s="4">
        <v>50.1</v>
      </c>
      <c r="L397" s="4">
        <v>5</v>
      </c>
      <c r="M397" s="4">
        <v>80.05</v>
      </c>
      <c r="N397" s="4">
        <v>158.56190000000001</v>
      </c>
      <c r="O397" s="4">
        <v>387.5</v>
      </c>
      <c r="P397" s="4">
        <v>3.8764546470000001</v>
      </c>
      <c r="Q397" s="4">
        <v>85.972999999999999</v>
      </c>
      <c r="R397" t="str" cm="1">
        <f t="array" ref="R397">_xlfn.IFS(B397="NY","New York",B397="TX","Texas",B397="CA","California")</f>
        <v>New York</v>
      </c>
    </row>
    <row r="398" spans="1:18" x14ac:dyDescent="0.3">
      <c r="A398" t="s">
        <v>1</v>
      </c>
      <c r="B398" t="s">
        <v>6</v>
      </c>
      <c r="C398" s="2">
        <v>42948</v>
      </c>
      <c r="D398" s="11" t="s">
        <v>112</v>
      </c>
      <c r="E398" s="3">
        <f t="shared" ca="1" si="6"/>
        <v>268750034</v>
      </c>
      <c r="F398" t="s">
        <v>11</v>
      </c>
      <c r="G398" t="s">
        <v>15</v>
      </c>
      <c r="H398" s="1" t="s">
        <v>235</v>
      </c>
      <c r="I398" t="s">
        <v>21</v>
      </c>
      <c r="J398" s="4">
        <v>1.6</v>
      </c>
      <c r="K398" s="4">
        <v>19.34</v>
      </c>
      <c r="L398" s="4">
        <v>5</v>
      </c>
      <c r="M398" s="4">
        <v>32.49</v>
      </c>
      <c r="N398" s="4">
        <v>157.75569999999999</v>
      </c>
      <c r="O398" s="4">
        <v>271.35000000000002</v>
      </c>
      <c r="P398" s="4">
        <v>3.8764546470000001</v>
      </c>
      <c r="Q398" s="4">
        <v>84.808000000000007</v>
      </c>
      <c r="R398" t="str" cm="1">
        <f t="array" ref="R398">_xlfn.IFS(B398="NY","New York",B398="TX","Texas",B398="CA","California")</f>
        <v>New York</v>
      </c>
    </row>
    <row r="399" spans="1:18" x14ac:dyDescent="0.3">
      <c r="A399" t="s">
        <v>3</v>
      </c>
      <c r="B399" t="s">
        <v>8</v>
      </c>
      <c r="C399" s="2">
        <v>42993</v>
      </c>
      <c r="D399" s="11" t="s">
        <v>192</v>
      </c>
      <c r="E399" s="3">
        <f t="shared" ca="1" si="6"/>
        <v>626798911</v>
      </c>
      <c r="F399" t="s">
        <v>12</v>
      </c>
      <c r="G399" t="s">
        <v>15</v>
      </c>
      <c r="H399" s="1" t="s">
        <v>236</v>
      </c>
      <c r="I399" t="s">
        <v>19</v>
      </c>
      <c r="J399" s="4">
        <v>6.1</v>
      </c>
      <c r="K399" s="4">
        <v>22.36</v>
      </c>
      <c r="L399" s="4">
        <v>9</v>
      </c>
      <c r="M399" s="4">
        <v>67.77</v>
      </c>
      <c r="N399" s="4">
        <v>124.4508</v>
      </c>
      <c r="O399" s="4">
        <v>122.31</v>
      </c>
      <c r="P399" s="4">
        <v>3.8764546470000001</v>
      </c>
      <c r="Q399" s="4">
        <v>54.064999999999998</v>
      </c>
      <c r="R399" t="str" cm="1">
        <f t="array" ref="R399">_xlfn.IFS(B399="NY","New York",B399="TX","Texas",B399="CA","California")</f>
        <v>California</v>
      </c>
    </row>
    <row r="400" spans="1:18" x14ac:dyDescent="0.3">
      <c r="A400" t="s">
        <v>3</v>
      </c>
      <c r="B400" t="s">
        <v>8</v>
      </c>
      <c r="C400" s="2">
        <v>43061</v>
      </c>
      <c r="D400" s="11" t="s">
        <v>57</v>
      </c>
      <c r="E400" s="3">
        <f t="shared" ca="1" si="6"/>
        <v>190789584</v>
      </c>
      <c r="F400" t="s">
        <v>11</v>
      </c>
      <c r="G400" t="s">
        <v>14</v>
      </c>
      <c r="H400" s="1" t="s">
        <v>237</v>
      </c>
      <c r="I400" t="s">
        <v>17</v>
      </c>
      <c r="J400" s="4">
        <v>5</v>
      </c>
      <c r="K400" s="4">
        <v>84.33</v>
      </c>
      <c r="L400" s="4">
        <v>6</v>
      </c>
      <c r="M400" s="4">
        <v>89.72</v>
      </c>
      <c r="N400" s="4">
        <v>106.622</v>
      </c>
      <c r="O400" s="4">
        <v>246.36</v>
      </c>
      <c r="P400" s="4">
        <v>3.8764546470000001</v>
      </c>
      <c r="Q400" s="4">
        <v>15.287000000000001</v>
      </c>
      <c r="R400" t="str" cm="1">
        <f t="array" ref="R400">_xlfn.IFS(B400="NY","New York",B400="TX","Texas",B400="CA","California")</f>
        <v>California</v>
      </c>
    </row>
    <row r="401" spans="1:18" x14ac:dyDescent="0.3">
      <c r="A401" t="s">
        <v>3</v>
      </c>
      <c r="B401" t="s">
        <v>8</v>
      </c>
      <c r="C401" s="2">
        <v>43424</v>
      </c>
      <c r="D401" s="11" t="s">
        <v>173</v>
      </c>
      <c r="E401" s="3">
        <f t="shared" ca="1" si="6"/>
        <v>404386829</v>
      </c>
      <c r="F401" t="s">
        <v>12</v>
      </c>
      <c r="G401" t="s">
        <v>14</v>
      </c>
      <c r="H401" s="1" t="s">
        <v>236</v>
      </c>
      <c r="I401" t="s">
        <v>18</v>
      </c>
      <c r="J401" s="4">
        <v>9.5</v>
      </c>
      <c r="K401" s="4">
        <v>71.97</v>
      </c>
      <c r="L401" s="4">
        <v>9</v>
      </c>
      <c r="M401" s="4">
        <v>47.76</v>
      </c>
      <c r="N401" s="4">
        <v>107.5448</v>
      </c>
      <c r="O401" s="4">
        <v>173.16</v>
      </c>
      <c r="P401" s="4">
        <v>3.8764546470000001</v>
      </c>
      <c r="Q401" s="4">
        <v>64.447999999999993</v>
      </c>
      <c r="R401" t="str" cm="1">
        <f t="array" ref="R401">_xlfn.IFS(B401="NY","New York",B401="TX","Texas",B401="CA","California")</f>
        <v>California</v>
      </c>
    </row>
    <row r="402" spans="1:18" x14ac:dyDescent="0.3">
      <c r="A402" t="s">
        <v>2</v>
      </c>
      <c r="B402" t="s">
        <v>7</v>
      </c>
      <c r="C402" s="2">
        <v>42816</v>
      </c>
      <c r="D402" s="11" t="s">
        <v>67</v>
      </c>
      <c r="E402" s="3">
        <f t="shared" ca="1" si="6"/>
        <v>939419850</v>
      </c>
      <c r="F402" t="s">
        <v>11</v>
      </c>
      <c r="G402" t="s">
        <v>15</v>
      </c>
      <c r="H402" s="1" t="s">
        <v>237</v>
      </c>
      <c r="I402" t="s">
        <v>21</v>
      </c>
      <c r="J402" s="4">
        <v>7.9</v>
      </c>
      <c r="K402" s="4">
        <v>32.36</v>
      </c>
      <c r="L402" s="4">
        <v>6</v>
      </c>
      <c r="M402" s="4">
        <v>36.92</v>
      </c>
      <c r="N402" s="4">
        <v>176.58519999999999</v>
      </c>
      <c r="O402" s="4">
        <v>236.58</v>
      </c>
      <c r="P402" s="4">
        <v>3.8764546470000001</v>
      </c>
      <c r="Q402" s="4">
        <v>70.14</v>
      </c>
      <c r="R402" t="str" cm="1">
        <f t="array" ref="R402">_xlfn.IFS(B402="NY","New York",B402="TX","Texas",B402="CA","California")</f>
        <v>Texas</v>
      </c>
    </row>
    <row r="403" spans="1:18" x14ac:dyDescent="0.3">
      <c r="A403" t="s">
        <v>2</v>
      </c>
      <c r="B403" t="s">
        <v>7</v>
      </c>
      <c r="C403" s="2">
        <v>42971</v>
      </c>
      <c r="D403" s="11" t="s">
        <v>208</v>
      </c>
      <c r="E403" s="3">
        <f t="shared" ca="1" si="6"/>
        <v>258839210</v>
      </c>
      <c r="F403" t="s">
        <v>12</v>
      </c>
      <c r="G403" t="s">
        <v>15</v>
      </c>
      <c r="H403" s="1" t="s">
        <v>237</v>
      </c>
      <c r="I403" t="s">
        <v>19</v>
      </c>
      <c r="J403" s="4">
        <v>2.1</v>
      </c>
      <c r="K403" s="4">
        <v>87.23</v>
      </c>
      <c r="L403" s="4">
        <v>4</v>
      </c>
      <c r="M403" s="4">
        <v>96.43</v>
      </c>
      <c r="N403" s="4">
        <v>147.49080000000001</v>
      </c>
      <c r="O403" s="4">
        <v>184.88</v>
      </c>
      <c r="P403" s="4">
        <v>3.8764546470000001</v>
      </c>
      <c r="Q403" s="4">
        <v>84.5</v>
      </c>
      <c r="R403" t="str" cm="1">
        <f t="array" ref="R403">_xlfn.IFS(B403="NY","New York",B403="TX","Texas",B403="CA","California")</f>
        <v>Texas</v>
      </c>
    </row>
    <row r="404" spans="1:18" x14ac:dyDescent="0.3">
      <c r="A404" t="s">
        <v>2</v>
      </c>
      <c r="B404" t="s">
        <v>7</v>
      </c>
      <c r="C404" s="2">
        <v>42809</v>
      </c>
      <c r="D404" s="11" t="s">
        <v>43</v>
      </c>
      <c r="E404" s="3">
        <f t="shared" ca="1" si="6"/>
        <v>272066313</v>
      </c>
      <c r="F404" t="s">
        <v>12</v>
      </c>
      <c r="G404" t="s">
        <v>14</v>
      </c>
      <c r="H404" s="1" t="s">
        <v>235</v>
      </c>
      <c r="I404" t="s">
        <v>19</v>
      </c>
      <c r="J404" s="4">
        <v>6</v>
      </c>
      <c r="K404" s="4">
        <v>82.02</v>
      </c>
      <c r="L404" s="4">
        <v>1</v>
      </c>
      <c r="M404" s="4">
        <v>59.81</v>
      </c>
      <c r="N404" s="4">
        <v>119.8995</v>
      </c>
      <c r="O404" s="4">
        <v>13.98</v>
      </c>
      <c r="P404" s="4">
        <v>3.8764546470000001</v>
      </c>
      <c r="Q404" s="4">
        <v>83.26</v>
      </c>
      <c r="R404" t="str" cm="1">
        <f t="array" ref="R404">_xlfn.IFS(B404="NY","New York",B404="TX","Texas",B404="CA","California")</f>
        <v>Texas</v>
      </c>
    </row>
    <row r="405" spans="1:18" x14ac:dyDescent="0.3">
      <c r="A405" t="s">
        <v>3</v>
      </c>
      <c r="B405" t="s">
        <v>8</v>
      </c>
      <c r="C405" s="2">
        <v>43219</v>
      </c>
      <c r="D405" s="11" t="s">
        <v>154</v>
      </c>
      <c r="E405" s="3">
        <f t="shared" ca="1" si="6"/>
        <v>132902811</v>
      </c>
      <c r="F405" t="s">
        <v>11</v>
      </c>
      <c r="G405" t="s">
        <v>15</v>
      </c>
      <c r="H405" s="1" t="s">
        <v>235</v>
      </c>
      <c r="I405" t="s">
        <v>22</v>
      </c>
      <c r="J405" s="4">
        <v>3</v>
      </c>
      <c r="K405" s="4">
        <v>22.73</v>
      </c>
      <c r="L405" s="4">
        <v>5</v>
      </c>
      <c r="M405" s="4">
        <v>37.1</v>
      </c>
      <c r="N405" s="4">
        <v>136.1893</v>
      </c>
      <c r="O405" s="4">
        <v>198.75</v>
      </c>
      <c r="P405" s="4">
        <v>3.8764546470000001</v>
      </c>
      <c r="Q405" s="4">
        <v>93.16</v>
      </c>
      <c r="R405" t="str" cm="1">
        <f t="array" ref="R405">_xlfn.IFS(B405="NY","New York",B405="TX","Texas",B405="CA","California")</f>
        <v>California</v>
      </c>
    </row>
    <row r="406" spans="1:18" x14ac:dyDescent="0.3">
      <c r="A406" t="s">
        <v>2</v>
      </c>
      <c r="B406" t="s">
        <v>7</v>
      </c>
      <c r="C406" s="2">
        <v>43024</v>
      </c>
      <c r="D406" s="11" t="s">
        <v>80</v>
      </c>
      <c r="E406" s="3">
        <f t="shared" ca="1" si="6"/>
        <v>178502856</v>
      </c>
      <c r="F406" t="s">
        <v>11</v>
      </c>
      <c r="G406" t="s">
        <v>14</v>
      </c>
      <c r="H406" s="1" t="s">
        <v>235</v>
      </c>
      <c r="I406" t="s">
        <v>22</v>
      </c>
      <c r="J406" s="4">
        <v>6</v>
      </c>
      <c r="K406" s="4">
        <v>33.22</v>
      </c>
      <c r="L406" s="4">
        <v>7</v>
      </c>
      <c r="M406" s="4">
        <v>37.71</v>
      </c>
      <c r="N406" s="4">
        <v>103.9474</v>
      </c>
      <c r="O406" s="4">
        <v>684.53</v>
      </c>
      <c r="P406" s="4">
        <v>3.8764546470000001</v>
      </c>
      <c r="Q406" s="4">
        <v>40.97</v>
      </c>
      <c r="R406" t="str" cm="1">
        <f t="array" ref="R406">_xlfn.IFS(B406="NY","New York",B406="TX","Texas",B406="CA","California")</f>
        <v>Texas</v>
      </c>
    </row>
    <row r="407" spans="1:18" x14ac:dyDescent="0.3">
      <c r="A407" t="s">
        <v>1</v>
      </c>
      <c r="B407" t="s">
        <v>6</v>
      </c>
      <c r="C407" s="2">
        <v>42875</v>
      </c>
      <c r="D407" s="11" t="s">
        <v>209</v>
      </c>
      <c r="E407" s="3">
        <f t="shared" ca="1" si="6"/>
        <v>373977414</v>
      </c>
      <c r="F407" t="s">
        <v>12</v>
      </c>
      <c r="G407" t="s">
        <v>14</v>
      </c>
      <c r="H407" s="1" t="s">
        <v>237</v>
      </c>
      <c r="I407" t="s">
        <v>20</v>
      </c>
      <c r="J407" s="4">
        <v>8</v>
      </c>
      <c r="K407" s="4">
        <v>31.88</v>
      </c>
      <c r="L407" s="4">
        <v>4</v>
      </c>
      <c r="M407" s="4">
        <v>16.100000000000001</v>
      </c>
      <c r="N407" s="4">
        <v>158.84979999999999</v>
      </c>
      <c r="O407" s="4">
        <v>269.04000000000002</v>
      </c>
      <c r="P407" s="4">
        <v>3.8764546470000001</v>
      </c>
      <c r="Q407" s="4">
        <v>60.65</v>
      </c>
      <c r="R407" t="str" cm="1">
        <f t="array" ref="R407">_xlfn.IFS(B407="NY","New York",B407="TX","Texas",B407="CA","California")</f>
        <v>New York</v>
      </c>
    </row>
    <row r="408" spans="1:18" x14ac:dyDescent="0.3">
      <c r="A408" t="s">
        <v>1</v>
      </c>
      <c r="B408" t="s">
        <v>6</v>
      </c>
      <c r="C408" s="2">
        <v>43378</v>
      </c>
      <c r="D408" s="11" t="s">
        <v>113</v>
      </c>
      <c r="E408" s="3">
        <f t="shared" ca="1" si="6"/>
        <v>522655370</v>
      </c>
      <c r="F408" t="s">
        <v>12</v>
      </c>
      <c r="G408" t="s">
        <v>15</v>
      </c>
      <c r="H408" s="1" t="s">
        <v>237</v>
      </c>
      <c r="I408" t="s">
        <v>21</v>
      </c>
      <c r="J408" s="4">
        <v>4</v>
      </c>
      <c r="K408" s="4">
        <v>56.7</v>
      </c>
      <c r="L408" s="4">
        <v>5</v>
      </c>
      <c r="M408" s="4">
        <v>34.61</v>
      </c>
      <c r="N408" s="4">
        <v>128.1551</v>
      </c>
      <c r="O408" s="4">
        <v>68.95</v>
      </c>
      <c r="P408" s="4">
        <v>3.8764546470000001</v>
      </c>
      <c r="Q408" s="4">
        <v>16.199000000000002</v>
      </c>
      <c r="R408" t="str" cm="1">
        <f t="array" ref="R408">_xlfn.IFS(B408="NY","New York",B408="TX","Texas",B408="CA","California")</f>
        <v>New York</v>
      </c>
    </row>
    <row r="409" spans="1:18" x14ac:dyDescent="0.3">
      <c r="A409" t="s">
        <v>3</v>
      </c>
      <c r="B409" t="s">
        <v>8</v>
      </c>
      <c r="C409" s="2">
        <v>42823</v>
      </c>
      <c r="D409" s="11" t="s">
        <v>47</v>
      </c>
      <c r="E409" s="3">
        <f t="shared" ca="1" si="6"/>
        <v>132017804</v>
      </c>
      <c r="F409" t="s">
        <v>11</v>
      </c>
      <c r="G409" t="s">
        <v>14</v>
      </c>
      <c r="H409" s="1" t="s">
        <v>236</v>
      </c>
      <c r="I409" t="s">
        <v>22</v>
      </c>
      <c r="J409" s="4">
        <v>4</v>
      </c>
      <c r="K409" s="4">
        <v>59.6</v>
      </c>
      <c r="L409" s="4">
        <v>4</v>
      </c>
      <c r="M409" s="4">
        <v>64.53</v>
      </c>
      <c r="N409" s="4">
        <v>130.66200000000001</v>
      </c>
      <c r="O409" s="4">
        <v>274.83999999999997</v>
      </c>
      <c r="P409" s="4">
        <v>3.8764546470000001</v>
      </c>
      <c r="Q409" s="4">
        <v>32.203000000000003</v>
      </c>
      <c r="R409" t="str" cm="1">
        <f t="array" ref="R409">_xlfn.IFS(B409="NY","New York",B409="TX","Texas",B409="CA","California")</f>
        <v>California</v>
      </c>
    </row>
    <row r="410" spans="1:18" x14ac:dyDescent="0.3">
      <c r="A410" t="s">
        <v>1</v>
      </c>
      <c r="B410" t="s">
        <v>6</v>
      </c>
      <c r="C410" s="2">
        <v>42920</v>
      </c>
      <c r="D410" s="11" t="s">
        <v>60</v>
      </c>
      <c r="E410" s="3">
        <f t="shared" ca="1" si="6"/>
        <v>249761286</v>
      </c>
      <c r="F410" t="s">
        <v>11</v>
      </c>
      <c r="G410" t="s">
        <v>15</v>
      </c>
      <c r="H410" s="1" t="s">
        <v>235</v>
      </c>
      <c r="I410" t="s">
        <v>19</v>
      </c>
      <c r="J410" s="4">
        <v>9</v>
      </c>
      <c r="K410" s="4">
        <v>84.86</v>
      </c>
      <c r="L410" s="4">
        <v>4</v>
      </c>
      <c r="M410" s="4">
        <v>78.11</v>
      </c>
      <c r="N410" s="4">
        <v>117.27370000000001</v>
      </c>
      <c r="O410" s="4">
        <v>226.12</v>
      </c>
      <c r="P410" s="4">
        <v>3.8764546470000001</v>
      </c>
      <c r="Q410" s="4">
        <v>86.382000000000005</v>
      </c>
      <c r="R410" t="str" cm="1">
        <f t="array" ref="R410">_xlfn.IFS(B410="NY","New York",B410="TX","Texas",B410="CA","California")</f>
        <v>New York</v>
      </c>
    </row>
    <row r="411" spans="1:18" x14ac:dyDescent="0.3">
      <c r="A411" t="s">
        <v>2</v>
      </c>
      <c r="B411" t="s">
        <v>7</v>
      </c>
      <c r="C411" s="2">
        <v>43464</v>
      </c>
      <c r="D411" s="11" t="s">
        <v>202</v>
      </c>
      <c r="E411" s="3">
        <f t="shared" ca="1" si="6"/>
        <v>769831732</v>
      </c>
      <c r="F411" t="s">
        <v>11</v>
      </c>
      <c r="G411" t="s">
        <v>15</v>
      </c>
      <c r="H411" s="1" t="s">
        <v>235</v>
      </c>
      <c r="I411" t="s">
        <v>22</v>
      </c>
      <c r="J411" s="4">
        <v>3</v>
      </c>
      <c r="K411" s="4">
        <v>31.03</v>
      </c>
      <c r="L411" s="4">
        <v>5</v>
      </c>
      <c r="M411" s="4">
        <v>15.2</v>
      </c>
      <c r="N411" s="4">
        <v>175.0479</v>
      </c>
      <c r="O411" s="4">
        <v>119.1</v>
      </c>
      <c r="P411" s="4">
        <v>3.8764546470000001</v>
      </c>
      <c r="Q411" s="4">
        <v>24.32</v>
      </c>
      <c r="R411" t="str" cm="1">
        <f t="array" ref="R411">_xlfn.IFS(B411="NY","New York",B411="TX","Texas",B411="CA","California")</f>
        <v>Texas</v>
      </c>
    </row>
    <row r="412" spans="1:18" x14ac:dyDescent="0.3">
      <c r="A412" t="s">
        <v>3</v>
      </c>
      <c r="B412" t="s">
        <v>8</v>
      </c>
      <c r="C412" s="2">
        <v>43327</v>
      </c>
      <c r="D412" s="11" t="s">
        <v>59</v>
      </c>
      <c r="E412" s="3">
        <f t="shared" ca="1" si="6"/>
        <v>424388800</v>
      </c>
      <c r="F412" t="s">
        <v>11</v>
      </c>
      <c r="G412" t="s">
        <v>15</v>
      </c>
      <c r="H412" s="1" t="s">
        <v>236</v>
      </c>
      <c r="I412" t="s">
        <v>17</v>
      </c>
      <c r="J412" s="4">
        <v>3</v>
      </c>
      <c r="K412" s="4">
        <v>74.84</v>
      </c>
      <c r="L412" s="4">
        <v>10</v>
      </c>
      <c r="M412" s="4">
        <v>99.81</v>
      </c>
      <c r="N412" s="4">
        <v>132.2954</v>
      </c>
      <c r="O412" s="4">
        <v>342.1</v>
      </c>
      <c r="P412" s="4">
        <v>3.8764546470000001</v>
      </c>
      <c r="Q412" s="4">
        <v>82</v>
      </c>
      <c r="R412" t="str" cm="1">
        <f t="array" ref="R412">_xlfn.IFS(B412="NY","New York",B412="TX","Texas",B412="CA","California")</f>
        <v>California</v>
      </c>
    </row>
    <row r="413" spans="1:18" x14ac:dyDescent="0.3">
      <c r="A413" t="s">
        <v>3</v>
      </c>
      <c r="B413" t="s">
        <v>8</v>
      </c>
      <c r="C413" s="2">
        <v>43150</v>
      </c>
      <c r="D413" s="11" t="s">
        <v>97</v>
      </c>
      <c r="E413" s="3">
        <f t="shared" ca="1" si="6"/>
        <v>663764339</v>
      </c>
      <c r="F413" t="s">
        <v>12</v>
      </c>
      <c r="G413" t="s">
        <v>15</v>
      </c>
      <c r="H413" s="1" t="s">
        <v>235</v>
      </c>
      <c r="I413" t="s">
        <v>20</v>
      </c>
      <c r="J413" s="4">
        <v>8</v>
      </c>
      <c r="K413" s="4">
        <v>51.86</v>
      </c>
      <c r="L413" s="4">
        <v>2</v>
      </c>
      <c r="M413" s="4">
        <v>26.97</v>
      </c>
      <c r="N413" s="4">
        <v>151.57810000000001</v>
      </c>
      <c r="O413" s="4">
        <v>43.74</v>
      </c>
      <c r="P413" s="4">
        <v>3.8764546470000001</v>
      </c>
      <c r="Q413" s="4">
        <v>36.520000000000003</v>
      </c>
      <c r="R413" t="str" cm="1">
        <f t="array" ref="R413">_xlfn.IFS(B413="NY","New York",B413="TX","Texas",B413="CA","California")</f>
        <v>California</v>
      </c>
    </row>
    <row r="414" spans="1:18" x14ac:dyDescent="0.3">
      <c r="A414" t="s">
        <v>1</v>
      </c>
      <c r="B414" t="s">
        <v>6</v>
      </c>
      <c r="C414" s="2">
        <v>43167</v>
      </c>
      <c r="D414" s="11" t="s">
        <v>142</v>
      </c>
      <c r="E414" s="3">
        <f t="shared" ca="1" si="6"/>
        <v>811630594</v>
      </c>
      <c r="F414" t="s">
        <v>12</v>
      </c>
      <c r="G414" t="s">
        <v>14</v>
      </c>
      <c r="H414" s="1" t="s">
        <v>236</v>
      </c>
      <c r="I414" t="s">
        <v>17</v>
      </c>
      <c r="J414" s="4">
        <v>5</v>
      </c>
      <c r="K414" s="4">
        <v>11.16</v>
      </c>
      <c r="L414" s="4">
        <v>5</v>
      </c>
      <c r="M414" s="4">
        <v>60.54</v>
      </c>
      <c r="N414" s="4">
        <v>137.37110000000001</v>
      </c>
      <c r="O414" s="4">
        <v>104.85</v>
      </c>
      <c r="P414" s="4">
        <v>3.8764546470000001</v>
      </c>
      <c r="Q414" s="4">
        <v>80.010000000000005</v>
      </c>
      <c r="R414" t="str" cm="1">
        <f t="array" ref="R414">_xlfn.IFS(B414="NY","New York",B414="TX","Texas",B414="CA","California")</f>
        <v>New York</v>
      </c>
    </row>
    <row r="415" spans="1:18" x14ac:dyDescent="0.3">
      <c r="A415" t="s">
        <v>1</v>
      </c>
      <c r="B415" t="s">
        <v>6</v>
      </c>
      <c r="C415" s="2">
        <v>43321</v>
      </c>
      <c r="D415" s="11" t="s">
        <v>171</v>
      </c>
      <c r="E415" s="3">
        <f t="shared" ca="1" si="6"/>
        <v>781211417</v>
      </c>
      <c r="F415" t="s">
        <v>12</v>
      </c>
      <c r="G415" t="s">
        <v>15</v>
      </c>
      <c r="H415" s="1" t="s">
        <v>235</v>
      </c>
      <c r="I415" t="s">
        <v>20</v>
      </c>
      <c r="J415" s="4">
        <v>6.9</v>
      </c>
      <c r="K415" s="4">
        <v>28.55</v>
      </c>
      <c r="L415" s="4">
        <v>3</v>
      </c>
      <c r="M415" s="4">
        <v>92.63</v>
      </c>
      <c r="N415" s="4">
        <v>182.77600000000001</v>
      </c>
      <c r="O415" s="4">
        <v>77.52</v>
      </c>
      <c r="P415" s="4">
        <v>3.8764546470000001</v>
      </c>
      <c r="Q415" s="4">
        <v>92.3</v>
      </c>
      <c r="R415" t="str" cm="1">
        <f t="array" ref="R415">_xlfn.IFS(B415="NY","New York",B415="TX","Texas",B415="CA","California")</f>
        <v>New York</v>
      </c>
    </row>
    <row r="416" spans="1:18" x14ac:dyDescent="0.3">
      <c r="A416" t="s">
        <v>1</v>
      </c>
      <c r="B416" t="s">
        <v>6</v>
      </c>
      <c r="C416" s="2">
        <v>42836</v>
      </c>
      <c r="D416" s="11" t="s">
        <v>210</v>
      </c>
      <c r="E416" s="3">
        <f t="shared" ca="1" si="6"/>
        <v>419639666</v>
      </c>
      <c r="F416" t="s">
        <v>12</v>
      </c>
      <c r="G416" t="s">
        <v>15</v>
      </c>
      <c r="H416" s="1" t="s">
        <v>235</v>
      </c>
      <c r="I416" t="s">
        <v>19</v>
      </c>
      <c r="J416" s="4">
        <v>8.1</v>
      </c>
      <c r="K416" s="4">
        <v>83.61</v>
      </c>
      <c r="L416" s="4">
        <v>8</v>
      </c>
      <c r="M416" s="4">
        <v>37.78</v>
      </c>
      <c r="N416" s="4">
        <v>113.0528</v>
      </c>
      <c r="O416" s="4">
        <v>407.44</v>
      </c>
      <c r="P416" s="4">
        <v>3.8764546470000001</v>
      </c>
      <c r="Q416" s="4">
        <v>23.446999999999999</v>
      </c>
      <c r="R416" t="str" cm="1">
        <f t="array" ref="R416">_xlfn.IFS(B416="NY","New York",B416="TX","Texas",B416="CA","California")</f>
        <v>New York</v>
      </c>
    </row>
    <row r="417" spans="1:18" x14ac:dyDescent="0.3">
      <c r="A417" t="s">
        <v>3</v>
      </c>
      <c r="B417" t="s">
        <v>8</v>
      </c>
      <c r="C417" s="2">
        <v>42903</v>
      </c>
      <c r="D417" s="11" t="s">
        <v>73</v>
      </c>
      <c r="E417" s="3">
        <f t="shared" ca="1" si="6"/>
        <v>169162211</v>
      </c>
      <c r="F417" t="s">
        <v>12</v>
      </c>
      <c r="G417" t="s">
        <v>15</v>
      </c>
      <c r="H417" s="1" t="s">
        <v>235</v>
      </c>
      <c r="I417" t="s">
        <v>17</v>
      </c>
      <c r="J417" s="4">
        <v>8.1999999999999993</v>
      </c>
      <c r="K417" s="4">
        <v>44.68</v>
      </c>
      <c r="L417" s="4">
        <v>1</v>
      </c>
      <c r="M417" s="4">
        <v>71.72</v>
      </c>
      <c r="N417" s="4">
        <v>185.57900000000001</v>
      </c>
      <c r="O417" s="4">
        <v>96.11</v>
      </c>
      <c r="P417" s="4">
        <v>3.8764546470000001</v>
      </c>
      <c r="Q417" s="4">
        <v>48.594999999999999</v>
      </c>
      <c r="R417" t="str" cm="1">
        <f t="array" ref="R417">_xlfn.IFS(B417="NY","New York",B417="TX","Texas",B417="CA","California")</f>
        <v>California</v>
      </c>
    </row>
    <row r="418" spans="1:18" x14ac:dyDescent="0.3">
      <c r="A418" t="s">
        <v>2</v>
      </c>
      <c r="B418" t="s">
        <v>7</v>
      </c>
      <c r="C418" s="2">
        <v>42965</v>
      </c>
      <c r="D418" s="11" t="s">
        <v>148</v>
      </c>
      <c r="E418" s="3">
        <f t="shared" ca="1" si="6"/>
        <v>18462131</v>
      </c>
      <c r="F418" t="s">
        <v>11</v>
      </c>
      <c r="G418" t="s">
        <v>15</v>
      </c>
      <c r="H418" s="1" t="s">
        <v>237</v>
      </c>
      <c r="I418" t="s">
        <v>19</v>
      </c>
      <c r="J418" s="4">
        <v>9</v>
      </c>
      <c r="K418" s="4">
        <v>65.97</v>
      </c>
      <c r="L418" s="4">
        <v>4</v>
      </c>
      <c r="M418" s="4">
        <v>27.86</v>
      </c>
      <c r="N418" s="4">
        <v>110.4821</v>
      </c>
      <c r="O418" s="4">
        <v>181.52</v>
      </c>
      <c r="P418" s="4">
        <v>3.8764546470000001</v>
      </c>
      <c r="Q418" s="4">
        <v>58.843000000000004</v>
      </c>
      <c r="R418" t="str" cm="1">
        <f t="array" ref="R418">_xlfn.IFS(B418="NY","New York",B418="TX","Texas",B418="CA","California")</f>
        <v>Texas</v>
      </c>
    </row>
    <row r="419" spans="1:18" x14ac:dyDescent="0.3">
      <c r="A419" t="s">
        <v>2</v>
      </c>
      <c r="B419" t="s">
        <v>7</v>
      </c>
      <c r="C419" s="2">
        <v>43269</v>
      </c>
      <c r="D419" s="11" t="s">
        <v>211</v>
      </c>
      <c r="E419" s="3">
        <f t="shared" ca="1" si="6"/>
        <v>230223745</v>
      </c>
      <c r="F419" t="s">
        <v>11</v>
      </c>
      <c r="G419" t="s">
        <v>14</v>
      </c>
      <c r="H419" s="1" t="s">
        <v>235</v>
      </c>
      <c r="I419" t="s">
        <v>17</v>
      </c>
      <c r="J419" s="4">
        <v>4.3</v>
      </c>
      <c r="K419" s="4">
        <v>62.77</v>
      </c>
      <c r="L419" s="4">
        <v>1</v>
      </c>
      <c r="M419" s="4">
        <v>73.25</v>
      </c>
      <c r="N419" s="4">
        <v>160.2603</v>
      </c>
      <c r="O419" s="4">
        <v>81.510000000000005</v>
      </c>
      <c r="P419" s="4">
        <v>3.8764546470000001</v>
      </c>
      <c r="Q419" s="4">
        <v>77.209999999999994</v>
      </c>
      <c r="R419" t="str" cm="1">
        <f t="array" ref="R419">_xlfn.IFS(B419="NY","New York",B419="TX","Texas",B419="CA","California")</f>
        <v>Texas</v>
      </c>
    </row>
    <row r="420" spans="1:18" x14ac:dyDescent="0.3">
      <c r="A420" t="s">
        <v>3</v>
      </c>
      <c r="B420" t="s">
        <v>8</v>
      </c>
      <c r="C420" s="2">
        <v>43220</v>
      </c>
      <c r="D420" s="11" t="s">
        <v>146</v>
      </c>
      <c r="E420" s="3">
        <f t="shared" ca="1" si="6"/>
        <v>697824923</v>
      </c>
      <c r="F420" t="s">
        <v>11</v>
      </c>
      <c r="G420" t="s">
        <v>15</v>
      </c>
      <c r="H420" s="1" t="s">
        <v>235</v>
      </c>
      <c r="I420" t="s">
        <v>17</v>
      </c>
      <c r="J420" s="4">
        <v>5</v>
      </c>
      <c r="K420" s="4">
        <v>38.22</v>
      </c>
      <c r="L420" s="4">
        <v>2</v>
      </c>
      <c r="M420" s="4">
        <v>97.87</v>
      </c>
      <c r="N420" s="4">
        <v>143.40360000000001</v>
      </c>
      <c r="O420" s="4">
        <v>114.44</v>
      </c>
      <c r="P420" s="4">
        <v>3.8764546470000001</v>
      </c>
      <c r="Q420" s="4">
        <v>55.14</v>
      </c>
      <c r="R420" t="str" cm="1">
        <f t="array" ref="R420">_xlfn.IFS(B420="NY","New York",B420="TX","Texas",B420="CA","California")</f>
        <v>California</v>
      </c>
    </row>
    <row r="421" spans="1:18" x14ac:dyDescent="0.3">
      <c r="A421" t="s">
        <v>1</v>
      </c>
      <c r="B421" t="s">
        <v>6</v>
      </c>
      <c r="C421" s="2">
        <v>43305</v>
      </c>
      <c r="D421" s="11" t="s">
        <v>141</v>
      </c>
      <c r="E421" s="3">
        <f t="shared" ca="1" si="6"/>
        <v>56359172</v>
      </c>
      <c r="F421" t="s">
        <v>11</v>
      </c>
      <c r="G421" t="s">
        <v>14</v>
      </c>
      <c r="H421" s="1" t="s">
        <v>236</v>
      </c>
      <c r="I421" t="s">
        <v>18</v>
      </c>
      <c r="J421" s="4">
        <v>8.6</v>
      </c>
      <c r="K421" s="4">
        <v>78.790000000000006</v>
      </c>
      <c r="L421" s="4">
        <v>7</v>
      </c>
      <c r="M421" s="4">
        <v>84.8</v>
      </c>
      <c r="N421" s="4">
        <v>112.57559999999999</v>
      </c>
      <c r="O421" s="4">
        <v>176.54</v>
      </c>
      <c r="P421" s="4">
        <v>3.8764546470000001</v>
      </c>
      <c r="Q421" s="4">
        <v>68.64</v>
      </c>
      <c r="R421" t="str" cm="1">
        <f t="array" ref="R421">_xlfn.IFS(B421="NY","New York",B421="TX","Texas",B421="CA","California")</f>
        <v>New York</v>
      </c>
    </row>
    <row r="422" spans="1:18" x14ac:dyDescent="0.3">
      <c r="A422" t="s">
        <v>2</v>
      </c>
      <c r="B422" t="s">
        <v>7</v>
      </c>
      <c r="C422" s="2">
        <v>42899</v>
      </c>
      <c r="D422" s="11" t="s">
        <v>146</v>
      </c>
      <c r="E422" s="3">
        <f t="shared" ca="1" si="6"/>
        <v>281852601</v>
      </c>
      <c r="F422" t="s">
        <v>11</v>
      </c>
      <c r="G422" t="s">
        <v>14</v>
      </c>
      <c r="H422" s="1" t="s">
        <v>235</v>
      </c>
      <c r="I422" t="s">
        <v>21</v>
      </c>
      <c r="J422" s="4">
        <v>1.8</v>
      </c>
      <c r="K422" s="4">
        <v>33.68</v>
      </c>
      <c r="L422" s="4">
        <v>3</v>
      </c>
      <c r="M422" s="4">
        <v>27.91</v>
      </c>
      <c r="N422" s="4">
        <v>100.4483</v>
      </c>
      <c r="O422" s="4">
        <v>115.8</v>
      </c>
      <c r="P422" s="4">
        <v>3.8764546470000001</v>
      </c>
      <c r="Q422" s="4">
        <v>42.113999999999997</v>
      </c>
      <c r="R422" t="str" cm="1">
        <f t="array" ref="R422">_xlfn.IFS(B422="NY","New York",B422="TX","Texas",B422="CA","California")</f>
        <v>Texas</v>
      </c>
    </row>
    <row r="423" spans="1:18" x14ac:dyDescent="0.3">
      <c r="A423" t="s">
        <v>2</v>
      </c>
      <c r="B423" t="s">
        <v>7</v>
      </c>
      <c r="C423" s="2">
        <v>43089</v>
      </c>
      <c r="D423" s="11" t="s">
        <v>193</v>
      </c>
      <c r="E423" s="3">
        <f t="shared" ca="1" si="6"/>
        <v>590904420</v>
      </c>
      <c r="F423" t="s">
        <v>11</v>
      </c>
      <c r="G423" t="s">
        <v>15</v>
      </c>
      <c r="H423" s="1" t="s">
        <v>236</v>
      </c>
      <c r="I423" t="s">
        <v>18</v>
      </c>
      <c r="J423" s="4">
        <v>6.8</v>
      </c>
      <c r="K423" s="4">
        <v>45.35</v>
      </c>
      <c r="L423" s="4">
        <v>3</v>
      </c>
      <c r="M423" s="4">
        <v>57.48</v>
      </c>
      <c r="N423" s="4">
        <v>160.72110000000001</v>
      </c>
      <c r="O423" s="4">
        <v>252.15</v>
      </c>
      <c r="P423" s="4">
        <v>3.8764546470000001</v>
      </c>
      <c r="Q423" s="4">
        <v>33.195999999999998</v>
      </c>
      <c r="R423" t="str" cm="1">
        <f t="array" ref="R423">_xlfn.IFS(B423="NY","New York",B423="TX","Texas",B423="CA","California")</f>
        <v>Texas</v>
      </c>
    </row>
    <row r="424" spans="1:18" x14ac:dyDescent="0.3">
      <c r="A424" t="s">
        <v>2</v>
      </c>
      <c r="B424" t="s">
        <v>7</v>
      </c>
      <c r="C424" s="2">
        <v>43164</v>
      </c>
      <c r="D424" s="11" t="s">
        <v>212</v>
      </c>
      <c r="E424" s="3">
        <f t="shared" ca="1" si="6"/>
        <v>25986492</v>
      </c>
      <c r="F424" t="s">
        <v>11</v>
      </c>
      <c r="G424" t="s">
        <v>14</v>
      </c>
      <c r="H424" s="1" t="s">
        <v>237</v>
      </c>
      <c r="I424" t="s">
        <v>22</v>
      </c>
      <c r="J424" s="4">
        <v>7.3</v>
      </c>
      <c r="K424" s="4">
        <v>20.48</v>
      </c>
      <c r="L424" s="4">
        <v>10</v>
      </c>
      <c r="M424" s="4">
        <v>59.67</v>
      </c>
      <c r="N424" s="4">
        <v>152.3871</v>
      </c>
      <c r="O424" s="4">
        <v>972.1</v>
      </c>
      <c r="P424" s="4">
        <v>3.8764546470000001</v>
      </c>
      <c r="Q424" s="4">
        <v>19.526</v>
      </c>
      <c r="R424" t="str" cm="1">
        <f t="array" ref="R424">_xlfn.IFS(B424="NY","New York",B424="TX","Texas",B424="CA","California")</f>
        <v>Texas</v>
      </c>
    </row>
    <row r="425" spans="1:18" x14ac:dyDescent="0.3">
      <c r="A425" t="s">
        <v>3</v>
      </c>
      <c r="B425" t="s">
        <v>8</v>
      </c>
      <c r="C425" s="2">
        <v>42898</v>
      </c>
      <c r="D425" s="11" t="s">
        <v>78</v>
      </c>
      <c r="E425" s="3">
        <f t="shared" ca="1" si="6"/>
        <v>704210786</v>
      </c>
      <c r="F425" t="s">
        <v>12</v>
      </c>
      <c r="G425" t="s">
        <v>14</v>
      </c>
      <c r="H425" s="1" t="s">
        <v>237</v>
      </c>
      <c r="I425" t="s">
        <v>22</v>
      </c>
      <c r="J425" s="4">
        <v>7</v>
      </c>
      <c r="K425" s="4">
        <v>51.62</v>
      </c>
      <c r="L425" s="4">
        <v>8</v>
      </c>
      <c r="M425" s="4">
        <v>47.63</v>
      </c>
      <c r="N425" s="4">
        <v>142.8124</v>
      </c>
      <c r="O425" s="4">
        <v>203.36</v>
      </c>
      <c r="P425" s="4">
        <v>3.8764546470000001</v>
      </c>
      <c r="Q425" s="4">
        <v>24.943999999999999</v>
      </c>
      <c r="R425" t="str" cm="1">
        <f t="array" ref="R425">_xlfn.IFS(B425="NY","New York",B425="TX","Texas",B425="CA","California")</f>
        <v>California</v>
      </c>
    </row>
    <row r="426" spans="1:18" x14ac:dyDescent="0.3">
      <c r="A426" t="s">
        <v>2</v>
      </c>
      <c r="B426" t="s">
        <v>7</v>
      </c>
      <c r="C426" s="2">
        <v>42832</v>
      </c>
      <c r="D426" s="11" t="s">
        <v>71</v>
      </c>
      <c r="E426" s="3">
        <f t="shared" ca="1" si="6"/>
        <v>720974780</v>
      </c>
      <c r="F426" t="s">
        <v>12</v>
      </c>
      <c r="G426" t="s">
        <v>15</v>
      </c>
      <c r="H426" s="1" t="s">
        <v>236</v>
      </c>
      <c r="I426" t="s">
        <v>22</v>
      </c>
      <c r="J426" s="4">
        <v>1.5</v>
      </c>
      <c r="K426" s="4">
        <v>31.82</v>
      </c>
      <c r="L426" s="4">
        <v>1</v>
      </c>
      <c r="M426" s="4">
        <v>82.3</v>
      </c>
      <c r="N426" s="4">
        <v>167.20679999999999</v>
      </c>
      <c r="O426" s="4">
        <v>16.28</v>
      </c>
      <c r="P426" s="4">
        <v>3.8764546470000001</v>
      </c>
      <c r="Q426" s="4">
        <v>19.701000000000001</v>
      </c>
      <c r="R426" t="str" cm="1">
        <f t="array" ref="R426">_xlfn.IFS(B426="NY","New York",B426="TX","Texas",B426="CA","California")</f>
        <v>Texas</v>
      </c>
    </row>
    <row r="427" spans="1:18" x14ac:dyDescent="0.3">
      <c r="A427" t="s">
        <v>3</v>
      </c>
      <c r="B427" t="s">
        <v>8</v>
      </c>
      <c r="C427" s="2">
        <v>42952</v>
      </c>
      <c r="D427" s="11" t="s">
        <v>44</v>
      </c>
      <c r="E427" s="3">
        <f t="shared" ca="1" si="6"/>
        <v>564309718</v>
      </c>
      <c r="F427" t="s">
        <v>12</v>
      </c>
      <c r="G427" t="s">
        <v>14</v>
      </c>
      <c r="H427" s="1" t="s">
        <v>236</v>
      </c>
      <c r="I427" t="s">
        <v>22</v>
      </c>
      <c r="J427" s="4">
        <v>4.4000000000000004</v>
      </c>
      <c r="K427" s="4">
        <v>93.16</v>
      </c>
      <c r="L427" s="4">
        <v>9</v>
      </c>
      <c r="M427" s="4">
        <v>40.04</v>
      </c>
      <c r="N427" s="4">
        <v>167.0883</v>
      </c>
      <c r="O427" s="4">
        <v>365.49</v>
      </c>
      <c r="P427" s="4">
        <v>3.8764546470000001</v>
      </c>
      <c r="Q427" s="4">
        <v>89.894000000000005</v>
      </c>
      <c r="R427" t="str" cm="1">
        <f t="array" ref="R427">_xlfn.IFS(B427="NY","New York",B427="TX","Texas",B427="CA","California")</f>
        <v>California</v>
      </c>
    </row>
    <row r="428" spans="1:18" x14ac:dyDescent="0.3">
      <c r="A428" t="s">
        <v>1</v>
      </c>
      <c r="B428" t="s">
        <v>6</v>
      </c>
      <c r="C428" s="2">
        <v>42813</v>
      </c>
      <c r="D428" s="11" t="s">
        <v>42</v>
      </c>
      <c r="E428" s="3">
        <f t="shared" ca="1" si="6"/>
        <v>372679454</v>
      </c>
      <c r="F428" t="s">
        <v>12</v>
      </c>
      <c r="G428" t="s">
        <v>14</v>
      </c>
      <c r="H428" s="1" t="s">
        <v>236</v>
      </c>
      <c r="I428" t="s">
        <v>17</v>
      </c>
      <c r="J428" s="4">
        <v>9</v>
      </c>
      <c r="K428" s="4">
        <v>20.27</v>
      </c>
      <c r="L428" s="4">
        <v>7</v>
      </c>
      <c r="M428" s="4">
        <v>36.090000000000003</v>
      </c>
      <c r="N428" s="4">
        <v>167.42</v>
      </c>
      <c r="O428" s="4">
        <v>372.19</v>
      </c>
      <c r="P428" s="4">
        <v>3.8764546470000001</v>
      </c>
      <c r="Q428" s="4">
        <v>77.748999999999995</v>
      </c>
      <c r="R428" t="str" cm="1">
        <f t="array" ref="R428">_xlfn.IFS(B428="NY","New York",B428="TX","Texas",B428="CA","California")</f>
        <v>New York</v>
      </c>
    </row>
    <row r="429" spans="1:18" x14ac:dyDescent="0.3">
      <c r="A429" t="s">
        <v>3</v>
      </c>
      <c r="B429" t="s">
        <v>8</v>
      </c>
      <c r="C429" s="2">
        <v>43177</v>
      </c>
      <c r="D429" s="11" t="s">
        <v>193</v>
      </c>
      <c r="E429" s="3">
        <f t="shared" ca="1" si="6"/>
        <v>27475588</v>
      </c>
      <c r="F429" t="s">
        <v>11</v>
      </c>
      <c r="G429" t="s">
        <v>14</v>
      </c>
      <c r="H429" s="1" t="s">
        <v>237</v>
      </c>
      <c r="I429" t="s">
        <v>21</v>
      </c>
      <c r="J429" s="4">
        <v>9.4</v>
      </c>
      <c r="K429" s="4">
        <v>65.739999999999995</v>
      </c>
      <c r="L429" s="4">
        <v>3</v>
      </c>
      <c r="M429" s="4">
        <v>91.3</v>
      </c>
      <c r="N429" s="4">
        <v>141.3843</v>
      </c>
      <c r="O429" s="4">
        <v>62.61</v>
      </c>
      <c r="P429" s="4">
        <v>3.8764546470000001</v>
      </c>
      <c r="Q429" s="4">
        <v>87.965000000000003</v>
      </c>
      <c r="R429" t="str" cm="1">
        <f t="array" ref="R429">_xlfn.IFS(B429="NY","New York",B429="TX","Texas",B429="CA","California")</f>
        <v>California</v>
      </c>
    </row>
    <row r="430" spans="1:18" x14ac:dyDescent="0.3">
      <c r="A430" t="s">
        <v>3</v>
      </c>
      <c r="B430" t="s">
        <v>8</v>
      </c>
      <c r="C430" s="2">
        <v>43444</v>
      </c>
      <c r="D430" s="11" t="s">
        <v>128</v>
      </c>
      <c r="E430" s="3">
        <f t="shared" ca="1" si="6"/>
        <v>140834495</v>
      </c>
      <c r="F430" t="s">
        <v>12</v>
      </c>
      <c r="G430" t="s">
        <v>15</v>
      </c>
      <c r="H430" s="1" t="s">
        <v>236</v>
      </c>
      <c r="I430" t="s">
        <v>20</v>
      </c>
      <c r="J430" s="4">
        <v>6</v>
      </c>
      <c r="K430" s="4">
        <v>94.92</v>
      </c>
      <c r="L430" s="4">
        <v>5</v>
      </c>
      <c r="M430" s="4">
        <v>74.81</v>
      </c>
      <c r="N430" s="4">
        <v>155.33869999999999</v>
      </c>
      <c r="O430" s="4">
        <v>336.35</v>
      </c>
      <c r="P430" s="4">
        <v>3.8764546470000001</v>
      </c>
      <c r="Q430" s="4">
        <v>29.571000000000002</v>
      </c>
      <c r="R430" t="str" cm="1">
        <f t="array" ref="R430">_xlfn.IFS(B430="NY","New York",B430="TX","Texas",B430="CA","California")</f>
        <v>California</v>
      </c>
    </row>
    <row r="431" spans="1:18" x14ac:dyDescent="0.3">
      <c r="A431" t="s">
        <v>1</v>
      </c>
      <c r="B431" t="s">
        <v>6</v>
      </c>
      <c r="C431" s="2">
        <v>43062</v>
      </c>
      <c r="D431" s="11" t="s">
        <v>102</v>
      </c>
      <c r="E431" s="3">
        <f t="shared" ca="1" si="6"/>
        <v>337798763</v>
      </c>
      <c r="F431" t="s">
        <v>11</v>
      </c>
      <c r="G431" t="s">
        <v>14</v>
      </c>
      <c r="H431" s="1" t="s">
        <v>235</v>
      </c>
      <c r="I431" t="s">
        <v>19</v>
      </c>
      <c r="J431" s="4">
        <v>8.6999999999999993</v>
      </c>
      <c r="K431" s="4">
        <v>87.4</v>
      </c>
      <c r="L431" s="4">
        <v>10</v>
      </c>
      <c r="M431" s="4">
        <v>53.17</v>
      </c>
      <c r="N431" s="4">
        <v>111.6831</v>
      </c>
      <c r="O431" s="4">
        <v>906.5</v>
      </c>
      <c r="P431" s="4">
        <v>3.8764546470000001</v>
      </c>
      <c r="Q431" s="4">
        <v>55.21</v>
      </c>
      <c r="R431" t="str" cm="1">
        <f t="array" ref="R431">_xlfn.IFS(B431="NY","New York",B431="TX","Texas",B431="CA","California")</f>
        <v>New York</v>
      </c>
    </row>
    <row r="432" spans="1:18" x14ac:dyDescent="0.3">
      <c r="A432" t="s">
        <v>3</v>
      </c>
      <c r="B432" t="s">
        <v>8</v>
      </c>
      <c r="C432" s="2">
        <v>43077</v>
      </c>
      <c r="D432" s="11" t="s">
        <v>64</v>
      </c>
      <c r="E432" s="3">
        <f t="shared" ca="1" si="6"/>
        <v>305870715</v>
      </c>
      <c r="F432" t="s">
        <v>12</v>
      </c>
      <c r="G432" t="s">
        <v>15</v>
      </c>
      <c r="H432" s="1" t="s">
        <v>237</v>
      </c>
      <c r="I432" t="s">
        <v>22</v>
      </c>
      <c r="J432" s="4">
        <v>8.6</v>
      </c>
      <c r="K432" s="4">
        <v>70.47</v>
      </c>
      <c r="L432" s="4">
        <v>2</v>
      </c>
      <c r="M432" s="4">
        <v>20.18</v>
      </c>
      <c r="N432" s="4">
        <v>131.7766</v>
      </c>
      <c r="O432" s="4">
        <v>138.16</v>
      </c>
      <c r="P432" s="4">
        <v>3.8764546470000001</v>
      </c>
      <c r="Q432" s="4">
        <v>46.85</v>
      </c>
      <c r="R432" t="str" cm="1">
        <f t="array" ref="R432">_xlfn.IFS(B432="NY","New York",B432="TX","Texas",B432="CA","California")</f>
        <v>California</v>
      </c>
    </row>
    <row r="433" spans="1:18" x14ac:dyDescent="0.3">
      <c r="A433" t="s">
        <v>2</v>
      </c>
      <c r="B433" t="s">
        <v>7</v>
      </c>
      <c r="C433" s="2">
        <v>43244</v>
      </c>
      <c r="D433" s="11" t="s">
        <v>136</v>
      </c>
      <c r="E433" s="3">
        <f t="shared" ca="1" si="6"/>
        <v>879087576</v>
      </c>
      <c r="F433" t="s">
        <v>12</v>
      </c>
      <c r="G433" t="s">
        <v>15</v>
      </c>
      <c r="H433" s="1" t="s">
        <v>235</v>
      </c>
      <c r="I433" t="s">
        <v>21</v>
      </c>
      <c r="J433" s="4">
        <v>2.1</v>
      </c>
      <c r="K433" s="4">
        <v>82.9</v>
      </c>
      <c r="L433" s="4">
        <v>2</v>
      </c>
      <c r="M433" s="4">
        <v>63.57</v>
      </c>
      <c r="N433" s="4">
        <v>187.45939999999999</v>
      </c>
      <c r="O433" s="4">
        <v>86.54</v>
      </c>
      <c r="P433" s="4">
        <v>3.8764546470000001</v>
      </c>
      <c r="Q433" s="4">
        <v>15.18</v>
      </c>
      <c r="R433" t="str" cm="1">
        <f t="array" ref="R433">_xlfn.IFS(B433="NY","New York",B433="TX","Texas",B433="CA","California")</f>
        <v>Texas</v>
      </c>
    </row>
    <row r="434" spans="1:18" x14ac:dyDescent="0.3">
      <c r="A434" t="s">
        <v>1</v>
      </c>
      <c r="B434" t="s">
        <v>6</v>
      </c>
      <c r="C434" s="2">
        <v>43402</v>
      </c>
      <c r="D434" s="11" t="s">
        <v>192</v>
      </c>
      <c r="E434" s="3">
        <f t="shared" ca="1" si="6"/>
        <v>344965742</v>
      </c>
      <c r="F434" t="s">
        <v>11</v>
      </c>
      <c r="G434" t="s">
        <v>15</v>
      </c>
      <c r="H434" s="1" t="s">
        <v>235</v>
      </c>
      <c r="I434" t="s">
        <v>18</v>
      </c>
      <c r="J434" s="4">
        <v>2.9</v>
      </c>
      <c r="K434" s="4">
        <v>46.95</v>
      </c>
      <c r="L434" s="4">
        <v>6</v>
      </c>
      <c r="M434" s="4">
        <v>90.83</v>
      </c>
      <c r="N434" s="4">
        <v>167.1301</v>
      </c>
      <c r="O434" s="4">
        <v>140.76</v>
      </c>
      <c r="P434" s="4">
        <v>3.8764546470000001</v>
      </c>
      <c r="Q434" s="4">
        <v>79.3</v>
      </c>
      <c r="R434" t="str" cm="1">
        <f t="array" ref="R434">_xlfn.IFS(B434="NY","New York",B434="TX","Texas",B434="CA","California")</f>
        <v>New York</v>
      </c>
    </row>
    <row r="435" spans="1:18" x14ac:dyDescent="0.3">
      <c r="A435" t="s">
        <v>3</v>
      </c>
      <c r="B435" t="s">
        <v>8</v>
      </c>
      <c r="C435" s="2">
        <v>43117</v>
      </c>
      <c r="D435" s="11" t="s">
        <v>151</v>
      </c>
      <c r="E435" s="3">
        <f t="shared" ca="1" si="6"/>
        <v>392892450</v>
      </c>
      <c r="F435" t="s">
        <v>12</v>
      </c>
      <c r="G435" t="s">
        <v>15</v>
      </c>
      <c r="H435" s="1" t="s">
        <v>237</v>
      </c>
      <c r="I435" t="s">
        <v>22</v>
      </c>
      <c r="J435" s="4">
        <v>6.3</v>
      </c>
      <c r="K435" s="4">
        <v>86.4</v>
      </c>
      <c r="L435" s="4">
        <v>7</v>
      </c>
      <c r="M435" s="4">
        <v>48.9</v>
      </c>
      <c r="N435" s="4">
        <v>132.69220000000001</v>
      </c>
      <c r="O435" s="4">
        <v>668.78</v>
      </c>
      <c r="P435" s="4">
        <v>3.8764546470000001</v>
      </c>
      <c r="Q435" s="4">
        <v>10.87</v>
      </c>
      <c r="R435" t="str" cm="1">
        <f t="array" ref="R435">_xlfn.IFS(B435="NY","New York",B435="TX","Texas",B435="CA","California")</f>
        <v>California</v>
      </c>
    </row>
    <row r="436" spans="1:18" x14ac:dyDescent="0.3">
      <c r="A436" t="s">
        <v>3</v>
      </c>
      <c r="B436" t="s">
        <v>8</v>
      </c>
      <c r="C436" s="2">
        <v>43174</v>
      </c>
      <c r="D436" s="11" t="s">
        <v>63</v>
      </c>
      <c r="E436" s="3">
        <f t="shared" ca="1" si="6"/>
        <v>960330197</v>
      </c>
      <c r="F436" t="s">
        <v>11</v>
      </c>
      <c r="G436" t="s">
        <v>15</v>
      </c>
      <c r="H436" s="1" t="s">
        <v>237</v>
      </c>
      <c r="I436" t="s">
        <v>22</v>
      </c>
      <c r="J436" s="4">
        <v>7.3</v>
      </c>
      <c r="K436" s="4">
        <v>90.07</v>
      </c>
      <c r="L436" s="4">
        <v>1</v>
      </c>
      <c r="M436" s="4">
        <v>94.26</v>
      </c>
      <c r="N436" s="4">
        <v>173.45820000000001</v>
      </c>
      <c r="O436" s="4">
        <v>47.44</v>
      </c>
      <c r="P436" s="4">
        <v>3.8764546470000001</v>
      </c>
      <c r="Q436" s="4">
        <v>61.87</v>
      </c>
      <c r="R436" t="str" cm="1">
        <f t="array" ref="R436">_xlfn.IFS(B436="NY","New York",B436="TX","Texas",B436="CA","California")</f>
        <v>California</v>
      </c>
    </row>
    <row r="437" spans="1:18" x14ac:dyDescent="0.3">
      <c r="A437" t="s">
        <v>2</v>
      </c>
      <c r="B437" t="s">
        <v>7</v>
      </c>
      <c r="C437" s="2">
        <v>42815</v>
      </c>
      <c r="D437" s="11" t="s">
        <v>103</v>
      </c>
      <c r="E437" s="3">
        <f t="shared" ca="1" si="6"/>
        <v>966288257</v>
      </c>
      <c r="F437" t="s">
        <v>12</v>
      </c>
      <c r="G437" t="s">
        <v>15</v>
      </c>
      <c r="H437" s="1" t="s">
        <v>235</v>
      </c>
      <c r="I437" t="s">
        <v>20</v>
      </c>
      <c r="J437" s="4">
        <v>8</v>
      </c>
      <c r="K437" s="4">
        <v>63.77</v>
      </c>
      <c r="L437" s="4">
        <v>9</v>
      </c>
      <c r="M437" s="4">
        <v>37.65</v>
      </c>
      <c r="N437" s="4">
        <v>180.38650000000001</v>
      </c>
      <c r="O437" s="4">
        <v>893.16</v>
      </c>
      <c r="P437" s="4">
        <v>3.8764546470000001</v>
      </c>
      <c r="Q437" s="4">
        <v>98.61</v>
      </c>
      <c r="R437" t="str" cm="1">
        <f t="array" ref="R437">_xlfn.IFS(B437="NY","New York",B437="TX","Texas",B437="CA","California")</f>
        <v>Texas</v>
      </c>
    </row>
    <row r="438" spans="1:18" x14ac:dyDescent="0.3">
      <c r="A438" t="s">
        <v>2</v>
      </c>
      <c r="B438" t="s">
        <v>7</v>
      </c>
      <c r="C438" s="2">
        <v>43023</v>
      </c>
      <c r="D438" s="11" t="s">
        <v>213</v>
      </c>
      <c r="E438" s="3">
        <f t="shared" ca="1" si="6"/>
        <v>530849078</v>
      </c>
      <c r="F438" t="s">
        <v>12</v>
      </c>
      <c r="G438" t="s">
        <v>14</v>
      </c>
      <c r="H438" s="1" t="s">
        <v>235</v>
      </c>
      <c r="I438" t="s">
        <v>20</v>
      </c>
      <c r="J438" s="4">
        <v>7.7</v>
      </c>
      <c r="K438" s="4">
        <v>88.79</v>
      </c>
      <c r="L438" s="4">
        <v>4</v>
      </c>
      <c r="M438" s="4">
        <v>98.16</v>
      </c>
      <c r="N438" s="4">
        <v>185.48599999999999</v>
      </c>
      <c r="O438" s="4">
        <v>331.72</v>
      </c>
      <c r="P438" s="4">
        <v>3.8764546470000001</v>
      </c>
      <c r="Q438" s="4">
        <v>18.786000000000001</v>
      </c>
      <c r="R438" t="str" cm="1">
        <f t="array" ref="R438">_xlfn.IFS(B438="NY","New York",B438="TX","Texas",B438="CA","California")</f>
        <v>Texas</v>
      </c>
    </row>
    <row r="439" spans="1:18" x14ac:dyDescent="0.3">
      <c r="A439" t="s">
        <v>1</v>
      </c>
      <c r="B439" t="s">
        <v>6</v>
      </c>
      <c r="C439" s="2">
        <v>42863</v>
      </c>
      <c r="D439" s="11" t="s">
        <v>214</v>
      </c>
      <c r="E439" s="3">
        <f t="shared" ca="1" si="6"/>
        <v>119604036</v>
      </c>
      <c r="F439" t="s">
        <v>12</v>
      </c>
      <c r="G439" t="s">
        <v>15</v>
      </c>
      <c r="H439" s="1" t="s">
        <v>237</v>
      </c>
      <c r="I439" t="s">
        <v>19</v>
      </c>
      <c r="J439" s="4">
        <v>6.6</v>
      </c>
      <c r="K439" s="4">
        <v>47.01</v>
      </c>
      <c r="L439" s="4">
        <v>6</v>
      </c>
      <c r="M439" s="4">
        <v>80.28</v>
      </c>
      <c r="N439" s="4">
        <v>118.6545</v>
      </c>
      <c r="O439" s="4">
        <v>203.94</v>
      </c>
      <c r="P439" s="4">
        <v>3.8764546470000001</v>
      </c>
      <c r="Q439" s="4">
        <v>58.048999999999999</v>
      </c>
      <c r="R439" t="str" cm="1">
        <f t="array" ref="R439">_xlfn.IFS(B439="NY","New York",B439="TX","Texas",B439="CA","California")</f>
        <v>New York</v>
      </c>
    </row>
    <row r="440" spans="1:18" x14ac:dyDescent="0.3">
      <c r="A440" t="s">
        <v>2</v>
      </c>
      <c r="B440" t="s">
        <v>7</v>
      </c>
      <c r="C440" s="2">
        <v>43352</v>
      </c>
      <c r="D440" s="11" t="s">
        <v>107</v>
      </c>
      <c r="E440" s="3">
        <f t="shared" ca="1" si="6"/>
        <v>755511582</v>
      </c>
      <c r="F440" t="s">
        <v>12</v>
      </c>
      <c r="G440" t="s">
        <v>14</v>
      </c>
      <c r="H440" s="1" t="s">
        <v>235</v>
      </c>
      <c r="I440" t="s">
        <v>21</v>
      </c>
      <c r="J440" s="4">
        <v>8.5</v>
      </c>
      <c r="K440" s="4">
        <v>18.079999999999998</v>
      </c>
      <c r="L440" s="4">
        <v>4</v>
      </c>
      <c r="M440" s="4">
        <v>96.05</v>
      </c>
      <c r="N440" s="4">
        <v>160.43260000000001</v>
      </c>
      <c r="O440" s="4">
        <v>68.16</v>
      </c>
      <c r="P440" s="4">
        <v>3.8764546470000001</v>
      </c>
      <c r="Q440" s="4">
        <v>25.69</v>
      </c>
      <c r="R440" t="str" cm="1">
        <f t="array" ref="R440">_xlfn.IFS(B440="NY","New York",B440="TX","Texas",B440="CA","California")</f>
        <v>Texas</v>
      </c>
    </row>
    <row r="441" spans="1:18" x14ac:dyDescent="0.3">
      <c r="A441" t="s">
        <v>2</v>
      </c>
      <c r="B441" t="s">
        <v>7</v>
      </c>
      <c r="C441" s="2">
        <v>43099</v>
      </c>
      <c r="D441" s="11" t="s">
        <v>205</v>
      </c>
      <c r="E441" s="3">
        <f t="shared" ca="1" si="6"/>
        <v>759321112</v>
      </c>
      <c r="F441" t="s">
        <v>11</v>
      </c>
      <c r="G441" t="s">
        <v>15</v>
      </c>
      <c r="H441" s="1" t="s">
        <v>237</v>
      </c>
      <c r="I441" t="s">
        <v>18</v>
      </c>
      <c r="J441" s="4">
        <v>4</v>
      </c>
      <c r="K441" s="4">
        <v>28.67</v>
      </c>
      <c r="L441" s="4">
        <v>8</v>
      </c>
      <c r="M441" s="4">
        <v>13.71</v>
      </c>
      <c r="N441" s="4">
        <v>183.29179999999999</v>
      </c>
      <c r="O441" s="4">
        <v>326.88</v>
      </c>
      <c r="P441" s="4">
        <v>3.8764546470000001</v>
      </c>
      <c r="Q441" s="4">
        <v>64.599999999999994</v>
      </c>
      <c r="R441" t="str" cm="1">
        <f t="array" ref="R441">_xlfn.IFS(B441="NY","New York",B441="TX","Texas",B441="CA","California")</f>
        <v>Texas</v>
      </c>
    </row>
    <row r="442" spans="1:18" x14ac:dyDescent="0.3">
      <c r="A442" t="s">
        <v>2</v>
      </c>
      <c r="B442" t="s">
        <v>7</v>
      </c>
      <c r="C442" s="2">
        <v>43225</v>
      </c>
      <c r="D442" s="11" t="s">
        <v>128</v>
      </c>
      <c r="E442" s="3">
        <f t="shared" ca="1" si="6"/>
        <v>709502443</v>
      </c>
      <c r="F442" t="s">
        <v>12</v>
      </c>
      <c r="G442" t="s">
        <v>14</v>
      </c>
      <c r="H442" s="1" t="s">
        <v>236</v>
      </c>
      <c r="I442" t="s">
        <v>21</v>
      </c>
      <c r="J442" s="4">
        <v>4</v>
      </c>
      <c r="K442" s="4">
        <v>35.479999999999997</v>
      </c>
      <c r="L442" s="4">
        <v>5</v>
      </c>
      <c r="M442" s="4">
        <v>94.44</v>
      </c>
      <c r="N442" s="4">
        <v>147.7527</v>
      </c>
      <c r="O442" s="4">
        <v>87.2</v>
      </c>
      <c r="P442" s="4">
        <v>3.8764546470000001</v>
      </c>
      <c r="Q442" s="4">
        <v>74.61</v>
      </c>
      <c r="R442" t="str" cm="1">
        <f t="array" ref="R442">_xlfn.IFS(B442="NY","New York",B442="TX","Texas",B442="CA","California")</f>
        <v>Texas</v>
      </c>
    </row>
    <row r="443" spans="1:18" x14ac:dyDescent="0.3">
      <c r="A443" t="s">
        <v>3</v>
      </c>
      <c r="B443" t="s">
        <v>8</v>
      </c>
      <c r="C443" s="2">
        <v>43083</v>
      </c>
      <c r="D443" s="11" t="s">
        <v>123</v>
      </c>
      <c r="E443" s="3">
        <f t="shared" ca="1" si="6"/>
        <v>238141890</v>
      </c>
      <c r="F443" t="s">
        <v>11</v>
      </c>
      <c r="G443" t="s">
        <v>14</v>
      </c>
      <c r="H443" s="1" t="s">
        <v>237</v>
      </c>
      <c r="I443" t="s">
        <v>20</v>
      </c>
      <c r="J443" s="4">
        <v>3</v>
      </c>
      <c r="K443" s="4">
        <v>32.42</v>
      </c>
      <c r="L443" s="4">
        <v>8</v>
      </c>
      <c r="M443" s="4">
        <v>51.56</v>
      </c>
      <c r="N443" s="4">
        <v>123.3981</v>
      </c>
      <c r="O443" s="4">
        <v>707.44</v>
      </c>
      <c r="P443" s="4">
        <v>3.8764546470000001</v>
      </c>
      <c r="Q443" s="4">
        <v>60.05</v>
      </c>
      <c r="R443" t="str" cm="1">
        <f t="array" ref="R443">_xlfn.IFS(B443="NY","New York",B443="TX","Texas",B443="CA","California")</f>
        <v>California</v>
      </c>
    </row>
    <row r="444" spans="1:18" x14ac:dyDescent="0.3">
      <c r="A444" t="s">
        <v>1</v>
      </c>
      <c r="B444" t="s">
        <v>6</v>
      </c>
      <c r="C444" s="2">
        <v>42844</v>
      </c>
      <c r="D444" s="11" t="s">
        <v>215</v>
      </c>
      <c r="E444" s="3">
        <f t="shared" ca="1" si="6"/>
        <v>91077767</v>
      </c>
      <c r="F444" t="s">
        <v>11</v>
      </c>
      <c r="G444" t="s">
        <v>14</v>
      </c>
      <c r="H444" s="1" t="s">
        <v>237</v>
      </c>
      <c r="I444" t="s">
        <v>19</v>
      </c>
      <c r="J444" s="4">
        <v>2</v>
      </c>
      <c r="K444" s="4">
        <v>58.36</v>
      </c>
      <c r="L444" s="4">
        <v>9</v>
      </c>
      <c r="M444" s="4">
        <v>49.02</v>
      </c>
      <c r="N444" s="4">
        <v>180.0076</v>
      </c>
      <c r="O444" s="4">
        <v>802.89</v>
      </c>
      <c r="P444" s="4">
        <v>3.8764546470000001</v>
      </c>
      <c r="Q444" s="4">
        <v>25.63</v>
      </c>
      <c r="R444" t="str" cm="1">
        <f t="array" ref="R444">_xlfn.IFS(B444="NY","New York",B444="TX","Texas",B444="CA","California")</f>
        <v>New York</v>
      </c>
    </row>
    <row r="445" spans="1:18" x14ac:dyDescent="0.3">
      <c r="A445" t="s">
        <v>2</v>
      </c>
      <c r="B445" t="s">
        <v>7</v>
      </c>
      <c r="C445" s="2">
        <v>42960</v>
      </c>
      <c r="D445" s="11" t="s">
        <v>60</v>
      </c>
      <c r="E445" s="3">
        <f t="shared" ca="1" si="6"/>
        <v>208574180</v>
      </c>
      <c r="F445" t="s">
        <v>12</v>
      </c>
      <c r="G445" t="s">
        <v>15</v>
      </c>
      <c r="H445" s="1" t="s">
        <v>235</v>
      </c>
      <c r="I445" t="s">
        <v>22</v>
      </c>
      <c r="J445" s="4">
        <v>2</v>
      </c>
      <c r="K445" s="4">
        <v>66.75</v>
      </c>
      <c r="L445" s="4">
        <v>1</v>
      </c>
      <c r="M445" s="4">
        <v>95.09</v>
      </c>
      <c r="N445" s="4">
        <v>189.0069</v>
      </c>
      <c r="O445" s="4">
        <v>12.78</v>
      </c>
      <c r="P445" s="4">
        <v>3.8764546470000001</v>
      </c>
      <c r="Q445" s="4">
        <v>44.77</v>
      </c>
      <c r="R445" t="str" cm="1">
        <f t="array" ref="R445">_xlfn.IFS(B445="NY","New York",B445="TX","Texas",B445="CA","California")</f>
        <v>Texas</v>
      </c>
    </row>
    <row r="446" spans="1:18" x14ac:dyDescent="0.3">
      <c r="A446" t="s">
        <v>1</v>
      </c>
      <c r="B446" t="s">
        <v>6</v>
      </c>
      <c r="C446" s="2">
        <v>43325</v>
      </c>
      <c r="D446" s="11" t="s">
        <v>32</v>
      </c>
      <c r="E446" s="3">
        <f t="shared" ca="1" si="6"/>
        <v>301401691</v>
      </c>
      <c r="F446" t="s">
        <v>11</v>
      </c>
      <c r="G446" t="s">
        <v>15</v>
      </c>
      <c r="H446" s="1" t="s">
        <v>236</v>
      </c>
      <c r="I446" t="s">
        <v>20</v>
      </c>
      <c r="J446" s="4">
        <v>6</v>
      </c>
      <c r="K446" s="4">
        <v>15.43</v>
      </c>
      <c r="L446" s="4">
        <v>7</v>
      </c>
      <c r="M446" s="4">
        <v>30.98</v>
      </c>
      <c r="N446" s="4">
        <v>178.916</v>
      </c>
      <c r="O446" s="4">
        <v>133.69999999999999</v>
      </c>
      <c r="P446" s="4">
        <v>3.8764546470000001</v>
      </c>
      <c r="Q446" s="4">
        <v>32.048999999999999</v>
      </c>
      <c r="R446" t="str" cm="1">
        <f t="array" ref="R446">_xlfn.IFS(B446="NY","New York",B446="TX","Texas",B446="CA","California")</f>
        <v>New York</v>
      </c>
    </row>
    <row r="447" spans="1:18" x14ac:dyDescent="0.3">
      <c r="A447" t="s">
        <v>3</v>
      </c>
      <c r="B447" t="s">
        <v>8</v>
      </c>
      <c r="C447" s="2">
        <v>42937</v>
      </c>
      <c r="D447" s="11" t="s">
        <v>33</v>
      </c>
      <c r="E447" s="3">
        <f t="shared" ca="1" si="6"/>
        <v>909979641</v>
      </c>
      <c r="F447" t="s">
        <v>11</v>
      </c>
      <c r="G447" t="s">
        <v>14</v>
      </c>
      <c r="H447" s="1" t="s">
        <v>237</v>
      </c>
      <c r="I447" t="s">
        <v>17</v>
      </c>
      <c r="J447" s="4">
        <v>9</v>
      </c>
      <c r="K447" s="4">
        <v>90.42</v>
      </c>
      <c r="L447" s="4">
        <v>1</v>
      </c>
      <c r="M447" s="4">
        <v>28.71</v>
      </c>
      <c r="N447" s="4">
        <v>167.7064</v>
      </c>
      <c r="O447" s="4">
        <v>19.149999999999999</v>
      </c>
      <c r="P447" s="4">
        <v>3.8764546470000001</v>
      </c>
      <c r="Q447" s="4">
        <v>14.625999999999999</v>
      </c>
      <c r="R447" t="str" cm="1">
        <f t="array" ref="R447">_xlfn.IFS(B447="NY","New York",B447="TX","Texas",B447="CA","California")</f>
        <v>California</v>
      </c>
    </row>
    <row r="448" spans="1:18" x14ac:dyDescent="0.3">
      <c r="A448" t="s">
        <v>2</v>
      </c>
      <c r="B448" t="s">
        <v>7</v>
      </c>
      <c r="C448" s="2">
        <v>42956</v>
      </c>
      <c r="D448" s="11" t="s">
        <v>120</v>
      </c>
      <c r="E448" s="3">
        <f t="shared" ca="1" si="6"/>
        <v>564202014</v>
      </c>
      <c r="F448" t="s">
        <v>12</v>
      </c>
      <c r="G448" t="s">
        <v>14</v>
      </c>
      <c r="H448" s="1" t="s">
        <v>237</v>
      </c>
      <c r="I448" t="s">
        <v>21</v>
      </c>
      <c r="J448" s="4">
        <v>9</v>
      </c>
      <c r="K448" s="4">
        <v>40.81</v>
      </c>
      <c r="L448" s="4">
        <v>10</v>
      </c>
      <c r="M448" s="4">
        <v>63.24</v>
      </c>
      <c r="N448" s="4">
        <v>185.88980000000001</v>
      </c>
      <c r="O448" s="4">
        <v>276.60000000000002</v>
      </c>
      <c r="P448" s="4">
        <v>3.8764546470000001</v>
      </c>
      <c r="Q448" s="4">
        <v>14.444000000000001</v>
      </c>
      <c r="R448" t="str" cm="1">
        <f t="array" ref="R448">_xlfn.IFS(B448="NY","New York",B448="TX","Texas",B448="CA","California")</f>
        <v>Texas</v>
      </c>
    </row>
    <row r="449" spans="1:18" x14ac:dyDescent="0.3">
      <c r="A449" t="s">
        <v>2</v>
      </c>
      <c r="B449" t="s">
        <v>7</v>
      </c>
      <c r="C449" s="2">
        <v>42957</v>
      </c>
      <c r="D449" s="11" t="s">
        <v>155</v>
      </c>
      <c r="E449" s="3">
        <f t="shared" ca="1" si="6"/>
        <v>345196784</v>
      </c>
      <c r="F449" t="s">
        <v>12</v>
      </c>
      <c r="G449" t="s">
        <v>15</v>
      </c>
      <c r="H449" s="1" t="s">
        <v>237</v>
      </c>
      <c r="I449" t="s">
        <v>22</v>
      </c>
      <c r="J449" s="4">
        <v>8</v>
      </c>
      <c r="K449" s="4">
        <v>95.46</v>
      </c>
      <c r="L449" s="4">
        <v>3</v>
      </c>
      <c r="M449" s="4">
        <v>27.26</v>
      </c>
      <c r="N449" s="4">
        <v>183.94820000000001</v>
      </c>
      <c r="O449" s="4">
        <v>137.22</v>
      </c>
      <c r="P449" s="4">
        <v>3.8764546470000001</v>
      </c>
      <c r="Q449" s="4">
        <v>40.718000000000004</v>
      </c>
      <c r="R449" t="str" cm="1">
        <f t="array" ref="R449">_xlfn.IFS(B449="NY","New York",B449="TX","Texas",B449="CA","California")</f>
        <v>Texas</v>
      </c>
    </row>
    <row r="450" spans="1:18" x14ac:dyDescent="0.3">
      <c r="A450" t="s">
        <v>3</v>
      </c>
      <c r="B450" t="s">
        <v>8</v>
      </c>
      <c r="C450" s="2">
        <v>42846</v>
      </c>
      <c r="D450" s="11" t="s">
        <v>155</v>
      </c>
      <c r="E450" s="3">
        <f t="shared" ca="1" si="6"/>
        <v>996587358</v>
      </c>
      <c r="F450" t="s">
        <v>11</v>
      </c>
      <c r="G450" t="s">
        <v>14</v>
      </c>
      <c r="H450" s="1" t="s">
        <v>237</v>
      </c>
      <c r="I450" t="s">
        <v>17</v>
      </c>
      <c r="J450" s="4">
        <v>10</v>
      </c>
      <c r="K450" s="4">
        <v>98.13</v>
      </c>
      <c r="L450" s="4">
        <v>1</v>
      </c>
      <c r="M450" s="4">
        <v>53.9</v>
      </c>
      <c r="N450" s="4">
        <v>141.0522</v>
      </c>
      <c r="O450" s="4">
        <v>27.07</v>
      </c>
      <c r="P450" s="4">
        <v>3.8764546470000001</v>
      </c>
      <c r="Q450" s="4">
        <v>82.43</v>
      </c>
      <c r="R450" t="str" cm="1">
        <f t="array" ref="R450">_xlfn.IFS(B450="NY","New York",B450="TX","Texas",B450="CA","California")</f>
        <v>California</v>
      </c>
    </row>
    <row r="451" spans="1:18" x14ac:dyDescent="0.3">
      <c r="A451" t="s">
        <v>3</v>
      </c>
      <c r="B451" t="s">
        <v>8</v>
      </c>
      <c r="C451" s="2">
        <v>43053</v>
      </c>
      <c r="D451" s="11" t="s">
        <v>52</v>
      </c>
      <c r="E451" s="3">
        <f t="shared" ref="E451:E514" ca="1" si="7">RANDBETWEEN(10000000,1000000000)</f>
        <v>230546900</v>
      </c>
      <c r="F451" t="s">
        <v>11</v>
      </c>
      <c r="G451" t="s">
        <v>14</v>
      </c>
      <c r="H451" s="1" t="s">
        <v>237</v>
      </c>
      <c r="I451" t="s">
        <v>20</v>
      </c>
      <c r="J451" s="4">
        <v>6</v>
      </c>
      <c r="K451" s="4">
        <v>55.95</v>
      </c>
      <c r="L451" s="4">
        <v>1</v>
      </c>
      <c r="M451" s="4">
        <v>40.020000000000003</v>
      </c>
      <c r="N451" s="4">
        <v>130.87690000000001</v>
      </c>
      <c r="O451" s="4">
        <v>39.119999999999997</v>
      </c>
      <c r="P451" s="4">
        <v>3.8764546470000001</v>
      </c>
      <c r="Q451" s="4">
        <v>68.2</v>
      </c>
      <c r="R451" t="str" cm="1">
        <f t="array" ref="R451">_xlfn.IFS(B451="NY","New York",B451="TX","Texas",B451="CA","California")</f>
        <v>California</v>
      </c>
    </row>
    <row r="452" spans="1:18" x14ac:dyDescent="0.3">
      <c r="A452" t="s">
        <v>3</v>
      </c>
      <c r="B452" t="s">
        <v>8</v>
      </c>
      <c r="C452" s="2">
        <v>43118</v>
      </c>
      <c r="D452" s="11" t="s">
        <v>216</v>
      </c>
      <c r="E452" s="3">
        <f t="shared" ca="1" si="7"/>
        <v>310934366</v>
      </c>
      <c r="F452" t="s">
        <v>11</v>
      </c>
      <c r="G452" t="s">
        <v>15</v>
      </c>
      <c r="H452" s="1" t="s">
        <v>236</v>
      </c>
      <c r="I452" t="s">
        <v>18</v>
      </c>
      <c r="J452" s="4">
        <v>3</v>
      </c>
      <c r="K452" s="4">
        <v>96.5</v>
      </c>
      <c r="L452" s="4">
        <v>6</v>
      </c>
      <c r="M452" s="4">
        <v>61.65</v>
      </c>
      <c r="N452" s="4">
        <v>124.09699999999999</v>
      </c>
      <c r="O452" s="4">
        <v>448.26</v>
      </c>
      <c r="P452" s="4">
        <v>3.8764546470000001</v>
      </c>
      <c r="Q452" s="4">
        <v>80.12</v>
      </c>
      <c r="R452" t="str" cm="1">
        <f t="array" ref="R452">_xlfn.IFS(B452="NY","New York",B452="TX","Texas",B452="CA","California")</f>
        <v>California</v>
      </c>
    </row>
    <row r="453" spans="1:18" x14ac:dyDescent="0.3">
      <c r="A453" t="s">
        <v>3</v>
      </c>
      <c r="B453" t="s">
        <v>8</v>
      </c>
      <c r="C453" s="2">
        <v>42897</v>
      </c>
      <c r="D453" s="11" t="s">
        <v>104</v>
      </c>
      <c r="E453" s="3">
        <f t="shared" ca="1" si="7"/>
        <v>393931745</v>
      </c>
      <c r="F453" t="s">
        <v>12</v>
      </c>
      <c r="G453" t="s">
        <v>15</v>
      </c>
      <c r="H453" s="1" t="s">
        <v>236</v>
      </c>
      <c r="I453" t="s">
        <v>18</v>
      </c>
      <c r="J453" s="4">
        <v>6.4</v>
      </c>
      <c r="K453" s="4">
        <v>92.05</v>
      </c>
      <c r="L453" s="4">
        <v>6</v>
      </c>
      <c r="M453" s="4">
        <v>28.96</v>
      </c>
      <c r="N453" s="4">
        <v>137.3348</v>
      </c>
      <c r="O453" s="4">
        <v>132.06</v>
      </c>
      <c r="P453" s="4">
        <v>3.8764546470000001</v>
      </c>
      <c r="Q453" s="4">
        <v>93.02</v>
      </c>
      <c r="R453" t="str" cm="1">
        <f t="array" ref="R453">_xlfn.IFS(B453="NY","New York",B453="TX","Texas",B453="CA","California")</f>
        <v>California</v>
      </c>
    </row>
    <row r="454" spans="1:18" x14ac:dyDescent="0.3">
      <c r="A454" t="s">
        <v>1</v>
      </c>
      <c r="B454" t="s">
        <v>6</v>
      </c>
      <c r="C454" s="2">
        <v>43054</v>
      </c>
      <c r="D454" s="11" t="s">
        <v>114</v>
      </c>
      <c r="E454" s="3">
        <f t="shared" ca="1" si="7"/>
        <v>533964920</v>
      </c>
      <c r="F454" t="s">
        <v>11</v>
      </c>
      <c r="G454" t="s">
        <v>15</v>
      </c>
      <c r="H454" s="1" t="s">
        <v>235</v>
      </c>
      <c r="I454" t="s">
        <v>21</v>
      </c>
      <c r="J454" s="4">
        <v>9.6</v>
      </c>
      <c r="K454" s="4">
        <v>40.17</v>
      </c>
      <c r="L454" s="4">
        <v>5</v>
      </c>
      <c r="M454" s="4">
        <v>43.6</v>
      </c>
      <c r="N454" s="4">
        <v>101.23439999999999</v>
      </c>
      <c r="O454" s="4">
        <v>318.05</v>
      </c>
      <c r="P454" s="4">
        <v>3.8764546470000001</v>
      </c>
      <c r="Q454" s="4">
        <v>36.72</v>
      </c>
      <c r="R454" t="str" cm="1">
        <f t="array" ref="R454">_xlfn.IFS(B454="NY","New York",B454="TX","Texas",B454="CA","California")</f>
        <v>New York</v>
      </c>
    </row>
    <row r="455" spans="1:18" x14ac:dyDescent="0.3">
      <c r="A455" t="s">
        <v>1</v>
      </c>
      <c r="B455" t="s">
        <v>6</v>
      </c>
      <c r="C455" s="2">
        <v>43132</v>
      </c>
      <c r="D455" s="11" t="s">
        <v>55</v>
      </c>
      <c r="E455" s="3">
        <f t="shared" ca="1" si="7"/>
        <v>559242265</v>
      </c>
      <c r="F455" t="s">
        <v>12</v>
      </c>
      <c r="G455" t="s">
        <v>15</v>
      </c>
      <c r="H455" s="1" t="s">
        <v>235</v>
      </c>
      <c r="I455" t="s">
        <v>17</v>
      </c>
      <c r="J455" s="4">
        <v>8</v>
      </c>
      <c r="K455" s="4">
        <v>23.25</v>
      </c>
      <c r="L455" s="4">
        <v>1</v>
      </c>
      <c r="M455" s="4">
        <v>88</v>
      </c>
      <c r="N455" s="4">
        <v>104.58750000000001</v>
      </c>
      <c r="O455" s="4">
        <v>25</v>
      </c>
      <c r="P455" s="4">
        <v>3.8764546470000001</v>
      </c>
      <c r="Q455" s="4">
        <v>48.47</v>
      </c>
      <c r="R455" t="str" cm="1">
        <f t="array" ref="R455">_xlfn.IFS(B455="NY","New York",B455="TX","Texas",B455="CA","California")</f>
        <v>New York</v>
      </c>
    </row>
    <row r="456" spans="1:18" x14ac:dyDescent="0.3">
      <c r="A456" t="s">
        <v>1</v>
      </c>
      <c r="B456" t="s">
        <v>6</v>
      </c>
      <c r="C456" s="2">
        <v>42947</v>
      </c>
      <c r="D456" s="11" t="s">
        <v>217</v>
      </c>
      <c r="E456" s="3">
        <f t="shared" ca="1" si="7"/>
        <v>98994565</v>
      </c>
      <c r="F456" t="s">
        <v>12</v>
      </c>
      <c r="G456" t="s">
        <v>14</v>
      </c>
      <c r="H456" s="1" t="s">
        <v>236</v>
      </c>
      <c r="I456" t="s">
        <v>18</v>
      </c>
      <c r="J456" s="4">
        <v>3.6</v>
      </c>
      <c r="K456" s="4">
        <v>25.89</v>
      </c>
      <c r="L456" s="4">
        <v>4</v>
      </c>
      <c r="M456" s="4">
        <v>24.71</v>
      </c>
      <c r="N456" s="4">
        <v>101.794</v>
      </c>
      <c r="O456" s="4">
        <v>83.08</v>
      </c>
      <c r="P456" s="4">
        <v>3.8764546470000001</v>
      </c>
      <c r="Q456" s="4">
        <v>83.82</v>
      </c>
      <c r="R456" t="str" cm="1">
        <f t="array" ref="R456">_xlfn.IFS(B456="NY","New York",B456="TX","Texas",B456="CA","California")</f>
        <v>New York</v>
      </c>
    </row>
    <row r="457" spans="1:18" x14ac:dyDescent="0.3">
      <c r="A457" t="s">
        <v>3</v>
      </c>
      <c r="B457" t="s">
        <v>8</v>
      </c>
      <c r="C457" s="2">
        <v>43121</v>
      </c>
      <c r="D457" s="11" t="s">
        <v>124</v>
      </c>
      <c r="E457" s="3">
        <f t="shared" ca="1" si="7"/>
        <v>68551147</v>
      </c>
      <c r="F457" t="s">
        <v>11</v>
      </c>
      <c r="G457" t="s">
        <v>14</v>
      </c>
      <c r="H457" s="1" t="s">
        <v>236</v>
      </c>
      <c r="I457" t="s">
        <v>22</v>
      </c>
      <c r="J457" s="4">
        <v>8.1999999999999993</v>
      </c>
      <c r="K457" s="4">
        <v>85.18</v>
      </c>
      <c r="L457" s="4">
        <v>5</v>
      </c>
      <c r="M457" s="4">
        <v>51.11</v>
      </c>
      <c r="N457" s="4">
        <v>154.8843</v>
      </c>
      <c r="O457" s="4">
        <v>147.80000000000001</v>
      </c>
      <c r="P457" s="4">
        <v>3.8764546470000001</v>
      </c>
      <c r="Q457" s="4">
        <v>17.135000000000002</v>
      </c>
      <c r="R457" t="str" cm="1">
        <f t="array" ref="R457">_xlfn.IFS(B457="NY","New York",B457="TX","Texas",B457="CA","California")</f>
        <v>California</v>
      </c>
    </row>
    <row r="458" spans="1:18" x14ac:dyDescent="0.3">
      <c r="A458" t="s">
        <v>3</v>
      </c>
      <c r="B458" t="s">
        <v>8</v>
      </c>
      <c r="C458" s="2">
        <v>43448</v>
      </c>
      <c r="D458" s="11" t="s">
        <v>40</v>
      </c>
      <c r="E458" s="3">
        <f t="shared" ca="1" si="7"/>
        <v>216434576</v>
      </c>
      <c r="F458" t="s">
        <v>11</v>
      </c>
      <c r="G458" t="s">
        <v>14</v>
      </c>
      <c r="H458" s="1" t="s">
        <v>237</v>
      </c>
      <c r="I458" t="s">
        <v>21</v>
      </c>
      <c r="J458" s="4">
        <v>1.1000000000000001</v>
      </c>
      <c r="K458" s="4">
        <v>34.979999999999997</v>
      </c>
      <c r="L458" s="4">
        <v>9</v>
      </c>
      <c r="M458" s="4">
        <v>98.47</v>
      </c>
      <c r="N458" s="4">
        <v>116.10380000000001</v>
      </c>
      <c r="O458" s="4">
        <v>696.6</v>
      </c>
      <c r="P458" s="4">
        <v>3.8764546470000001</v>
      </c>
      <c r="Q458" s="4">
        <v>11.013</v>
      </c>
      <c r="R458" t="str" cm="1">
        <f t="array" ref="R458">_xlfn.IFS(B458="NY","New York",B458="TX","Texas",B458="CA","California")</f>
        <v>California</v>
      </c>
    </row>
    <row r="459" spans="1:18" x14ac:dyDescent="0.3">
      <c r="A459" t="s">
        <v>3</v>
      </c>
      <c r="B459" t="s">
        <v>8</v>
      </c>
      <c r="C459" s="2">
        <v>43233</v>
      </c>
      <c r="D459" s="11" t="s">
        <v>141</v>
      </c>
      <c r="E459" s="3">
        <f t="shared" ca="1" si="7"/>
        <v>623089898</v>
      </c>
      <c r="F459" t="s">
        <v>12</v>
      </c>
      <c r="G459" t="s">
        <v>15</v>
      </c>
      <c r="H459" s="1" t="s">
        <v>236</v>
      </c>
      <c r="I459" t="s">
        <v>18</v>
      </c>
      <c r="J459" s="4">
        <v>9.1</v>
      </c>
      <c r="K459" s="4">
        <v>57.63</v>
      </c>
      <c r="L459" s="4">
        <v>10</v>
      </c>
      <c r="M459" s="4">
        <v>33.89</v>
      </c>
      <c r="N459" s="4">
        <v>130.73820000000001</v>
      </c>
      <c r="O459" s="4">
        <v>793.9</v>
      </c>
      <c r="P459" s="4">
        <v>3.8764546470000001</v>
      </c>
      <c r="Q459" s="4">
        <v>52.869</v>
      </c>
      <c r="R459" t="str" cm="1">
        <f t="array" ref="R459">_xlfn.IFS(B459="NY","New York",B459="TX","Texas",B459="CA","California")</f>
        <v>California</v>
      </c>
    </row>
    <row r="460" spans="1:18" x14ac:dyDescent="0.3">
      <c r="A460" t="s">
        <v>2</v>
      </c>
      <c r="B460" t="s">
        <v>7</v>
      </c>
      <c r="C460" s="2">
        <v>43230</v>
      </c>
      <c r="D460" s="11" t="s">
        <v>34</v>
      </c>
      <c r="E460" s="3">
        <f t="shared" ca="1" si="7"/>
        <v>288783449</v>
      </c>
      <c r="F460" t="s">
        <v>11</v>
      </c>
      <c r="G460" t="s">
        <v>14</v>
      </c>
      <c r="H460" s="1" t="s">
        <v>236</v>
      </c>
      <c r="I460" t="s">
        <v>18</v>
      </c>
      <c r="J460" s="4">
        <v>2.6</v>
      </c>
      <c r="K460" s="4">
        <v>18.36</v>
      </c>
      <c r="L460" s="4">
        <v>10</v>
      </c>
      <c r="M460" s="4">
        <v>66.5</v>
      </c>
      <c r="N460" s="4">
        <v>128.85550000000001</v>
      </c>
      <c r="O460" s="4">
        <v>465.7</v>
      </c>
      <c r="P460" s="4">
        <v>3.8764546470000001</v>
      </c>
      <c r="Q460" s="4">
        <v>13.249000000000001</v>
      </c>
      <c r="R460" t="str" cm="1">
        <f t="array" ref="R460">_xlfn.IFS(B460="NY","New York",B460="TX","Texas",B460="CA","California")</f>
        <v>Texas</v>
      </c>
    </row>
    <row r="461" spans="1:18" x14ac:dyDescent="0.3">
      <c r="A461" t="s">
        <v>2</v>
      </c>
      <c r="B461" t="s">
        <v>7</v>
      </c>
      <c r="C461" s="2">
        <v>42856</v>
      </c>
      <c r="D461" s="11" t="s">
        <v>80</v>
      </c>
      <c r="E461" s="3">
        <f t="shared" ca="1" si="7"/>
        <v>608388543</v>
      </c>
      <c r="F461" t="s">
        <v>12</v>
      </c>
      <c r="G461" t="s">
        <v>15</v>
      </c>
      <c r="H461" s="1" t="s">
        <v>237</v>
      </c>
      <c r="I461" t="s">
        <v>21</v>
      </c>
      <c r="J461" s="4">
        <v>5.8</v>
      </c>
      <c r="K461" s="4">
        <v>90.37</v>
      </c>
      <c r="L461" s="4">
        <v>1</v>
      </c>
      <c r="M461" s="4">
        <v>10.73</v>
      </c>
      <c r="N461" s="4">
        <v>174.43950000000001</v>
      </c>
      <c r="O461" s="4">
        <v>35.89</v>
      </c>
      <c r="P461" s="4">
        <v>3.8764546470000001</v>
      </c>
      <c r="Q461" s="4">
        <v>76.784999999999997</v>
      </c>
      <c r="R461" t="str" cm="1">
        <f t="array" ref="R461">_xlfn.IFS(B461="NY","New York",B461="TX","Texas",B461="CA","California")</f>
        <v>Texas</v>
      </c>
    </row>
    <row r="462" spans="1:18" x14ac:dyDescent="0.3">
      <c r="A462" t="s">
        <v>2</v>
      </c>
      <c r="B462" t="s">
        <v>7</v>
      </c>
      <c r="C462" s="2">
        <v>43297</v>
      </c>
      <c r="D462" s="11" t="s">
        <v>218</v>
      </c>
      <c r="E462" s="3">
        <f t="shared" ca="1" si="7"/>
        <v>542831582</v>
      </c>
      <c r="F462" t="s">
        <v>12</v>
      </c>
      <c r="G462" t="s">
        <v>15</v>
      </c>
      <c r="H462" s="1" t="s">
        <v>236</v>
      </c>
      <c r="I462" t="s">
        <v>21</v>
      </c>
      <c r="J462" s="4">
        <v>9</v>
      </c>
      <c r="K462" s="4">
        <v>67.67</v>
      </c>
      <c r="L462" s="4">
        <v>5</v>
      </c>
      <c r="M462" s="4">
        <v>93.65</v>
      </c>
      <c r="N462" s="4">
        <v>118.8918</v>
      </c>
      <c r="O462" s="4">
        <v>202.6</v>
      </c>
      <c r="P462" s="4">
        <v>3.8764546470000001</v>
      </c>
      <c r="Q462" s="4">
        <v>67.655000000000001</v>
      </c>
      <c r="R462" t="str" cm="1">
        <f t="array" ref="R462">_xlfn.IFS(B462="NY","New York",B462="TX","Texas",B462="CA","California")</f>
        <v>Texas</v>
      </c>
    </row>
    <row r="463" spans="1:18" x14ac:dyDescent="0.3">
      <c r="A463" t="s">
        <v>3</v>
      </c>
      <c r="B463" t="s">
        <v>8</v>
      </c>
      <c r="C463" s="2">
        <v>42830</v>
      </c>
      <c r="D463" s="11" t="s">
        <v>37</v>
      </c>
      <c r="E463" s="3">
        <f t="shared" ca="1" si="7"/>
        <v>663143266</v>
      </c>
      <c r="F463" t="s">
        <v>11</v>
      </c>
      <c r="G463" t="s">
        <v>14</v>
      </c>
      <c r="H463" s="1" t="s">
        <v>237</v>
      </c>
      <c r="I463" t="s">
        <v>21</v>
      </c>
      <c r="J463" s="4">
        <v>3.7</v>
      </c>
      <c r="K463" s="4">
        <v>39.369999999999997</v>
      </c>
      <c r="L463" s="4">
        <v>10</v>
      </c>
      <c r="M463" s="4">
        <v>51.75</v>
      </c>
      <c r="N463" s="4">
        <v>178.78630000000001</v>
      </c>
      <c r="O463" s="4">
        <v>730.5</v>
      </c>
      <c r="P463" s="4">
        <v>3.8764546470000001</v>
      </c>
      <c r="Q463" s="4">
        <v>87.599000000000004</v>
      </c>
      <c r="R463" t="str" cm="1">
        <f t="array" ref="R463">_xlfn.IFS(B463="NY","New York",B463="TX","Texas",B463="CA","California")</f>
        <v>California</v>
      </c>
    </row>
    <row r="464" spans="1:18" x14ac:dyDescent="0.3">
      <c r="A464" t="s">
        <v>2</v>
      </c>
      <c r="B464" t="s">
        <v>7</v>
      </c>
      <c r="C464" s="2">
        <v>43188</v>
      </c>
      <c r="D464" s="11" t="s">
        <v>160</v>
      </c>
      <c r="E464" s="3">
        <f t="shared" ca="1" si="7"/>
        <v>970934318</v>
      </c>
      <c r="F464" t="s">
        <v>11</v>
      </c>
      <c r="G464" t="s">
        <v>15</v>
      </c>
      <c r="H464" s="1" t="s">
        <v>236</v>
      </c>
      <c r="I464" t="s">
        <v>20</v>
      </c>
      <c r="J464" s="4">
        <v>1.9</v>
      </c>
      <c r="K464" s="4">
        <v>77.2</v>
      </c>
      <c r="L464" s="4">
        <v>4</v>
      </c>
      <c r="M464" s="4">
        <v>74.97</v>
      </c>
      <c r="N464" s="4">
        <v>123.0795</v>
      </c>
      <c r="O464" s="4">
        <v>295.8</v>
      </c>
      <c r="P464" s="4">
        <v>3.8764546470000001</v>
      </c>
      <c r="Q464" s="4">
        <v>54.87</v>
      </c>
      <c r="R464" t="str" cm="1">
        <f t="array" ref="R464">_xlfn.IFS(B464="NY","New York",B464="TX","Texas",B464="CA","California")</f>
        <v>Texas</v>
      </c>
    </row>
    <row r="465" spans="1:18" x14ac:dyDescent="0.3">
      <c r="A465" t="s">
        <v>2</v>
      </c>
      <c r="B465" t="s">
        <v>7</v>
      </c>
      <c r="C465" s="2">
        <v>42829</v>
      </c>
      <c r="D465" s="11" t="s">
        <v>169</v>
      </c>
      <c r="E465" s="3">
        <f t="shared" ca="1" si="7"/>
        <v>83188094</v>
      </c>
      <c r="F465" t="s">
        <v>11</v>
      </c>
      <c r="G465" t="s">
        <v>14</v>
      </c>
      <c r="H465" s="1" t="s">
        <v>236</v>
      </c>
      <c r="I465" t="s">
        <v>21</v>
      </c>
      <c r="J465" s="4">
        <v>4.4000000000000004</v>
      </c>
      <c r="K465" s="4">
        <v>22.11</v>
      </c>
      <c r="L465" s="4">
        <v>1</v>
      </c>
      <c r="M465" s="4">
        <v>75.2</v>
      </c>
      <c r="N465" s="4">
        <v>169.51329999999999</v>
      </c>
      <c r="O465" s="4">
        <v>22.62</v>
      </c>
      <c r="P465" s="4">
        <v>3.8764546470000001</v>
      </c>
      <c r="Q465" s="4">
        <v>89.16</v>
      </c>
      <c r="R465" t="str" cm="1">
        <f t="array" ref="R465">_xlfn.IFS(B465="NY","New York",B465="TX","Texas",B465="CA","California")</f>
        <v>Texas</v>
      </c>
    </row>
    <row r="466" spans="1:18" x14ac:dyDescent="0.3">
      <c r="A466" t="s">
        <v>1</v>
      </c>
      <c r="B466" t="s">
        <v>6</v>
      </c>
      <c r="C466" s="2">
        <v>43137</v>
      </c>
      <c r="D466" s="11" t="s">
        <v>219</v>
      </c>
      <c r="E466" s="3">
        <f t="shared" ca="1" si="7"/>
        <v>591033768</v>
      </c>
      <c r="F466" t="s">
        <v>12</v>
      </c>
      <c r="G466" t="s">
        <v>14</v>
      </c>
      <c r="H466" s="1" t="s">
        <v>237</v>
      </c>
      <c r="I466" t="s">
        <v>21</v>
      </c>
      <c r="J466" s="4">
        <v>6</v>
      </c>
      <c r="K466" s="4">
        <v>96.98</v>
      </c>
      <c r="L466" s="4">
        <v>5</v>
      </c>
      <c r="M466" s="4">
        <v>58.5</v>
      </c>
      <c r="N466" s="4">
        <v>125.3036</v>
      </c>
      <c r="O466" s="4">
        <v>256.7</v>
      </c>
      <c r="P466" s="4">
        <v>3.8764546470000001</v>
      </c>
      <c r="Q466" s="4">
        <v>40.72</v>
      </c>
      <c r="R466" t="str" cm="1">
        <f t="array" ref="R466">_xlfn.IFS(B466="NY","New York",B466="TX","Texas",B466="CA","California")</f>
        <v>New York</v>
      </c>
    </row>
    <row r="467" spans="1:18" x14ac:dyDescent="0.3">
      <c r="A467" t="s">
        <v>2</v>
      </c>
      <c r="B467" t="s">
        <v>7</v>
      </c>
      <c r="C467" s="2">
        <v>42966</v>
      </c>
      <c r="D467" s="11" t="s">
        <v>220</v>
      </c>
      <c r="E467" s="3">
        <f t="shared" ca="1" si="7"/>
        <v>938844967</v>
      </c>
      <c r="F467" t="s">
        <v>11</v>
      </c>
      <c r="G467" t="s">
        <v>14</v>
      </c>
      <c r="H467" s="1" t="s">
        <v>237</v>
      </c>
      <c r="I467" t="s">
        <v>20</v>
      </c>
      <c r="J467" s="4">
        <v>4.8</v>
      </c>
      <c r="K467" s="4">
        <v>56.46</v>
      </c>
      <c r="L467" s="4">
        <v>10</v>
      </c>
      <c r="M467" s="4">
        <v>96.46</v>
      </c>
      <c r="N467" s="4">
        <v>125.1896</v>
      </c>
      <c r="O467" s="4">
        <v>545.5</v>
      </c>
      <c r="P467" s="4">
        <v>3.8764546470000001</v>
      </c>
      <c r="Q467" s="4">
        <v>20.54</v>
      </c>
      <c r="R467" t="str" cm="1">
        <f t="array" ref="R467">_xlfn.IFS(B467="NY","New York",B467="TX","Texas",B467="CA","California")</f>
        <v>Texas</v>
      </c>
    </row>
    <row r="468" spans="1:18" x14ac:dyDescent="0.3">
      <c r="A468" t="s">
        <v>2</v>
      </c>
      <c r="B468" t="s">
        <v>7</v>
      </c>
      <c r="C468" s="2">
        <v>43079</v>
      </c>
      <c r="D468" s="11" t="s">
        <v>192</v>
      </c>
      <c r="E468" s="3">
        <f t="shared" ca="1" si="7"/>
        <v>733870738</v>
      </c>
      <c r="F468" t="s">
        <v>11</v>
      </c>
      <c r="G468" t="s">
        <v>14</v>
      </c>
      <c r="H468" s="1" t="s">
        <v>237</v>
      </c>
      <c r="I468" t="s">
        <v>17</v>
      </c>
      <c r="J468" s="4">
        <v>5.0999999999999996</v>
      </c>
      <c r="K468" s="4">
        <v>42.68</v>
      </c>
      <c r="L468" s="4">
        <v>7</v>
      </c>
      <c r="M468" s="4">
        <v>71.819999999999993</v>
      </c>
      <c r="N468" s="4">
        <v>117.86920000000001</v>
      </c>
      <c r="O468" s="4">
        <v>260.05</v>
      </c>
      <c r="P468" s="4">
        <v>3.8764546470000001</v>
      </c>
      <c r="Q468" s="4">
        <v>10.28</v>
      </c>
      <c r="R468" t="str" cm="1">
        <f t="array" ref="R468">_xlfn.IFS(B468="NY","New York",B468="TX","Texas",B468="CA","California")</f>
        <v>Texas</v>
      </c>
    </row>
    <row r="469" spans="1:18" x14ac:dyDescent="0.3">
      <c r="A469" t="s">
        <v>3</v>
      </c>
      <c r="B469" t="s">
        <v>8</v>
      </c>
      <c r="C469" s="2">
        <v>42949</v>
      </c>
      <c r="D469" s="11" t="s">
        <v>155</v>
      </c>
      <c r="E469" s="3">
        <f t="shared" ca="1" si="7"/>
        <v>529892763</v>
      </c>
      <c r="F469" t="s">
        <v>12</v>
      </c>
      <c r="G469" t="s">
        <v>15</v>
      </c>
      <c r="H469" s="1" t="s">
        <v>236</v>
      </c>
      <c r="I469" t="s">
        <v>20</v>
      </c>
      <c r="J469" s="4">
        <v>1.3</v>
      </c>
      <c r="K469" s="4">
        <v>54.85</v>
      </c>
      <c r="L469" s="4">
        <v>6</v>
      </c>
      <c r="M469" s="4">
        <v>29.59</v>
      </c>
      <c r="N469" s="4">
        <v>110.7893</v>
      </c>
      <c r="O469" s="4">
        <v>222.12</v>
      </c>
      <c r="P469" s="4">
        <v>3.8764546470000001</v>
      </c>
      <c r="Q469" s="4">
        <v>11.06</v>
      </c>
      <c r="R469" t="str" cm="1">
        <f t="array" ref="R469">_xlfn.IFS(B469="NY","New York",B469="TX","Texas",B469="CA","California")</f>
        <v>California</v>
      </c>
    </row>
    <row r="470" spans="1:18" x14ac:dyDescent="0.3">
      <c r="A470" t="s">
        <v>2</v>
      </c>
      <c r="B470" t="s">
        <v>7</v>
      </c>
      <c r="C470" s="2">
        <v>43325</v>
      </c>
      <c r="D470" s="11" t="s">
        <v>149</v>
      </c>
      <c r="E470" s="3">
        <f t="shared" ca="1" si="7"/>
        <v>724661797</v>
      </c>
      <c r="F470" t="s">
        <v>12</v>
      </c>
      <c r="G470" t="s">
        <v>15</v>
      </c>
      <c r="H470" s="1" t="s">
        <v>235</v>
      </c>
      <c r="I470" t="s">
        <v>21</v>
      </c>
      <c r="J470" s="4">
        <v>8</v>
      </c>
      <c r="K470" s="4">
        <v>58.16</v>
      </c>
      <c r="L470" s="4">
        <v>1</v>
      </c>
      <c r="M470" s="4">
        <v>49.37</v>
      </c>
      <c r="N470" s="4">
        <v>167.8895</v>
      </c>
      <c r="O470" s="4">
        <v>21.58</v>
      </c>
      <c r="P470" s="4">
        <v>3.8764546470000001</v>
      </c>
      <c r="Q470" s="4">
        <v>88.82</v>
      </c>
      <c r="R470" t="str" cm="1">
        <f t="array" ref="R470">_xlfn.IFS(B470="NY","New York",B470="TX","Texas",B470="CA","California")</f>
        <v>Texas</v>
      </c>
    </row>
    <row r="471" spans="1:18" x14ac:dyDescent="0.3">
      <c r="A471" t="s">
        <v>2</v>
      </c>
      <c r="B471" t="s">
        <v>7</v>
      </c>
      <c r="C471" s="2">
        <v>43171</v>
      </c>
      <c r="D471" s="11" t="s">
        <v>123</v>
      </c>
      <c r="E471" s="3">
        <f t="shared" ca="1" si="7"/>
        <v>490791873</v>
      </c>
      <c r="F471" t="s">
        <v>11</v>
      </c>
      <c r="G471" t="s">
        <v>14</v>
      </c>
      <c r="H471" s="1" t="s">
        <v>236</v>
      </c>
      <c r="I471" t="s">
        <v>18</v>
      </c>
      <c r="J471" s="4">
        <v>5</v>
      </c>
      <c r="K471" s="4">
        <v>76.349999999999994</v>
      </c>
      <c r="L471" s="4">
        <v>1</v>
      </c>
      <c r="M471" s="4">
        <v>16.45</v>
      </c>
      <c r="N471" s="4">
        <v>105.2086</v>
      </c>
      <c r="O471" s="4">
        <v>98.84</v>
      </c>
      <c r="P471" s="4">
        <v>3.8764546470000001</v>
      </c>
      <c r="Q471" s="4">
        <v>99.631</v>
      </c>
      <c r="R471" t="str" cm="1">
        <f t="array" ref="R471">_xlfn.IFS(B471="NY","New York",B471="TX","Texas",B471="CA","California")</f>
        <v>Texas</v>
      </c>
    </row>
    <row r="472" spans="1:18" x14ac:dyDescent="0.3">
      <c r="A472" t="s">
        <v>2</v>
      </c>
      <c r="B472" t="s">
        <v>7</v>
      </c>
      <c r="C472" s="2">
        <v>43271</v>
      </c>
      <c r="D472" s="11" t="s">
        <v>40</v>
      </c>
      <c r="E472" s="3">
        <f t="shared" ca="1" si="7"/>
        <v>729276618</v>
      </c>
      <c r="F472" t="s">
        <v>11</v>
      </c>
      <c r="G472" t="s">
        <v>14</v>
      </c>
      <c r="H472" s="1" t="s">
        <v>235</v>
      </c>
      <c r="I472" t="s">
        <v>19</v>
      </c>
      <c r="J472" s="4">
        <v>10</v>
      </c>
      <c r="K472" s="4">
        <v>82.58</v>
      </c>
      <c r="L472" s="4">
        <v>6</v>
      </c>
      <c r="M472" s="4">
        <v>66.05</v>
      </c>
      <c r="N472" s="4">
        <v>121.0082</v>
      </c>
      <c r="O472" s="4">
        <v>502.62</v>
      </c>
      <c r="P472" s="4">
        <v>3.8764546470000001</v>
      </c>
      <c r="Q472" s="4">
        <v>29.178000000000001</v>
      </c>
      <c r="R472" t="str" cm="1">
        <f t="array" ref="R472">_xlfn.IFS(B472="NY","New York",B472="TX","Texas",B472="CA","California")</f>
        <v>Texas</v>
      </c>
    </row>
    <row r="473" spans="1:18" x14ac:dyDescent="0.3">
      <c r="A473" t="s">
        <v>1</v>
      </c>
      <c r="B473" t="s">
        <v>6</v>
      </c>
      <c r="C473" s="2">
        <v>43088</v>
      </c>
      <c r="D473" s="11" t="s">
        <v>59</v>
      </c>
      <c r="E473" s="3">
        <f t="shared" ca="1" si="7"/>
        <v>630979693</v>
      </c>
      <c r="F473" t="s">
        <v>11</v>
      </c>
      <c r="G473" t="s">
        <v>14</v>
      </c>
      <c r="H473" s="1" t="s">
        <v>236</v>
      </c>
      <c r="I473" t="s">
        <v>20</v>
      </c>
      <c r="J473" s="4">
        <v>4</v>
      </c>
      <c r="K473" s="4">
        <v>19.63</v>
      </c>
      <c r="L473" s="4">
        <v>4</v>
      </c>
      <c r="M473" s="4">
        <v>91.8</v>
      </c>
      <c r="N473" s="4">
        <v>177.994</v>
      </c>
      <c r="O473" s="4">
        <v>160.19999999999999</v>
      </c>
      <c r="P473" s="4">
        <v>3.8764546470000001</v>
      </c>
      <c r="Q473" s="4">
        <v>46.652999999999999</v>
      </c>
      <c r="R473" t="str" cm="1">
        <f t="array" ref="R473">_xlfn.IFS(B473="NY","New York",B473="TX","Texas",B473="CA","California")</f>
        <v>New York</v>
      </c>
    </row>
    <row r="474" spans="1:18" x14ac:dyDescent="0.3">
      <c r="A474" t="s">
        <v>1</v>
      </c>
      <c r="B474" t="s">
        <v>6</v>
      </c>
      <c r="C474" s="2">
        <v>43428</v>
      </c>
      <c r="D474" s="11" t="s">
        <v>119</v>
      </c>
      <c r="E474" s="3">
        <f t="shared" ca="1" si="7"/>
        <v>380247268</v>
      </c>
      <c r="F474" t="s">
        <v>12</v>
      </c>
      <c r="G474" t="s">
        <v>14</v>
      </c>
      <c r="H474" s="1" t="s">
        <v>237</v>
      </c>
      <c r="I474" t="s">
        <v>22</v>
      </c>
      <c r="J474" s="4">
        <v>4</v>
      </c>
      <c r="K474" s="4">
        <v>19.03</v>
      </c>
      <c r="L474" s="4">
        <v>10</v>
      </c>
      <c r="M474" s="4">
        <v>75.58</v>
      </c>
      <c r="N474" s="4">
        <v>181.61410000000001</v>
      </c>
      <c r="O474" s="4">
        <v>431.3</v>
      </c>
      <c r="P474" s="4">
        <v>3.8764546470000001</v>
      </c>
      <c r="Q474" s="4">
        <v>15.242000000000001</v>
      </c>
      <c r="R474" t="str" cm="1">
        <f t="array" ref="R474">_xlfn.IFS(B474="NY","New York",B474="TX","Texas",B474="CA","California")</f>
        <v>New York</v>
      </c>
    </row>
    <row r="475" spans="1:18" x14ac:dyDescent="0.3">
      <c r="A475" t="s">
        <v>3</v>
      </c>
      <c r="B475" t="s">
        <v>8</v>
      </c>
      <c r="C475" s="2">
        <v>42879</v>
      </c>
      <c r="D475" s="11" t="s">
        <v>92</v>
      </c>
      <c r="E475" s="3">
        <f t="shared" ca="1" si="7"/>
        <v>98049254</v>
      </c>
      <c r="F475" t="s">
        <v>12</v>
      </c>
      <c r="G475" t="s">
        <v>14</v>
      </c>
      <c r="H475" s="1" t="s">
        <v>236</v>
      </c>
      <c r="I475" t="s">
        <v>17</v>
      </c>
      <c r="J475" s="4">
        <v>2</v>
      </c>
      <c r="K475" s="4">
        <v>64.010000000000005</v>
      </c>
      <c r="L475" s="4">
        <v>8</v>
      </c>
      <c r="M475" s="4">
        <v>37.5</v>
      </c>
      <c r="N475" s="4">
        <v>127.553</v>
      </c>
      <c r="O475" s="4">
        <v>580.55999999999995</v>
      </c>
      <c r="P475" s="4">
        <v>3.8764546470000001</v>
      </c>
      <c r="Q475" s="4">
        <v>26.373999999999999</v>
      </c>
      <c r="R475" t="str" cm="1">
        <f t="array" ref="R475">_xlfn.IFS(B475="NY","New York",B475="TX","Texas",B475="CA","California")</f>
        <v>California</v>
      </c>
    </row>
    <row r="476" spans="1:18" x14ac:dyDescent="0.3">
      <c r="A476" t="s">
        <v>1</v>
      </c>
      <c r="B476" t="s">
        <v>6</v>
      </c>
      <c r="C476" s="2">
        <v>43400</v>
      </c>
      <c r="D476" s="11" t="s">
        <v>156</v>
      </c>
      <c r="E476" s="3">
        <f t="shared" ca="1" si="7"/>
        <v>687031462</v>
      </c>
      <c r="F476" t="s">
        <v>11</v>
      </c>
      <c r="G476" t="s">
        <v>14</v>
      </c>
      <c r="H476" s="1" t="s">
        <v>236</v>
      </c>
      <c r="I476" t="s">
        <v>18</v>
      </c>
      <c r="J476" s="4">
        <v>9</v>
      </c>
      <c r="K476" s="4">
        <v>10.46</v>
      </c>
      <c r="L476" s="4">
        <v>5</v>
      </c>
      <c r="M476" s="4">
        <v>75.42</v>
      </c>
      <c r="N476" s="4">
        <v>180.9359</v>
      </c>
      <c r="O476" s="4">
        <v>322.2</v>
      </c>
      <c r="P476" s="4">
        <v>3.8764546470000001</v>
      </c>
      <c r="Q476" s="4">
        <v>16.466999999999999</v>
      </c>
      <c r="R476" t="str" cm="1">
        <f t="array" ref="R476">_xlfn.IFS(B476="NY","New York",B476="TX","Texas",B476="CA","California")</f>
        <v>New York</v>
      </c>
    </row>
    <row r="477" spans="1:18" x14ac:dyDescent="0.3">
      <c r="A477" t="s">
        <v>1</v>
      </c>
      <c r="B477" t="s">
        <v>6</v>
      </c>
      <c r="C477" s="2">
        <v>43374</v>
      </c>
      <c r="D477" s="11" t="s">
        <v>221</v>
      </c>
      <c r="E477" s="3">
        <f t="shared" ca="1" si="7"/>
        <v>752041817</v>
      </c>
      <c r="F477" t="s">
        <v>12</v>
      </c>
      <c r="G477" t="s">
        <v>15</v>
      </c>
      <c r="H477" s="1" t="s">
        <v>237</v>
      </c>
      <c r="I477" t="s">
        <v>17</v>
      </c>
      <c r="J477" s="4">
        <v>4</v>
      </c>
      <c r="K477" s="4">
        <v>57.27</v>
      </c>
      <c r="L477" s="4">
        <v>3</v>
      </c>
      <c r="M477" s="4">
        <v>95.91</v>
      </c>
      <c r="N477" s="4">
        <v>176.6035</v>
      </c>
      <c r="O477" s="4">
        <v>195.54</v>
      </c>
      <c r="P477" s="4">
        <v>3.8764546470000001</v>
      </c>
      <c r="Q477" s="4">
        <v>84.894000000000005</v>
      </c>
      <c r="R477" t="str" cm="1">
        <f t="array" ref="R477">_xlfn.IFS(B477="NY","New York",B477="TX","Texas",B477="CA","California")</f>
        <v>New York</v>
      </c>
    </row>
    <row r="478" spans="1:18" x14ac:dyDescent="0.3">
      <c r="A478" t="s">
        <v>1</v>
      </c>
      <c r="B478" t="s">
        <v>6</v>
      </c>
      <c r="C478" s="2">
        <v>43344</v>
      </c>
      <c r="D478" s="11" t="s">
        <v>222</v>
      </c>
      <c r="E478" s="3">
        <f t="shared" ca="1" si="7"/>
        <v>444526169</v>
      </c>
      <c r="F478" t="s">
        <v>11</v>
      </c>
      <c r="G478" t="s">
        <v>15</v>
      </c>
      <c r="H478" s="1" t="s">
        <v>237</v>
      </c>
      <c r="I478" t="s">
        <v>20</v>
      </c>
      <c r="J478" s="4">
        <v>5</v>
      </c>
      <c r="K478" s="4">
        <v>37.619999999999997</v>
      </c>
      <c r="L478" s="4">
        <v>5</v>
      </c>
      <c r="M478" s="4">
        <v>60.27</v>
      </c>
      <c r="N478" s="4">
        <v>126.1794</v>
      </c>
      <c r="O478" s="4">
        <v>166.3</v>
      </c>
      <c r="P478" s="4">
        <v>3.8764546470000001</v>
      </c>
      <c r="Q478" s="4">
        <v>49.783000000000001</v>
      </c>
      <c r="R478" t="str" cm="1">
        <f t="array" ref="R478">_xlfn.IFS(B478="NY","New York",B478="TX","Texas",B478="CA","California")</f>
        <v>New York</v>
      </c>
    </row>
    <row r="479" spans="1:18" x14ac:dyDescent="0.3">
      <c r="A479" t="s">
        <v>2</v>
      </c>
      <c r="B479" t="s">
        <v>7</v>
      </c>
      <c r="C479" s="2">
        <v>43086</v>
      </c>
      <c r="D479" s="11" t="s">
        <v>48</v>
      </c>
      <c r="E479" s="3">
        <f t="shared" ca="1" si="7"/>
        <v>729230175</v>
      </c>
      <c r="F479" t="s">
        <v>12</v>
      </c>
      <c r="G479" t="s">
        <v>15</v>
      </c>
      <c r="H479" s="1" t="s">
        <v>235</v>
      </c>
      <c r="I479" t="s">
        <v>18</v>
      </c>
      <c r="J479" s="4">
        <v>8</v>
      </c>
      <c r="K479" s="4">
        <v>62.866</v>
      </c>
      <c r="L479" s="4">
        <v>4</v>
      </c>
      <c r="M479" s="4">
        <v>52.82</v>
      </c>
      <c r="N479" s="4">
        <v>163.38419999999999</v>
      </c>
      <c r="O479" s="4">
        <v>336.28</v>
      </c>
      <c r="P479" s="4">
        <v>3.8764546470000001</v>
      </c>
      <c r="Q479" s="4">
        <v>16.413</v>
      </c>
      <c r="R479" t="str" cm="1">
        <f t="array" ref="R479">_xlfn.IFS(B479="NY","New York",B479="TX","Texas",B479="CA","California")</f>
        <v>Texas</v>
      </c>
    </row>
    <row r="480" spans="1:18" x14ac:dyDescent="0.3">
      <c r="A480" t="s">
        <v>3</v>
      </c>
      <c r="B480" t="s">
        <v>8</v>
      </c>
      <c r="C480" s="2">
        <v>43323</v>
      </c>
      <c r="D480" s="11" t="s">
        <v>77</v>
      </c>
      <c r="E480" s="3">
        <f t="shared" ca="1" si="7"/>
        <v>377217167</v>
      </c>
      <c r="F480" t="s">
        <v>12</v>
      </c>
      <c r="G480" t="s">
        <v>15</v>
      </c>
      <c r="H480" s="1" t="s">
        <v>235</v>
      </c>
      <c r="I480" t="s">
        <v>20</v>
      </c>
      <c r="J480" s="4">
        <v>2</v>
      </c>
      <c r="K480" s="4">
        <v>73.92</v>
      </c>
      <c r="L480" s="4">
        <v>10</v>
      </c>
      <c r="M480" s="4">
        <v>14.18</v>
      </c>
      <c r="N480" s="4">
        <v>158.78059999999999</v>
      </c>
      <c r="O480" s="4">
        <v>343.7</v>
      </c>
      <c r="P480" s="4">
        <v>3.8764546470000001</v>
      </c>
      <c r="Q480" s="4">
        <v>43.188000000000002</v>
      </c>
      <c r="R480" t="str" cm="1">
        <f t="array" ref="R480">_xlfn.IFS(B480="NY","New York",B480="TX","Texas",B480="CA","California")</f>
        <v>California</v>
      </c>
    </row>
    <row r="481" spans="1:18" x14ac:dyDescent="0.3">
      <c r="A481" t="s">
        <v>1</v>
      </c>
      <c r="B481" t="s">
        <v>6</v>
      </c>
      <c r="C481" s="2">
        <v>43350</v>
      </c>
      <c r="D481" s="11" t="s">
        <v>56</v>
      </c>
      <c r="E481" s="3">
        <f t="shared" ca="1" si="7"/>
        <v>965271908</v>
      </c>
      <c r="F481" t="s">
        <v>12</v>
      </c>
      <c r="G481" t="s">
        <v>15</v>
      </c>
      <c r="H481" s="1" t="s">
        <v>235</v>
      </c>
      <c r="I481" t="s">
        <v>18</v>
      </c>
      <c r="J481" s="4">
        <v>5.2</v>
      </c>
      <c r="K481" s="4">
        <v>88.74</v>
      </c>
      <c r="L481" s="4">
        <v>1</v>
      </c>
      <c r="M481" s="4">
        <v>42.76</v>
      </c>
      <c r="N481" s="4">
        <v>171.03960000000001</v>
      </c>
      <c r="O481" s="4">
        <v>38.6</v>
      </c>
      <c r="P481" s="4">
        <v>3.8764546470000001</v>
      </c>
      <c r="Q481" s="4">
        <v>62.682000000000002</v>
      </c>
      <c r="R481" t="str" cm="1">
        <f t="array" ref="R481">_xlfn.IFS(B481="NY","New York",B481="TX","Texas",B481="CA","California")</f>
        <v>New York</v>
      </c>
    </row>
    <row r="482" spans="1:18" x14ac:dyDescent="0.3">
      <c r="A482" t="s">
        <v>2</v>
      </c>
      <c r="B482" t="s">
        <v>7</v>
      </c>
      <c r="C482" s="2">
        <v>43257</v>
      </c>
      <c r="D482" s="11" t="s">
        <v>184</v>
      </c>
      <c r="E482" s="3">
        <f t="shared" ca="1" si="7"/>
        <v>289074519</v>
      </c>
      <c r="F482" t="s">
        <v>12</v>
      </c>
      <c r="G482" t="s">
        <v>15</v>
      </c>
      <c r="H482" s="1" t="s">
        <v>236</v>
      </c>
      <c r="I482" t="s">
        <v>21</v>
      </c>
      <c r="J482" s="4">
        <v>6</v>
      </c>
      <c r="K482" s="4">
        <v>27.08</v>
      </c>
      <c r="L482" s="4">
        <v>8</v>
      </c>
      <c r="M482" s="4">
        <v>76.599999999999994</v>
      </c>
      <c r="N482" s="4">
        <v>133.13980000000001</v>
      </c>
      <c r="O482" s="4">
        <v>527.76</v>
      </c>
      <c r="P482" s="4">
        <v>3.8764546470000001</v>
      </c>
      <c r="Q482" s="4">
        <v>57.8</v>
      </c>
      <c r="R482" t="str" cm="1">
        <f t="array" ref="R482">_xlfn.IFS(B482="NY","New York",B482="TX","Texas",B482="CA","California")</f>
        <v>Texas</v>
      </c>
    </row>
    <row r="483" spans="1:18" x14ac:dyDescent="0.3">
      <c r="A483" t="s">
        <v>2</v>
      </c>
      <c r="B483" t="s">
        <v>7</v>
      </c>
      <c r="C483" s="2">
        <v>43301</v>
      </c>
      <c r="D483" s="11" t="s">
        <v>122</v>
      </c>
      <c r="E483" s="3">
        <f t="shared" ca="1" si="7"/>
        <v>812721048</v>
      </c>
      <c r="F483" t="s">
        <v>11</v>
      </c>
      <c r="G483" t="s">
        <v>15</v>
      </c>
      <c r="H483" s="1" t="s">
        <v>236</v>
      </c>
      <c r="I483" t="s">
        <v>18</v>
      </c>
      <c r="J483" s="4">
        <v>2.1</v>
      </c>
      <c r="K483" s="4">
        <v>89.82</v>
      </c>
      <c r="L483" s="4">
        <v>10</v>
      </c>
      <c r="M483" s="4">
        <v>84.1</v>
      </c>
      <c r="N483" s="4">
        <v>154.84039999999999</v>
      </c>
      <c r="O483" s="4">
        <v>328</v>
      </c>
      <c r="P483" s="4">
        <v>3.8764546470000001</v>
      </c>
      <c r="Q483" s="4">
        <v>71.25</v>
      </c>
      <c r="R483" t="str" cm="1">
        <f t="array" ref="R483">_xlfn.IFS(B483="NY","New York",B483="TX","Texas",B483="CA","California")</f>
        <v>Texas</v>
      </c>
    </row>
    <row r="484" spans="1:18" x14ac:dyDescent="0.3">
      <c r="A484" t="s">
        <v>1</v>
      </c>
      <c r="B484" t="s">
        <v>6</v>
      </c>
      <c r="C484" s="2">
        <v>43066</v>
      </c>
      <c r="D484" s="11" t="s">
        <v>148</v>
      </c>
      <c r="E484" s="3">
        <f t="shared" ca="1" si="7"/>
        <v>881483805</v>
      </c>
      <c r="F484" t="s">
        <v>12</v>
      </c>
      <c r="G484" t="s">
        <v>15</v>
      </c>
      <c r="H484" s="1" t="s">
        <v>235</v>
      </c>
      <c r="I484" t="s">
        <v>20</v>
      </c>
      <c r="J484" s="4">
        <v>3</v>
      </c>
      <c r="K484" s="4">
        <v>63.66</v>
      </c>
      <c r="L484" s="4">
        <v>5</v>
      </c>
      <c r="M484" s="4">
        <v>99.58</v>
      </c>
      <c r="N484" s="4">
        <v>134.5839</v>
      </c>
      <c r="O484" s="4">
        <v>185.7</v>
      </c>
      <c r="P484" s="4">
        <v>3.8764546470000001</v>
      </c>
      <c r="Q484" s="4">
        <v>24.59</v>
      </c>
      <c r="R484" t="str" cm="1">
        <f t="array" ref="R484">_xlfn.IFS(B484="NY","New York",B484="TX","Texas",B484="CA","California")</f>
        <v>New York</v>
      </c>
    </row>
    <row r="485" spans="1:18" x14ac:dyDescent="0.3">
      <c r="A485" t="s">
        <v>3</v>
      </c>
      <c r="B485" t="s">
        <v>8</v>
      </c>
      <c r="C485" s="2">
        <v>43141</v>
      </c>
      <c r="D485" s="11" t="s">
        <v>192</v>
      </c>
      <c r="E485" s="3">
        <f t="shared" ca="1" si="7"/>
        <v>163031648</v>
      </c>
      <c r="F485" t="s">
        <v>12</v>
      </c>
      <c r="G485" t="s">
        <v>14</v>
      </c>
      <c r="H485" s="1" t="s">
        <v>236</v>
      </c>
      <c r="I485" t="s">
        <v>19</v>
      </c>
      <c r="J485" s="4">
        <v>6</v>
      </c>
      <c r="K485" s="4">
        <v>70.884</v>
      </c>
      <c r="L485" s="4">
        <v>10</v>
      </c>
      <c r="M485" s="4">
        <v>15.2</v>
      </c>
      <c r="N485" s="4">
        <v>158.18100000000001</v>
      </c>
      <c r="O485" s="4">
        <v>603.79999999999995</v>
      </c>
      <c r="P485" s="4">
        <v>3.8764546470000001</v>
      </c>
      <c r="Q485" s="4">
        <v>70.37</v>
      </c>
      <c r="R485" t="str" cm="1">
        <f t="array" ref="R485">_xlfn.IFS(B485="NY","New York",B485="TX","Texas",B485="CA","California")</f>
        <v>California</v>
      </c>
    </row>
    <row r="486" spans="1:18" x14ac:dyDescent="0.3">
      <c r="A486" t="s">
        <v>2</v>
      </c>
      <c r="B486" t="s">
        <v>7</v>
      </c>
      <c r="C486" s="2">
        <v>43460</v>
      </c>
      <c r="D486" s="11" t="s">
        <v>144</v>
      </c>
      <c r="E486" s="3">
        <f t="shared" ca="1" si="7"/>
        <v>187107656</v>
      </c>
      <c r="F486" t="s">
        <v>11</v>
      </c>
      <c r="G486" t="s">
        <v>14</v>
      </c>
      <c r="H486" s="1" t="s">
        <v>237</v>
      </c>
      <c r="I486" t="s">
        <v>20</v>
      </c>
      <c r="J486" s="4">
        <v>6.4</v>
      </c>
      <c r="K486" s="4">
        <v>61.92</v>
      </c>
      <c r="L486" s="4">
        <v>10</v>
      </c>
      <c r="M486" s="4">
        <v>18.649999999999999</v>
      </c>
      <c r="N486" s="4">
        <v>177.37559999999999</v>
      </c>
      <c r="O486" s="4">
        <v>369.8</v>
      </c>
      <c r="P486" s="4">
        <v>3.8764546470000001</v>
      </c>
      <c r="Q486" s="4">
        <v>83.78</v>
      </c>
      <c r="R486" t="str" cm="1">
        <f t="array" ref="R486">_xlfn.IFS(B486="NY","New York",B486="TX","Texas",B486="CA","California")</f>
        <v>Texas</v>
      </c>
    </row>
    <row r="487" spans="1:18" x14ac:dyDescent="0.3">
      <c r="A487" t="s">
        <v>3</v>
      </c>
      <c r="B487" t="s">
        <v>8</v>
      </c>
      <c r="C487" s="2">
        <v>43127</v>
      </c>
      <c r="D487" s="11" t="s">
        <v>191</v>
      </c>
      <c r="E487" s="3">
        <f t="shared" ca="1" si="7"/>
        <v>920043279</v>
      </c>
      <c r="F487" t="s">
        <v>11</v>
      </c>
      <c r="G487" t="s">
        <v>14</v>
      </c>
      <c r="H487" s="1" t="s">
        <v>235</v>
      </c>
      <c r="I487" t="s">
        <v>20</v>
      </c>
      <c r="J487" s="4">
        <v>4.4000000000000004</v>
      </c>
      <c r="K487" s="4">
        <v>90.33</v>
      </c>
      <c r="L487" s="4">
        <v>4</v>
      </c>
      <c r="M487" s="4">
        <v>99.33</v>
      </c>
      <c r="N487" s="4">
        <v>102.5232</v>
      </c>
      <c r="O487" s="4">
        <v>197.96</v>
      </c>
      <c r="P487" s="4">
        <v>3.8764546470000001</v>
      </c>
      <c r="Q487" s="4">
        <v>67.492000000000004</v>
      </c>
      <c r="R487" t="str" cm="1">
        <f t="array" ref="R487">_xlfn.IFS(B487="NY","New York",B487="TX","Texas",B487="CA","California")</f>
        <v>California</v>
      </c>
    </row>
    <row r="488" spans="1:18" x14ac:dyDescent="0.3">
      <c r="A488" t="s">
        <v>3</v>
      </c>
      <c r="B488" t="s">
        <v>8</v>
      </c>
      <c r="C488" s="2">
        <v>43023</v>
      </c>
      <c r="D488" s="11" t="s">
        <v>135</v>
      </c>
      <c r="E488" s="3">
        <f t="shared" ca="1" si="7"/>
        <v>633107569</v>
      </c>
      <c r="F488" t="s">
        <v>11</v>
      </c>
      <c r="G488" t="s">
        <v>15</v>
      </c>
      <c r="H488" s="1" t="s">
        <v>236</v>
      </c>
      <c r="I488" t="s">
        <v>22</v>
      </c>
      <c r="J488" s="4">
        <v>3</v>
      </c>
      <c r="K488" s="4">
        <v>45.780999999999999</v>
      </c>
      <c r="L488" s="4">
        <v>10</v>
      </c>
      <c r="M488" s="4">
        <v>69.989999999999995</v>
      </c>
      <c r="N488" s="4">
        <v>173.10589999999999</v>
      </c>
      <c r="O488" s="4">
        <v>410.9</v>
      </c>
      <c r="P488" s="4">
        <v>3.8764546470000001</v>
      </c>
      <c r="Q488" s="4">
        <v>82.918999999999997</v>
      </c>
      <c r="R488" t="str" cm="1">
        <f t="array" ref="R488">_xlfn.IFS(B488="NY","New York",B488="TX","Texas",B488="CA","California")</f>
        <v>California</v>
      </c>
    </row>
    <row r="489" spans="1:18" x14ac:dyDescent="0.3">
      <c r="A489" t="s">
        <v>1</v>
      </c>
      <c r="B489" t="s">
        <v>6</v>
      </c>
      <c r="C489" s="2">
        <v>42952</v>
      </c>
      <c r="D489" s="11" t="s">
        <v>211</v>
      </c>
      <c r="E489" s="3">
        <f t="shared" ca="1" si="7"/>
        <v>751765315</v>
      </c>
      <c r="F489" t="s">
        <v>12</v>
      </c>
      <c r="G489" t="s">
        <v>15</v>
      </c>
      <c r="H489" s="1" t="s">
        <v>235</v>
      </c>
      <c r="I489" t="s">
        <v>22</v>
      </c>
      <c r="J489" s="4">
        <v>6.9</v>
      </c>
      <c r="K489" s="4">
        <v>45.914999999999999</v>
      </c>
      <c r="L489" s="4">
        <v>4</v>
      </c>
      <c r="M489" s="4">
        <v>42.62</v>
      </c>
      <c r="N489" s="4">
        <v>179.0103</v>
      </c>
      <c r="O489" s="4">
        <v>148.6</v>
      </c>
      <c r="P489" s="4">
        <v>3.8764546470000001</v>
      </c>
      <c r="Q489" s="4">
        <v>84.935000000000002</v>
      </c>
      <c r="R489" t="str" cm="1">
        <f t="array" ref="R489">_xlfn.IFS(B489="NY","New York",B489="TX","Texas",B489="CA","California")</f>
        <v>New York</v>
      </c>
    </row>
    <row r="490" spans="1:18" x14ac:dyDescent="0.3">
      <c r="A490" t="s">
        <v>2</v>
      </c>
      <c r="B490" t="s">
        <v>7</v>
      </c>
      <c r="C490" s="2">
        <v>43291</v>
      </c>
      <c r="D490" s="11" t="s">
        <v>215</v>
      </c>
      <c r="E490" s="3">
        <f t="shared" ca="1" si="7"/>
        <v>784103570</v>
      </c>
      <c r="F490" t="s">
        <v>12</v>
      </c>
      <c r="G490" t="s">
        <v>15</v>
      </c>
      <c r="H490" s="1" t="s">
        <v>236</v>
      </c>
      <c r="I490" t="s">
        <v>19</v>
      </c>
      <c r="J490" s="4">
        <v>6.1</v>
      </c>
      <c r="K490" s="4">
        <v>36.81</v>
      </c>
      <c r="L490" s="4">
        <v>1</v>
      </c>
      <c r="M490" s="4">
        <v>21.9</v>
      </c>
      <c r="N490" s="4">
        <v>109.2218</v>
      </c>
      <c r="O490" s="4">
        <v>22.96</v>
      </c>
      <c r="P490" s="4">
        <v>3.8764546470000001</v>
      </c>
      <c r="Q490" s="4">
        <v>78.540000000000006</v>
      </c>
      <c r="R490" t="str" cm="1">
        <f t="array" ref="R490">_xlfn.IFS(B490="NY","New York",B490="TX","Texas",B490="CA","California")</f>
        <v>Texas</v>
      </c>
    </row>
    <row r="491" spans="1:18" x14ac:dyDescent="0.3">
      <c r="A491" t="s">
        <v>3</v>
      </c>
      <c r="B491" t="s">
        <v>8</v>
      </c>
      <c r="C491" s="2">
        <v>43316</v>
      </c>
      <c r="D491" s="11" t="s">
        <v>110</v>
      </c>
      <c r="E491" s="3">
        <f t="shared" ca="1" si="7"/>
        <v>698833276</v>
      </c>
      <c r="F491" t="s">
        <v>11</v>
      </c>
      <c r="G491" t="s">
        <v>14</v>
      </c>
      <c r="H491" s="1" t="s">
        <v>235</v>
      </c>
      <c r="I491" t="s">
        <v>19</v>
      </c>
      <c r="J491" s="4">
        <v>5.8</v>
      </c>
      <c r="K491" s="4">
        <v>95.03</v>
      </c>
      <c r="L491" s="4">
        <v>9</v>
      </c>
      <c r="M491" s="4">
        <v>46.09</v>
      </c>
      <c r="N491" s="4">
        <v>158.02889999999999</v>
      </c>
      <c r="O491" s="4">
        <v>699.12</v>
      </c>
      <c r="P491" s="4">
        <v>3.8764546470000001</v>
      </c>
      <c r="Q491" s="4">
        <v>26.16</v>
      </c>
      <c r="R491" t="str" cm="1">
        <f t="array" ref="R491">_xlfn.IFS(B491="NY","New York",B491="TX","Texas",B491="CA","California")</f>
        <v>California</v>
      </c>
    </row>
    <row r="492" spans="1:18" x14ac:dyDescent="0.3">
      <c r="A492" t="s">
        <v>3</v>
      </c>
      <c r="B492" t="s">
        <v>8</v>
      </c>
      <c r="C492" s="2">
        <v>43331</v>
      </c>
      <c r="D492" s="11" t="s">
        <v>40</v>
      </c>
      <c r="E492" s="3">
        <f t="shared" ca="1" si="7"/>
        <v>448327175</v>
      </c>
      <c r="F492" t="s">
        <v>11</v>
      </c>
      <c r="G492" t="s">
        <v>15</v>
      </c>
      <c r="H492" s="1" t="s">
        <v>235</v>
      </c>
      <c r="I492" t="s">
        <v>22</v>
      </c>
      <c r="J492" s="4">
        <v>2.1</v>
      </c>
      <c r="K492" s="4">
        <v>92.49</v>
      </c>
      <c r="L492" s="4">
        <v>2</v>
      </c>
      <c r="M492" s="4">
        <v>13.73</v>
      </c>
      <c r="N492" s="4">
        <v>159.83439999999999</v>
      </c>
      <c r="O492" s="4">
        <v>69.400000000000006</v>
      </c>
      <c r="P492" s="4">
        <v>3.8764546470000001</v>
      </c>
      <c r="Q492" s="4">
        <v>31.32</v>
      </c>
      <c r="R492" t="str" cm="1">
        <f t="array" ref="R492">_xlfn.IFS(B492="NY","New York",B492="TX","Texas",B492="CA","California")</f>
        <v>California</v>
      </c>
    </row>
    <row r="493" spans="1:18" x14ac:dyDescent="0.3">
      <c r="A493" t="s">
        <v>1</v>
      </c>
      <c r="B493" t="s">
        <v>6</v>
      </c>
      <c r="C493" s="2">
        <v>43390</v>
      </c>
      <c r="D493" s="11" t="s">
        <v>49</v>
      </c>
      <c r="E493" s="3">
        <f t="shared" ca="1" si="7"/>
        <v>186001362</v>
      </c>
      <c r="F493" t="s">
        <v>11</v>
      </c>
      <c r="G493" t="s">
        <v>14</v>
      </c>
      <c r="H493" s="1" t="s">
        <v>237</v>
      </c>
      <c r="I493" t="s">
        <v>22</v>
      </c>
      <c r="J493" s="4">
        <v>9.6</v>
      </c>
      <c r="K493" s="4">
        <v>92.8</v>
      </c>
      <c r="L493" s="4">
        <v>10</v>
      </c>
      <c r="M493" s="4">
        <v>90.52</v>
      </c>
      <c r="N493" s="4">
        <v>157.08000000000001</v>
      </c>
      <c r="O493" s="4">
        <v>196.6</v>
      </c>
      <c r="P493" s="4">
        <v>3.8764546470000001</v>
      </c>
      <c r="Q493" s="4">
        <v>46</v>
      </c>
      <c r="R493" t="str" cm="1">
        <f t="array" ref="R493">_xlfn.IFS(B493="NY","New York",B493="TX","Texas",B493="CA","California")</f>
        <v>New York</v>
      </c>
    </row>
    <row r="494" spans="1:18" x14ac:dyDescent="0.3">
      <c r="A494" t="s">
        <v>3</v>
      </c>
      <c r="B494" t="s">
        <v>8</v>
      </c>
      <c r="C494" s="2">
        <v>43056</v>
      </c>
      <c r="D494" s="11" t="s">
        <v>190</v>
      </c>
      <c r="E494" s="3">
        <f t="shared" ca="1" si="7"/>
        <v>29828474</v>
      </c>
      <c r="F494" t="s">
        <v>11</v>
      </c>
      <c r="G494" t="s">
        <v>14</v>
      </c>
      <c r="H494" s="1" t="s">
        <v>235</v>
      </c>
      <c r="I494" t="s">
        <v>17</v>
      </c>
      <c r="J494" s="4">
        <v>4.7</v>
      </c>
      <c r="K494" s="4">
        <v>65.27</v>
      </c>
      <c r="L494" s="4">
        <v>8</v>
      </c>
      <c r="M494" s="4">
        <v>50.74</v>
      </c>
      <c r="N494" s="4">
        <v>183.7961</v>
      </c>
      <c r="O494" s="4">
        <v>202.56</v>
      </c>
      <c r="P494" s="4">
        <v>3.8764546470000001</v>
      </c>
      <c r="Q494" s="4">
        <v>21.17</v>
      </c>
      <c r="R494" t="str" cm="1">
        <f t="array" ref="R494">_xlfn.IFS(B494="NY","New York",B494="TX","Texas",B494="CA","California")</f>
        <v>California</v>
      </c>
    </row>
    <row r="495" spans="1:18" x14ac:dyDescent="0.3">
      <c r="A495" t="s">
        <v>2</v>
      </c>
      <c r="B495" t="s">
        <v>7</v>
      </c>
      <c r="C495" s="2">
        <v>42807</v>
      </c>
      <c r="D495" s="11" t="s">
        <v>154</v>
      </c>
      <c r="E495" s="3">
        <f t="shared" ca="1" si="7"/>
        <v>791460519</v>
      </c>
      <c r="F495" t="s">
        <v>11</v>
      </c>
      <c r="G495" t="s">
        <v>14</v>
      </c>
      <c r="H495" s="1" t="s">
        <v>237</v>
      </c>
      <c r="I495" t="s">
        <v>19</v>
      </c>
      <c r="J495" s="4">
        <v>2.6</v>
      </c>
      <c r="K495" s="4">
        <v>14.73</v>
      </c>
      <c r="L495" s="4">
        <v>10</v>
      </c>
      <c r="M495" s="4">
        <v>95.79</v>
      </c>
      <c r="N495" s="4">
        <v>180.26920000000001</v>
      </c>
      <c r="O495" s="4">
        <v>121.2</v>
      </c>
      <c r="P495" s="4">
        <v>3.8764546470000001</v>
      </c>
      <c r="Q495" s="4">
        <v>85.8</v>
      </c>
      <c r="R495" t="str" cm="1">
        <f t="array" ref="R495">_xlfn.IFS(B495="NY","New York",B495="TX","Texas",B495="CA","California")</f>
        <v>Texas</v>
      </c>
    </row>
    <row r="496" spans="1:18" x14ac:dyDescent="0.3">
      <c r="A496" t="s">
        <v>3</v>
      </c>
      <c r="B496" t="s">
        <v>8</v>
      </c>
      <c r="C496" s="2">
        <v>43103</v>
      </c>
      <c r="D496" s="11" t="s">
        <v>36</v>
      </c>
      <c r="E496" s="3">
        <f t="shared" ca="1" si="7"/>
        <v>559595066</v>
      </c>
      <c r="F496" t="s">
        <v>12</v>
      </c>
      <c r="G496" t="s">
        <v>15</v>
      </c>
      <c r="H496" s="1" t="s">
        <v>235</v>
      </c>
      <c r="I496" t="s">
        <v>22</v>
      </c>
      <c r="J496" s="4">
        <v>1.7</v>
      </c>
      <c r="K496" s="4">
        <v>97.09</v>
      </c>
      <c r="L496" s="4">
        <v>2</v>
      </c>
      <c r="M496" s="4">
        <v>48.49</v>
      </c>
      <c r="N496" s="4">
        <v>156.45599999999999</v>
      </c>
      <c r="O496" s="4">
        <v>199.78</v>
      </c>
      <c r="P496" s="4">
        <v>3.8764546470000001</v>
      </c>
      <c r="Q496" s="4">
        <v>43.621000000000002</v>
      </c>
      <c r="R496" t="str" cm="1">
        <f t="array" ref="R496">_xlfn.IFS(B496="NY","New York",B496="TX","Texas",B496="CA","California")</f>
        <v>California</v>
      </c>
    </row>
    <row r="497" spans="1:18" x14ac:dyDescent="0.3">
      <c r="A497" t="s">
        <v>3</v>
      </c>
      <c r="B497" t="s">
        <v>8</v>
      </c>
      <c r="C497" s="2">
        <v>43119</v>
      </c>
      <c r="D497" s="11" t="s">
        <v>159</v>
      </c>
      <c r="E497" s="3">
        <f t="shared" ca="1" si="7"/>
        <v>804040666</v>
      </c>
      <c r="F497" t="s">
        <v>12</v>
      </c>
      <c r="G497" t="s">
        <v>15</v>
      </c>
      <c r="H497" s="1" t="s">
        <v>236</v>
      </c>
      <c r="I497" t="s">
        <v>20</v>
      </c>
      <c r="J497" s="4">
        <v>7</v>
      </c>
      <c r="K497" s="4">
        <v>65.040000000000006</v>
      </c>
      <c r="L497" s="4">
        <v>8</v>
      </c>
      <c r="M497" s="4">
        <v>22.94</v>
      </c>
      <c r="N497" s="4">
        <v>175.64769999999999</v>
      </c>
      <c r="O497" s="4">
        <v>607.36</v>
      </c>
      <c r="P497" s="4">
        <v>3.8764546470000001</v>
      </c>
      <c r="Q497" s="4">
        <v>96.373999999999995</v>
      </c>
      <c r="R497" t="str" cm="1">
        <f t="array" ref="R497">_xlfn.IFS(B497="NY","New York",B497="TX","Texas",B497="CA","California")</f>
        <v>California</v>
      </c>
    </row>
    <row r="498" spans="1:18" x14ac:dyDescent="0.3">
      <c r="A498" t="s">
        <v>2</v>
      </c>
      <c r="B498" t="s">
        <v>7</v>
      </c>
      <c r="C498" s="2">
        <v>43063</v>
      </c>
      <c r="D498" s="11" t="s">
        <v>139</v>
      </c>
      <c r="E498" s="3">
        <f t="shared" ca="1" si="7"/>
        <v>690237478</v>
      </c>
      <c r="F498" t="s">
        <v>11</v>
      </c>
      <c r="G498" t="s">
        <v>15</v>
      </c>
      <c r="H498" s="1" t="s">
        <v>236</v>
      </c>
      <c r="I498" t="s">
        <v>18</v>
      </c>
      <c r="J498" s="4">
        <v>10</v>
      </c>
      <c r="K498" s="4">
        <v>98.68</v>
      </c>
      <c r="L498" s="4">
        <v>2</v>
      </c>
      <c r="M498" s="4">
        <v>53.26</v>
      </c>
      <c r="N498" s="4">
        <v>141.66079999999999</v>
      </c>
      <c r="O498" s="4">
        <v>126.44</v>
      </c>
      <c r="P498" s="4">
        <v>3.8764546470000001</v>
      </c>
      <c r="Q498" s="4">
        <v>92.207999999999998</v>
      </c>
      <c r="R498" t="str" cm="1">
        <f t="array" ref="R498">_xlfn.IFS(B498="NY","New York",B498="TX","Texas",B498="CA","California")</f>
        <v>Texas</v>
      </c>
    </row>
    <row r="499" spans="1:18" x14ac:dyDescent="0.3">
      <c r="A499" t="s">
        <v>2</v>
      </c>
      <c r="B499" t="s">
        <v>7</v>
      </c>
      <c r="C499" s="2">
        <v>42809</v>
      </c>
      <c r="D499" s="11" t="s">
        <v>157</v>
      </c>
      <c r="E499" s="3">
        <f t="shared" ca="1" si="7"/>
        <v>722374643</v>
      </c>
      <c r="F499" t="s">
        <v>11</v>
      </c>
      <c r="G499" t="s">
        <v>15</v>
      </c>
      <c r="H499" s="1" t="s">
        <v>236</v>
      </c>
      <c r="I499" t="s">
        <v>21</v>
      </c>
      <c r="J499" s="4">
        <v>9</v>
      </c>
      <c r="K499" s="4">
        <v>86.07</v>
      </c>
      <c r="L499" s="4">
        <v>6</v>
      </c>
      <c r="M499" s="4">
        <v>26.21</v>
      </c>
      <c r="N499" s="4">
        <v>135.63140000000001</v>
      </c>
      <c r="O499" s="4">
        <v>541.44000000000005</v>
      </c>
      <c r="P499" s="4">
        <v>3.8764546470000001</v>
      </c>
      <c r="Q499" s="4">
        <v>78.602000000000004</v>
      </c>
      <c r="R499" t="str" cm="1">
        <f t="array" ref="R499">_xlfn.IFS(B499="NY","New York",B499="TX","Texas",B499="CA","California")</f>
        <v>Texas</v>
      </c>
    </row>
    <row r="500" spans="1:18" x14ac:dyDescent="0.3">
      <c r="A500" t="s">
        <v>3</v>
      </c>
      <c r="B500" t="s">
        <v>8</v>
      </c>
      <c r="C500" s="2">
        <v>42915</v>
      </c>
      <c r="D500" s="11" t="s">
        <v>39</v>
      </c>
      <c r="E500" s="3">
        <f t="shared" ca="1" si="7"/>
        <v>167413926</v>
      </c>
      <c r="F500" t="s">
        <v>11</v>
      </c>
      <c r="G500" t="s">
        <v>14</v>
      </c>
      <c r="H500" s="1" t="s">
        <v>236</v>
      </c>
      <c r="I500" t="s">
        <v>20</v>
      </c>
      <c r="J500" s="4">
        <v>9</v>
      </c>
      <c r="K500" s="4">
        <v>60.01</v>
      </c>
      <c r="L500" s="4">
        <v>1</v>
      </c>
      <c r="M500" s="4">
        <v>12.39</v>
      </c>
      <c r="N500" s="4">
        <v>127.57859999999999</v>
      </c>
      <c r="O500" s="4">
        <v>98.13</v>
      </c>
      <c r="P500" s="4">
        <v>3.8764546470000001</v>
      </c>
      <c r="Q500" s="4">
        <v>31.902999999999999</v>
      </c>
      <c r="R500" t="str" cm="1">
        <f t="array" ref="R500">_xlfn.IFS(B500="NY","New York",B500="TX","Texas",B500="CA","California")</f>
        <v>California</v>
      </c>
    </row>
    <row r="501" spans="1:18" x14ac:dyDescent="0.3">
      <c r="A501" t="s">
        <v>1</v>
      </c>
      <c r="B501" t="s">
        <v>6</v>
      </c>
      <c r="C501" s="2">
        <v>43028</v>
      </c>
      <c r="D501" s="11" t="s">
        <v>145</v>
      </c>
      <c r="E501" s="3">
        <f t="shared" ca="1" si="7"/>
        <v>279496520</v>
      </c>
      <c r="F501" t="s">
        <v>11</v>
      </c>
      <c r="G501" t="s">
        <v>14</v>
      </c>
      <c r="H501" s="1" t="s">
        <v>236</v>
      </c>
      <c r="I501" t="s">
        <v>20</v>
      </c>
      <c r="J501" s="4">
        <v>7</v>
      </c>
      <c r="K501" s="4">
        <v>15.678000000000001</v>
      </c>
      <c r="L501" s="4">
        <v>8</v>
      </c>
      <c r="M501" s="4">
        <v>38.479999999999997</v>
      </c>
      <c r="N501" s="4">
        <v>101.5838</v>
      </c>
      <c r="O501" s="4">
        <v>412.16</v>
      </c>
      <c r="P501" s="4">
        <v>3.8764546470000001</v>
      </c>
      <c r="Q501" s="4">
        <v>22.245999999999999</v>
      </c>
      <c r="R501" t="str" cm="1">
        <f t="array" ref="R501">_xlfn.IFS(B501="NY","New York",B501="TX","Texas",B501="CA","California")</f>
        <v>New York</v>
      </c>
    </row>
    <row r="502" spans="1:18" x14ac:dyDescent="0.3">
      <c r="A502" t="s">
        <v>3</v>
      </c>
      <c r="B502" t="s">
        <v>8</v>
      </c>
      <c r="C502" s="2">
        <v>43265</v>
      </c>
      <c r="D502" s="11" t="s">
        <v>70</v>
      </c>
      <c r="E502" s="3">
        <f t="shared" ca="1" si="7"/>
        <v>955690331</v>
      </c>
      <c r="F502" t="s">
        <v>12</v>
      </c>
      <c r="G502" t="s">
        <v>14</v>
      </c>
      <c r="H502" s="1" t="s">
        <v>237</v>
      </c>
      <c r="I502" t="s">
        <v>20</v>
      </c>
      <c r="J502" s="4">
        <v>4.9000000000000004</v>
      </c>
      <c r="K502" s="4">
        <v>94.61</v>
      </c>
      <c r="L502" s="4">
        <v>1</v>
      </c>
      <c r="M502" s="4">
        <v>89.96</v>
      </c>
      <c r="N502" s="4">
        <v>162.10329999999999</v>
      </c>
      <c r="O502" s="4">
        <v>73.97</v>
      </c>
      <c r="P502" s="4">
        <v>3.8764546470000001</v>
      </c>
      <c r="Q502" s="4">
        <v>66.631</v>
      </c>
      <c r="R502" t="str" cm="1">
        <f t="array" ref="R502">_xlfn.IFS(B502="NY","New York",B502="TX","Texas",B502="CA","California")</f>
        <v>California</v>
      </c>
    </row>
    <row r="503" spans="1:18" x14ac:dyDescent="0.3">
      <c r="A503" t="s">
        <v>2</v>
      </c>
      <c r="B503" t="s">
        <v>7</v>
      </c>
      <c r="C503" s="2">
        <v>42885</v>
      </c>
      <c r="D503" s="11" t="s">
        <v>47</v>
      </c>
      <c r="E503" s="3">
        <f t="shared" ca="1" si="7"/>
        <v>762676984</v>
      </c>
      <c r="F503" t="s">
        <v>11</v>
      </c>
      <c r="G503" t="s">
        <v>14</v>
      </c>
      <c r="H503" s="1" t="s">
        <v>235</v>
      </c>
      <c r="I503" t="s">
        <v>22</v>
      </c>
      <c r="J503" s="4">
        <v>8</v>
      </c>
      <c r="K503" s="4">
        <v>88.52</v>
      </c>
      <c r="L503" s="4">
        <v>1</v>
      </c>
      <c r="M503" s="4">
        <v>26.99</v>
      </c>
      <c r="N503" s="4">
        <v>163.46979999999999</v>
      </c>
      <c r="O503" s="4">
        <v>31.9</v>
      </c>
      <c r="P503" s="4">
        <v>3.8764546470000001</v>
      </c>
      <c r="Q503" s="4">
        <v>72.674000000000007</v>
      </c>
      <c r="R503" t="str" cm="1">
        <f t="array" ref="R503">_xlfn.IFS(B503="NY","New York",B503="TX","Texas",B503="CA","California")</f>
        <v>Texas</v>
      </c>
    </row>
    <row r="504" spans="1:18" x14ac:dyDescent="0.3">
      <c r="A504" t="s">
        <v>2</v>
      </c>
      <c r="B504" t="s">
        <v>7</v>
      </c>
      <c r="C504" s="2">
        <v>42885</v>
      </c>
      <c r="D504" s="11" t="s">
        <v>52</v>
      </c>
      <c r="E504" s="3">
        <f t="shared" ca="1" si="7"/>
        <v>287950739</v>
      </c>
      <c r="F504" t="s">
        <v>12</v>
      </c>
      <c r="G504" t="s">
        <v>15</v>
      </c>
      <c r="H504" s="1" t="s">
        <v>235</v>
      </c>
      <c r="I504" t="s">
        <v>19</v>
      </c>
      <c r="J504" s="4">
        <v>5.8</v>
      </c>
      <c r="K504" s="4">
        <v>67.84</v>
      </c>
      <c r="L504" s="4">
        <v>2</v>
      </c>
      <c r="M504" s="4">
        <v>44.68</v>
      </c>
      <c r="N504" s="4">
        <v>140.8313</v>
      </c>
      <c r="O504" s="4">
        <v>138.80000000000001</v>
      </c>
      <c r="P504" s="4">
        <v>3.8764546470000001</v>
      </c>
      <c r="Q504" s="4">
        <v>74.89</v>
      </c>
      <c r="R504" t="str" cm="1">
        <f t="array" ref="R504">_xlfn.IFS(B504="NY","New York",B504="TX","Texas",B504="CA","California")</f>
        <v>Texas</v>
      </c>
    </row>
    <row r="505" spans="1:18" x14ac:dyDescent="0.3">
      <c r="A505" t="s">
        <v>3</v>
      </c>
      <c r="B505" t="s">
        <v>8</v>
      </c>
      <c r="C505" s="2">
        <v>43085</v>
      </c>
      <c r="D505" s="11" t="s">
        <v>97</v>
      </c>
      <c r="E505" s="3">
        <f t="shared" ca="1" si="7"/>
        <v>808656608</v>
      </c>
      <c r="F505" t="s">
        <v>11</v>
      </c>
      <c r="G505" t="s">
        <v>15</v>
      </c>
      <c r="H505" s="1" t="s">
        <v>236</v>
      </c>
      <c r="I505" t="s">
        <v>20</v>
      </c>
      <c r="J505" s="4">
        <v>9.4</v>
      </c>
      <c r="K505" s="4">
        <v>84.63</v>
      </c>
      <c r="L505" s="4">
        <v>2</v>
      </c>
      <c r="M505" s="4">
        <v>88.22</v>
      </c>
      <c r="N505" s="4">
        <v>149.3724</v>
      </c>
      <c r="O505" s="4">
        <v>186.62</v>
      </c>
      <c r="P505" s="4">
        <v>3.8764546470000001</v>
      </c>
      <c r="Q505" s="4">
        <v>76.180000000000007</v>
      </c>
      <c r="R505" t="str" cm="1">
        <f t="array" ref="R505">_xlfn.IFS(B505="NY","New York",B505="TX","Texas",B505="CA","California")</f>
        <v>California</v>
      </c>
    </row>
    <row r="506" spans="1:18" x14ac:dyDescent="0.3">
      <c r="A506" t="s">
        <v>3</v>
      </c>
      <c r="B506" t="s">
        <v>8</v>
      </c>
      <c r="C506" s="2">
        <v>42853</v>
      </c>
      <c r="D506" s="11" t="s">
        <v>70</v>
      </c>
      <c r="E506" s="3">
        <f t="shared" ca="1" si="7"/>
        <v>388752574</v>
      </c>
      <c r="F506" t="s">
        <v>12</v>
      </c>
      <c r="G506" t="s">
        <v>15</v>
      </c>
      <c r="H506" s="1" t="s">
        <v>237</v>
      </c>
      <c r="I506" t="s">
        <v>20</v>
      </c>
      <c r="J506" s="4">
        <v>1.6</v>
      </c>
      <c r="K506" s="4">
        <v>97.63</v>
      </c>
      <c r="L506" s="4">
        <v>1</v>
      </c>
      <c r="M506" s="4">
        <v>69.81</v>
      </c>
      <c r="N506" s="4">
        <v>184.87100000000001</v>
      </c>
      <c r="O506" s="4">
        <v>88.45</v>
      </c>
      <c r="P506" s="4">
        <v>3.8764546470000001</v>
      </c>
      <c r="Q506" s="4">
        <v>87.93</v>
      </c>
      <c r="R506" t="str" cm="1">
        <f t="array" ref="R506">_xlfn.IFS(B506="NY","New York",B506="TX","Texas",B506="CA","California")</f>
        <v>California</v>
      </c>
    </row>
    <row r="507" spans="1:18" x14ac:dyDescent="0.3">
      <c r="A507" t="s">
        <v>1</v>
      </c>
      <c r="B507" t="s">
        <v>6</v>
      </c>
      <c r="C507" s="2">
        <v>42842</v>
      </c>
      <c r="D507" s="11" t="s">
        <v>74</v>
      </c>
      <c r="E507" s="3">
        <f t="shared" ca="1" si="7"/>
        <v>842461315</v>
      </c>
      <c r="F507" t="s">
        <v>12</v>
      </c>
      <c r="G507" t="s">
        <v>14</v>
      </c>
      <c r="H507" s="1" t="s">
        <v>235</v>
      </c>
      <c r="I507" t="s">
        <v>18</v>
      </c>
      <c r="J507" s="4">
        <v>4.2</v>
      </c>
      <c r="K507" s="4">
        <v>30.26</v>
      </c>
      <c r="L507" s="4">
        <v>8</v>
      </c>
      <c r="M507" s="4">
        <v>55.78</v>
      </c>
      <c r="N507" s="4">
        <v>130.91069999999999</v>
      </c>
      <c r="O507" s="4">
        <v>193.44</v>
      </c>
      <c r="P507" s="4">
        <v>3.8764546470000001</v>
      </c>
      <c r="Q507" s="4">
        <v>65.25</v>
      </c>
      <c r="R507" t="str" cm="1">
        <f t="array" ref="R507">_xlfn.IFS(B507="NY","New York",B507="TX","Texas",B507="CA","California")</f>
        <v>New York</v>
      </c>
    </row>
    <row r="508" spans="1:18" x14ac:dyDescent="0.3">
      <c r="A508" t="s">
        <v>3</v>
      </c>
      <c r="B508" t="s">
        <v>8</v>
      </c>
      <c r="C508" s="2">
        <v>42931</v>
      </c>
      <c r="D508" s="11" t="s">
        <v>115</v>
      </c>
      <c r="E508" s="3">
        <f t="shared" ca="1" si="7"/>
        <v>395087146</v>
      </c>
      <c r="F508" t="s">
        <v>11</v>
      </c>
      <c r="G508" t="s">
        <v>14</v>
      </c>
      <c r="H508" s="1" t="s">
        <v>236</v>
      </c>
      <c r="I508" t="s">
        <v>20</v>
      </c>
      <c r="J508" s="4">
        <v>5.6</v>
      </c>
      <c r="K508" s="4">
        <v>49.37</v>
      </c>
      <c r="L508" s="4">
        <v>3</v>
      </c>
      <c r="M508" s="4">
        <v>35.26</v>
      </c>
      <c r="N508" s="4">
        <v>180.7252</v>
      </c>
      <c r="O508" s="4">
        <v>145.5</v>
      </c>
      <c r="P508" s="4">
        <v>3.8764546470000001</v>
      </c>
      <c r="Q508" s="4">
        <v>72.86</v>
      </c>
      <c r="R508" t="str" cm="1">
        <f t="array" ref="R508">_xlfn.IFS(B508="NY","New York",B508="TX","Texas",B508="CA","California")</f>
        <v>California</v>
      </c>
    </row>
    <row r="509" spans="1:18" x14ac:dyDescent="0.3">
      <c r="A509" t="s">
        <v>3</v>
      </c>
      <c r="B509" t="s">
        <v>8</v>
      </c>
      <c r="C509" s="2">
        <v>42860</v>
      </c>
      <c r="D509" s="11" t="s">
        <v>114</v>
      </c>
      <c r="E509" s="3">
        <f t="shared" ca="1" si="7"/>
        <v>399905907</v>
      </c>
      <c r="F509" t="s">
        <v>11</v>
      </c>
      <c r="G509" t="s">
        <v>15</v>
      </c>
      <c r="H509" s="1" t="s">
        <v>237</v>
      </c>
      <c r="I509" t="s">
        <v>21</v>
      </c>
      <c r="J509" s="4">
        <v>2</v>
      </c>
      <c r="K509" s="4">
        <v>63.88</v>
      </c>
      <c r="L509" s="4">
        <v>6</v>
      </c>
      <c r="M509" s="4">
        <v>87.84</v>
      </c>
      <c r="N509" s="4">
        <v>170.39359999999999</v>
      </c>
      <c r="O509" s="4">
        <v>504.3</v>
      </c>
      <c r="P509" s="4">
        <v>3.8764546470000001</v>
      </c>
      <c r="Q509" s="4">
        <v>69.48</v>
      </c>
      <c r="R509" t="str" cm="1">
        <f t="array" ref="R509">_xlfn.IFS(B509="NY","New York",B509="TX","Texas",B509="CA","California")</f>
        <v>California</v>
      </c>
    </row>
    <row r="510" spans="1:18" x14ac:dyDescent="0.3">
      <c r="A510" t="s">
        <v>3</v>
      </c>
      <c r="B510" t="s">
        <v>8</v>
      </c>
      <c r="C510" s="2">
        <v>42995</v>
      </c>
      <c r="D510" s="11" t="s">
        <v>217</v>
      </c>
      <c r="E510" s="3">
        <f t="shared" ca="1" si="7"/>
        <v>484074642</v>
      </c>
      <c r="F510" t="s">
        <v>12</v>
      </c>
      <c r="G510" t="s">
        <v>14</v>
      </c>
      <c r="H510" s="1" t="s">
        <v>236</v>
      </c>
      <c r="I510" t="s">
        <v>17</v>
      </c>
      <c r="J510" s="4">
        <v>2.6</v>
      </c>
      <c r="K510" s="4">
        <v>41.536000000000001</v>
      </c>
      <c r="L510" s="4">
        <v>5</v>
      </c>
      <c r="M510" s="4">
        <v>35.19</v>
      </c>
      <c r="N510" s="4">
        <v>172.47190000000001</v>
      </c>
      <c r="O510" s="4">
        <v>306.45</v>
      </c>
      <c r="P510" s="4">
        <v>3.8764546470000001</v>
      </c>
      <c r="Q510" s="4">
        <v>48.37</v>
      </c>
      <c r="R510" t="str" cm="1">
        <f t="array" ref="R510">_xlfn.IFS(B510="NY","New York",B510="TX","Texas",B510="CA","California")</f>
        <v>California</v>
      </c>
    </row>
    <row r="511" spans="1:18" x14ac:dyDescent="0.3">
      <c r="A511" t="s">
        <v>2</v>
      </c>
      <c r="B511" t="s">
        <v>7</v>
      </c>
      <c r="C511" s="2">
        <v>43312</v>
      </c>
      <c r="D511" s="11" t="s">
        <v>206</v>
      </c>
      <c r="E511" s="3">
        <f t="shared" ca="1" si="7"/>
        <v>200072019</v>
      </c>
      <c r="F511" t="s">
        <v>11</v>
      </c>
      <c r="G511" t="s">
        <v>14</v>
      </c>
      <c r="H511" s="1" t="s">
        <v>237</v>
      </c>
      <c r="I511" t="s">
        <v>19</v>
      </c>
      <c r="J511" s="4">
        <v>8</v>
      </c>
      <c r="K511" s="4">
        <v>82.691999999999993</v>
      </c>
      <c r="L511" s="4">
        <v>6</v>
      </c>
      <c r="M511" s="4">
        <v>43.18</v>
      </c>
      <c r="N511" s="4">
        <v>131.36850000000001</v>
      </c>
      <c r="O511" s="4">
        <v>95.7</v>
      </c>
      <c r="P511" s="4">
        <v>3.8764546470000001</v>
      </c>
      <c r="Q511" s="4">
        <v>75.75</v>
      </c>
      <c r="R511" t="str" cm="1">
        <f t="array" ref="R511">_xlfn.IFS(B511="NY","New York",B511="TX","Texas",B511="CA","California")</f>
        <v>Texas</v>
      </c>
    </row>
    <row r="512" spans="1:18" x14ac:dyDescent="0.3">
      <c r="A512" t="s">
        <v>3</v>
      </c>
      <c r="B512" t="s">
        <v>8</v>
      </c>
      <c r="C512" s="2">
        <v>43103</v>
      </c>
      <c r="D512" s="11" t="s">
        <v>60</v>
      </c>
      <c r="E512" s="3">
        <f t="shared" ca="1" si="7"/>
        <v>203506259</v>
      </c>
      <c r="F512" t="s">
        <v>11</v>
      </c>
      <c r="G512" t="s">
        <v>14</v>
      </c>
      <c r="H512" s="1" t="s">
        <v>237</v>
      </c>
      <c r="I512" t="s">
        <v>20</v>
      </c>
      <c r="J512" s="4">
        <v>2.2999999999999998</v>
      </c>
      <c r="K512" s="4">
        <v>55.07</v>
      </c>
      <c r="L512" s="4">
        <v>7</v>
      </c>
      <c r="M512" s="4">
        <v>95.12</v>
      </c>
      <c r="N512" s="4">
        <v>124.5048</v>
      </c>
      <c r="O512" s="4">
        <v>635.17999999999995</v>
      </c>
      <c r="P512" s="4">
        <v>3.8764546470000001</v>
      </c>
      <c r="Q512" s="4">
        <v>85.524000000000001</v>
      </c>
      <c r="R512" t="str" cm="1">
        <f t="array" ref="R512">_xlfn.IFS(B512="NY","New York",B512="TX","Texas",B512="CA","California")</f>
        <v>California</v>
      </c>
    </row>
    <row r="513" spans="1:18" x14ac:dyDescent="0.3">
      <c r="A513" t="s">
        <v>1</v>
      </c>
      <c r="B513" t="s">
        <v>6</v>
      </c>
      <c r="C513" s="2">
        <v>42855</v>
      </c>
      <c r="D513" s="11" t="s">
        <v>152</v>
      </c>
      <c r="E513" s="3">
        <f t="shared" ca="1" si="7"/>
        <v>392165835</v>
      </c>
      <c r="F513" t="s">
        <v>11</v>
      </c>
      <c r="G513" t="s">
        <v>15</v>
      </c>
      <c r="H513" s="1" t="s">
        <v>235</v>
      </c>
      <c r="I513" t="s">
        <v>19</v>
      </c>
      <c r="J513" s="4">
        <v>3</v>
      </c>
      <c r="K513" s="4">
        <v>70.972999999999999</v>
      </c>
      <c r="L513" s="4">
        <v>5</v>
      </c>
      <c r="M513" s="4">
        <v>72.8</v>
      </c>
      <c r="N513" s="4">
        <v>103.6544</v>
      </c>
      <c r="O513" s="4">
        <v>214.55</v>
      </c>
      <c r="P513" s="4">
        <v>3.8764546470000001</v>
      </c>
      <c r="Q513" s="4">
        <v>58.985999999999997</v>
      </c>
      <c r="R513" t="str" cm="1">
        <f t="array" ref="R513">_xlfn.IFS(B513="NY","New York",B513="TX","Texas",B513="CA","California")</f>
        <v>New York</v>
      </c>
    </row>
    <row r="514" spans="1:18" x14ac:dyDescent="0.3">
      <c r="A514" t="s">
        <v>1</v>
      </c>
      <c r="B514" t="s">
        <v>6</v>
      </c>
      <c r="C514" s="2">
        <v>43274</v>
      </c>
      <c r="D514" s="11" t="s">
        <v>45</v>
      </c>
      <c r="E514" s="3">
        <f t="shared" ca="1" si="7"/>
        <v>822897909</v>
      </c>
      <c r="F514" t="s">
        <v>11</v>
      </c>
      <c r="G514" t="s">
        <v>15</v>
      </c>
      <c r="H514" s="1" t="s">
        <v>235</v>
      </c>
      <c r="I514" t="s">
        <v>22</v>
      </c>
      <c r="J514" s="4">
        <v>8.1999999999999993</v>
      </c>
      <c r="K514" s="4">
        <v>62.59</v>
      </c>
      <c r="L514" s="4">
        <v>7</v>
      </c>
      <c r="M514" s="4">
        <v>93.79</v>
      </c>
      <c r="N514" s="4">
        <v>112.5376</v>
      </c>
      <c r="O514" s="4">
        <v>379.96</v>
      </c>
      <c r="P514" s="4">
        <v>3.8764546470000001</v>
      </c>
      <c r="Q514" s="4">
        <v>17.044</v>
      </c>
      <c r="R514" t="str" cm="1">
        <f t="array" ref="R514">_xlfn.IFS(B514="NY","New York",B514="TX","Texas",B514="CA","California")</f>
        <v>New York</v>
      </c>
    </row>
    <row r="515" spans="1:18" x14ac:dyDescent="0.3">
      <c r="A515" t="s">
        <v>1</v>
      </c>
      <c r="B515" t="s">
        <v>6</v>
      </c>
      <c r="C515" s="2">
        <v>43361</v>
      </c>
      <c r="D515" s="11" t="s">
        <v>119</v>
      </c>
      <c r="E515" s="3">
        <f t="shared" ref="E515:E578" ca="1" si="8">RANDBETWEEN(10000000,1000000000)</f>
        <v>377253525</v>
      </c>
      <c r="F515" t="s">
        <v>12</v>
      </c>
      <c r="G515" t="s">
        <v>15</v>
      </c>
      <c r="H515" s="1" t="s">
        <v>236</v>
      </c>
      <c r="I515" t="s">
        <v>18</v>
      </c>
      <c r="J515" s="4">
        <v>7.5</v>
      </c>
      <c r="K515" s="4">
        <v>58.86</v>
      </c>
      <c r="L515" s="4">
        <v>7</v>
      </c>
      <c r="M515" s="4">
        <v>55.28</v>
      </c>
      <c r="N515" s="4">
        <v>165.49160000000001</v>
      </c>
      <c r="O515" s="4">
        <v>696.85</v>
      </c>
      <c r="P515" s="4">
        <v>3.8764546470000001</v>
      </c>
      <c r="Q515" s="4">
        <v>70.302000000000007</v>
      </c>
      <c r="R515" t="str" cm="1">
        <f t="array" ref="R515">_xlfn.IFS(B515="NY","New York",B515="TX","Texas",B515="CA","California")</f>
        <v>New York</v>
      </c>
    </row>
    <row r="516" spans="1:18" x14ac:dyDescent="0.3">
      <c r="A516" t="s">
        <v>2</v>
      </c>
      <c r="B516" t="s">
        <v>7</v>
      </c>
      <c r="C516" s="2">
        <v>42834</v>
      </c>
      <c r="D516" s="11" t="s">
        <v>72</v>
      </c>
      <c r="E516" s="3">
        <f t="shared" ca="1" si="8"/>
        <v>676915340</v>
      </c>
      <c r="F516" t="s">
        <v>12</v>
      </c>
      <c r="G516" t="s">
        <v>14</v>
      </c>
      <c r="H516" s="1" t="s">
        <v>237</v>
      </c>
      <c r="I516" t="s">
        <v>20</v>
      </c>
      <c r="J516" s="4">
        <v>1.6</v>
      </c>
      <c r="K516" s="4">
        <v>75.47</v>
      </c>
      <c r="L516" s="4">
        <v>7</v>
      </c>
      <c r="M516" s="4">
        <v>54.7</v>
      </c>
      <c r="N516" s="4">
        <v>155.18360000000001</v>
      </c>
      <c r="O516" s="4">
        <v>408.73</v>
      </c>
      <c r="P516" s="4">
        <v>3.8764546470000001</v>
      </c>
      <c r="Q516" s="4">
        <v>24.143999999999998</v>
      </c>
      <c r="R516" t="str" cm="1">
        <f t="array" ref="R516">_xlfn.IFS(B516="NY","New York",B516="TX","Texas",B516="CA","California")</f>
        <v>Texas</v>
      </c>
    </row>
    <row r="517" spans="1:18" x14ac:dyDescent="0.3">
      <c r="A517" t="s">
        <v>2</v>
      </c>
      <c r="B517" t="s">
        <v>7</v>
      </c>
      <c r="C517" s="2">
        <v>42799</v>
      </c>
      <c r="D517" s="11" t="s">
        <v>126</v>
      </c>
      <c r="E517" s="3">
        <f t="shared" ca="1" si="8"/>
        <v>759760600</v>
      </c>
      <c r="F517" t="s">
        <v>11</v>
      </c>
      <c r="G517" t="s">
        <v>14</v>
      </c>
      <c r="H517" s="1" t="s">
        <v>235</v>
      </c>
      <c r="I517" t="s">
        <v>22</v>
      </c>
      <c r="J517" s="4">
        <v>4.3</v>
      </c>
      <c r="K517" s="4">
        <v>57.24</v>
      </c>
      <c r="L517" s="4">
        <v>1</v>
      </c>
      <c r="M517" s="4">
        <v>20.239999999999998</v>
      </c>
      <c r="N517" s="4">
        <v>144.9564</v>
      </c>
      <c r="O517" s="4">
        <v>51.47</v>
      </c>
      <c r="P517" s="4">
        <v>3.8764546470000001</v>
      </c>
      <c r="Q517" s="4">
        <v>54.526000000000003</v>
      </c>
      <c r="R517" t="str" cm="1">
        <f t="array" ref="R517">_xlfn.IFS(B517="NY","New York",B517="TX","Texas",B517="CA","California")</f>
        <v>Texas</v>
      </c>
    </row>
    <row r="518" spans="1:18" x14ac:dyDescent="0.3">
      <c r="A518" t="s">
        <v>3</v>
      </c>
      <c r="B518" t="s">
        <v>8</v>
      </c>
      <c r="C518" s="2">
        <v>43054</v>
      </c>
      <c r="D518" s="11" t="s">
        <v>173</v>
      </c>
      <c r="E518" s="3">
        <f t="shared" ca="1" si="8"/>
        <v>366820209</v>
      </c>
      <c r="F518" t="s">
        <v>12</v>
      </c>
      <c r="G518" t="s">
        <v>14</v>
      </c>
      <c r="H518" s="1" t="s">
        <v>235</v>
      </c>
      <c r="I518" t="s">
        <v>17</v>
      </c>
      <c r="J518" s="4">
        <v>7.3</v>
      </c>
      <c r="K518" s="4">
        <v>19.7</v>
      </c>
      <c r="L518" s="4">
        <v>5</v>
      </c>
      <c r="M518" s="4">
        <v>96.79</v>
      </c>
      <c r="N518" s="4">
        <v>121.24250000000001</v>
      </c>
      <c r="O518" s="4">
        <v>274.3</v>
      </c>
      <c r="P518" s="4">
        <v>3.8764546470000001</v>
      </c>
      <c r="Q518" s="4">
        <v>40.981000000000002</v>
      </c>
      <c r="R518" t="str" cm="1">
        <f t="array" ref="R518">_xlfn.IFS(B518="NY","New York",B518="TX","Texas",B518="CA","California")</f>
        <v>California</v>
      </c>
    </row>
    <row r="519" spans="1:18" x14ac:dyDescent="0.3">
      <c r="A519" t="s">
        <v>2</v>
      </c>
      <c r="B519" t="s">
        <v>7</v>
      </c>
      <c r="C519" s="2">
        <v>43244</v>
      </c>
      <c r="D519" s="11" t="s">
        <v>168</v>
      </c>
      <c r="E519" s="3">
        <f t="shared" ca="1" si="8"/>
        <v>744735573</v>
      </c>
      <c r="F519" t="s">
        <v>12</v>
      </c>
      <c r="G519" t="s">
        <v>14</v>
      </c>
      <c r="H519" s="1" t="s">
        <v>237</v>
      </c>
      <c r="I519" t="s">
        <v>19</v>
      </c>
      <c r="J519" s="4">
        <v>7.5</v>
      </c>
      <c r="K519" s="4">
        <v>33.549999999999997</v>
      </c>
      <c r="L519" s="4">
        <v>5</v>
      </c>
      <c r="M519" s="4">
        <v>68.27</v>
      </c>
      <c r="N519" s="4">
        <v>152.9478</v>
      </c>
      <c r="O519" s="4">
        <v>196.95</v>
      </c>
      <c r="P519" s="4">
        <v>3.8764546470000001</v>
      </c>
      <c r="Q519" s="4">
        <v>32.796999999999997</v>
      </c>
      <c r="R519" t="str" cm="1">
        <f t="array" ref="R519">_xlfn.IFS(B519="NY","New York",B519="TX","Texas",B519="CA","California")</f>
        <v>Texas</v>
      </c>
    </row>
    <row r="520" spans="1:18" x14ac:dyDescent="0.3">
      <c r="A520" t="s">
        <v>1</v>
      </c>
      <c r="B520" t="s">
        <v>6</v>
      </c>
      <c r="C520" s="2">
        <v>43137</v>
      </c>
      <c r="D520" s="11" t="s">
        <v>135</v>
      </c>
      <c r="E520" s="3">
        <f t="shared" ca="1" si="8"/>
        <v>585206595</v>
      </c>
      <c r="F520" t="s">
        <v>12</v>
      </c>
      <c r="G520" t="s">
        <v>15</v>
      </c>
      <c r="H520" s="1" t="s">
        <v>235</v>
      </c>
      <c r="I520" t="s">
        <v>19</v>
      </c>
      <c r="J520" s="4">
        <v>6.8</v>
      </c>
      <c r="K520" s="4">
        <v>82.5</v>
      </c>
      <c r="L520" s="4">
        <v>2</v>
      </c>
      <c r="M520" s="4">
        <v>44.18</v>
      </c>
      <c r="N520" s="4">
        <v>132.0181</v>
      </c>
      <c r="O520" s="4">
        <v>69.459999999999994</v>
      </c>
      <c r="P520" s="4">
        <v>3.8764546470000001</v>
      </c>
      <c r="Q520" s="4">
        <v>89.11</v>
      </c>
      <c r="R520" t="str" cm="1">
        <f t="array" ref="R520">_xlfn.IFS(B520="NY","New York",B520="TX","Texas",B520="CA","California")</f>
        <v>New York</v>
      </c>
    </row>
    <row r="521" spans="1:18" x14ac:dyDescent="0.3">
      <c r="A521" t="s">
        <v>2</v>
      </c>
      <c r="B521" t="s">
        <v>7</v>
      </c>
      <c r="C521" s="2">
        <v>42891</v>
      </c>
      <c r="D521" s="11" t="s">
        <v>128</v>
      </c>
      <c r="E521" s="3">
        <f t="shared" ca="1" si="8"/>
        <v>516824035</v>
      </c>
      <c r="F521" t="s">
        <v>12</v>
      </c>
      <c r="G521" t="s">
        <v>14</v>
      </c>
      <c r="H521" s="1" t="s">
        <v>237</v>
      </c>
      <c r="I521" t="s">
        <v>20</v>
      </c>
      <c r="J521" s="4">
        <v>6</v>
      </c>
      <c r="K521" s="4">
        <v>75.69</v>
      </c>
      <c r="L521" s="4">
        <v>5</v>
      </c>
      <c r="M521" s="4">
        <v>31.18</v>
      </c>
      <c r="N521" s="4">
        <v>145.78899999999999</v>
      </c>
      <c r="O521" s="4">
        <v>359.6</v>
      </c>
      <c r="P521" s="4">
        <v>3.8764546470000001</v>
      </c>
      <c r="Q521" s="4">
        <v>97.79</v>
      </c>
      <c r="R521" t="str" cm="1">
        <f t="array" ref="R521">_xlfn.IFS(B521="NY","New York",B521="TX","Texas",B521="CA","California")</f>
        <v>Texas</v>
      </c>
    </row>
    <row r="522" spans="1:18" x14ac:dyDescent="0.3">
      <c r="A522" t="s">
        <v>3</v>
      </c>
      <c r="B522" t="s">
        <v>8</v>
      </c>
      <c r="C522" s="2">
        <v>43209</v>
      </c>
      <c r="D522" s="11" t="s">
        <v>140</v>
      </c>
      <c r="E522" s="3">
        <f t="shared" ca="1" si="8"/>
        <v>149101305</v>
      </c>
      <c r="F522" t="s">
        <v>11</v>
      </c>
      <c r="G522" t="s">
        <v>15</v>
      </c>
      <c r="H522" s="1" t="s">
        <v>237</v>
      </c>
      <c r="I522" t="s">
        <v>18</v>
      </c>
      <c r="J522" s="4">
        <v>2</v>
      </c>
      <c r="K522" s="4">
        <v>18.75</v>
      </c>
      <c r="L522" s="4">
        <v>3</v>
      </c>
      <c r="M522" s="4">
        <v>43.23</v>
      </c>
      <c r="N522" s="4">
        <v>137.58670000000001</v>
      </c>
      <c r="O522" s="4">
        <v>137.13</v>
      </c>
      <c r="P522" s="4">
        <v>3.8764546470000001</v>
      </c>
      <c r="Q522" s="4">
        <v>34.42</v>
      </c>
      <c r="R522" t="str" cm="1">
        <f t="array" ref="R522">_xlfn.IFS(B522="NY","New York",B522="TX","Texas",B522="CA","California")</f>
        <v>California</v>
      </c>
    </row>
    <row r="523" spans="1:18" x14ac:dyDescent="0.3">
      <c r="A523" t="s">
        <v>2</v>
      </c>
      <c r="B523" t="s">
        <v>7</v>
      </c>
      <c r="C523" s="2">
        <v>43335</v>
      </c>
      <c r="D523" s="11" t="s">
        <v>105</v>
      </c>
      <c r="E523" s="3">
        <f t="shared" ca="1" si="8"/>
        <v>416628480</v>
      </c>
      <c r="F523" t="s">
        <v>11</v>
      </c>
      <c r="G523" t="s">
        <v>14</v>
      </c>
      <c r="H523" s="1" t="s">
        <v>236</v>
      </c>
      <c r="I523" t="s">
        <v>19</v>
      </c>
      <c r="J523" s="4">
        <v>9</v>
      </c>
      <c r="K523" s="4">
        <v>61.58</v>
      </c>
      <c r="L523" s="4">
        <v>6</v>
      </c>
      <c r="M523" s="4">
        <v>53.81</v>
      </c>
      <c r="N523" s="4">
        <v>118.2359</v>
      </c>
      <c r="O523" s="4">
        <v>499.02</v>
      </c>
      <c r="P523" s="4">
        <v>3.8764546470000001</v>
      </c>
      <c r="Q523" s="4">
        <v>33.29</v>
      </c>
      <c r="R523" t="str" cm="1">
        <f t="array" ref="R523">_xlfn.IFS(B523="NY","New York",B523="TX","Texas",B523="CA","California")</f>
        <v>Texas</v>
      </c>
    </row>
    <row r="524" spans="1:18" x14ac:dyDescent="0.3">
      <c r="A524" t="s">
        <v>1</v>
      </c>
      <c r="B524" t="s">
        <v>6</v>
      </c>
      <c r="C524" s="2">
        <v>43181</v>
      </c>
      <c r="D524" s="11" t="s">
        <v>172</v>
      </c>
      <c r="E524" s="3">
        <f t="shared" ca="1" si="8"/>
        <v>146783933</v>
      </c>
      <c r="F524" t="s">
        <v>11</v>
      </c>
      <c r="G524" t="s">
        <v>14</v>
      </c>
      <c r="H524" s="1" t="s">
        <v>237</v>
      </c>
      <c r="I524" t="s">
        <v>19</v>
      </c>
      <c r="J524" s="4">
        <v>6</v>
      </c>
      <c r="K524" s="4">
        <v>56.28</v>
      </c>
      <c r="L524" s="4">
        <v>6</v>
      </c>
      <c r="M524" s="4">
        <v>76.540000000000006</v>
      </c>
      <c r="N524" s="4">
        <v>162.31549999999999</v>
      </c>
      <c r="O524" s="4">
        <v>224.64</v>
      </c>
      <c r="P524" s="4">
        <v>3.8764546470000001</v>
      </c>
      <c r="Q524" s="4">
        <v>45.91</v>
      </c>
      <c r="R524" t="str" cm="1">
        <f t="array" ref="R524">_xlfn.IFS(B524="NY","New York",B524="TX","Texas",B524="CA","California")</f>
        <v>New York</v>
      </c>
    </row>
    <row r="525" spans="1:18" x14ac:dyDescent="0.3">
      <c r="A525" t="s">
        <v>2</v>
      </c>
      <c r="B525" t="s">
        <v>7</v>
      </c>
      <c r="C525" s="2">
        <v>43055</v>
      </c>
      <c r="D525" s="11" t="s">
        <v>179</v>
      </c>
      <c r="E525" s="3">
        <f t="shared" ca="1" si="8"/>
        <v>432834324</v>
      </c>
      <c r="F525" t="s">
        <v>12</v>
      </c>
      <c r="G525" t="s">
        <v>15</v>
      </c>
      <c r="H525" s="1" t="s">
        <v>236</v>
      </c>
      <c r="I525" t="s">
        <v>17</v>
      </c>
      <c r="J525" s="4">
        <v>4</v>
      </c>
      <c r="K525" s="4">
        <v>27.52</v>
      </c>
      <c r="L525" s="4">
        <v>2</v>
      </c>
      <c r="M525" s="4">
        <v>90.94</v>
      </c>
      <c r="N525" s="4">
        <v>162.5009</v>
      </c>
      <c r="O525" s="4">
        <v>125.74</v>
      </c>
      <c r="P525" s="4">
        <v>3.8764546470000001</v>
      </c>
      <c r="Q525" s="4">
        <v>69.099999999999994</v>
      </c>
      <c r="R525" t="str" cm="1">
        <f t="array" ref="R525">_xlfn.IFS(B525="NY","New York",B525="TX","Texas",B525="CA","California")</f>
        <v>Texas</v>
      </c>
    </row>
    <row r="526" spans="1:18" x14ac:dyDescent="0.3">
      <c r="A526" t="s">
        <v>1</v>
      </c>
      <c r="B526" t="s">
        <v>6</v>
      </c>
      <c r="C526" s="2">
        <v>42817</v>
      </c>
      <c r="D526" s="11" t="s">
        <v>59</v>
      </c>
      <c r="E526" s="3">
        <f t="shared" ca="1" si="8"/>
        <v>836250167</v>
      </c>
      <c r="F526" t="s">
        <v>12</v>
      </c>
      <c r="G526" t="s">
        <v>15</v>
      </c>
      <c r="H526" s="1" t="s">
        <v>237</v>
      </c>
      <c r="I526" t="s">
        <v>21</v>
      </c>
      <c r="J526" s="4">
        <v>5</v>
      </c>
      <c r="K526" s="4">
        <v>66.55</v>
      </c>
      <c r="L526" s="4">
        <v>6</v>
      </c>
      <c r="M526" s="4">
        <v>24.94</v>
      </c>
      <c r="N526" s="4">
        <v>173.40629999999999</v>
      </c>
      <c r="O526" s="4">
        <v>490.26</v>
      </c>
      <c r="P526" s="4">
        <v>3.8764546470000001</v>
      </c>
      <c r="Q526" s="4">
        <v>89.16</v>
      </c>
      <c r="R526" t="str" cm="1">
        <f t="array" ref="R526">_xlfn.IFS(B526="NY","New York",B526="TX","Texas",B526="CA","California")</f>
        <v>New York</v>
      </c>
    </row>
    <row r="527" spans="1:18" x14ac:dyDescent="0.3">
      <c r="A527" t="s">
        <v>1</v>
      </c>
      <c r="B527" t="s">
        <v>6</v>
      </c>
      <c r="C527" s="2">
        <v>43006</v>
      </c>
      <c r="D527" s="11" t="s">
        <v>96</v>
      </c>
      <c r="E527" s="3">
        <f t="shared" ca="1" si="8"/>
        <v>594988625</v>
      </c>
      <c r="F527" t="s">
        <v>11</v>
      </c>
      <c r="G527" t="s">
        <v>14</v>
      </c>
      <c r="H527" s="1" t="s">
        <v>235</v>
      </c>
      <c r="I527" t="s">
        <v>20</v>
      </c>
      <c r="J527" s="4">
        <v>10</v>
      </c>
      <c r="K527" s="4">
        <v>80.5</v>
      </c>
      <c r="L527" s="4">
        <v>5</v>
      </c>
      <c r="M527" s="4">
        <v>39.81</v>
      </c>
      <c r="N527" s="4">
        <v>112.94589999999999</v>
      </c>
      <c r="O527" s="4">
        <v>457.05</v>
      </c>
      <c r="P527" s="4">
        <v>3.8764546470000001</v>
      </c>
      <c r="Q527" s="4">
        <v>39.42</v>
      </c>
      <c r="R527" t="str" cm="1">
        <f t="array" ref="R527">_xlfn.IFS(B527="NY","New York",B527="TX","Texas",B527="CA","California")</f>
        <v>New York</v>
      </c>
    </row>
    <row r="528" spans="1:18" x14ac:dyDescent="0.3">
      <c r="A528" t="s">
        <v>3</v>
      </c>
      <c r="B528" t="s">
        <v>8</v>
      </c>
      <c r="C528" s="2">
        <v>42862</v>
      </c>
      <c r="D528" s="11" t="s">
        <v>110</v>
      </c>
      <c r="E528" s="3">
        <f t="shared" ca="1" si="8"/>
        <v>345730341</v>
      </c>
      <c r="F528" t="s">
        <v>12</v>
      </c>
      <c r="G528" t="s">
        <v>15</v>
      </c>
      <c r="H528" s="1" t="s">
        <v>237</v>
      </c>
      <c r="I528" t="s">
        <v>22</v>
      </c>
      <c r="J528" s="4">
        <v>9.6</v>
      </c>
      <c r="K528" s="4">
        <v>33.96</v>
      </c>
      <c r="L528" s="4">
        <v>4</v>
      </c>
      <c r="M528" s="4">
        <v>51.87</v>
      </c>
      <c r="N528" s="4">
        <v>168.7801</v>
      </c>
      <c r="O528" s="4">
        <v>156.84</v>
      </c>
      <c r="P528" s="4">
        <v>3.8764546470000001</v>
      </c>
      <c r="Q528" s="4">
        <v>10.438000000000001</v>
      </c>
      <c r="R528" t="str" cm="1">
        <f t="array" ref="R528">_xlfn.IFS(B528="NY","New York",B528="TX","Texas",B528="CA","California")</f>
        <v>California</v>
      </c>
    </row>
    <row r="529" spans="1:18" x14ac:dyDescent="0.3">
      <c r="A529" t="s">
        <v>3</v>
      </c>
      <c r="B529" t="s">
        <v>8</v>
      </c>
      <c r="C529" s="2">
        <v>43258</v>
      </c>
      <c r="D529" s="11" t="s">
        <v>149</v>
      </c>
      <c r="E529" s="3">
        <f t="shared" ca="1" si="8"/>
        <v>403395814</v>
      </c>
      <c r="F529" t="s">
        <v>12</v>
      </c>
      <c r="G529" t="s">
        <v>14</v>
      </c>
      <c r="H529" s="1" t="s">
        <v>235</v>
      </c>
      <c r="I529" t="s">
        <v>22</v>
      </c>
      <c r="J529" s="4">
        <v>1.7</v>
      </c>
      <c r="K529" s="4">
        <v>73.69</v>
      </c>
      <c r="L529" s="4">
        <v>2</v>
      </c>
      <c r="M529" s="4">
        <v>44.47</v>
      </c>
      <c r="N529" s="4">
        <v>106.21380000000001</v>
      </c>
      <c r="O529" s="4">
        <v>119.72</v>
      </c>
      <c r="P529" s="4">
        <v>3.8764546470000001</v>
      </c>
      <c r="Q529" s="4">
        <v>38.732999999999997</v>
      </c>
      <c r="R529" t="str" cm="1">
        <f t="array" ref="R529">_xlfn.IFS(B529="NY","New York",B529="TX","Texas",B529="CA","California")</f>
        <v>California</v>
      </c>
    </row>
    <row r="530" spans="1:18" x14ac:dyDescent="0.3">
      <c r="A530" t="s">
        <v>3</v>
      </c>
      <c r="B530" t="s">
        <v>8</v>
      </c>
      <c r="C530" s="2">
        <v>43295</v>
      </c>
      <c r="D530" s="11" t="s">
        <v>70</v>
      </c>
      <c r="E530" s="3">
        <f t="shared" ca="1" si="8"/>
        <v>423804437</v>
      </c>
      <c r="F530" t="s">
        <v>11</v>
      </c>
      <c r="G530" t="s">
        <v>14</v>
      </c>
      <c r="H530" s="1" t="s">
        <v>237</v>
      </c>
      <c r="I530" t="s">
        <v>21</v>
      </c>
      <c r="J530" s="4">
        <v>2.5</v>
      </c>
      <c r="K530" s="4">
        <v>52.88</v>
      </c>
      <c r="L530" s="4">
        <v>10</v>
      </c>
      <c r="M530" s="4">
        <v>78.98</v>
      </c>
      <c r="N530" s="4">
        <v>168.72499999999999</v>
      </c>
      <c r="O530" s="4">
        <v>543.6</v>
      </c>
      <c r="P530" s="4">
        <v>3.8764546470000001</v>
      </c>
      <c r="Q530" s="4">
        <v>70.031999999999996</v>
      </c>
      <c r="R530" t="str" cm="1">
        <f t="array" ref="R530">_xlfn.IFS(B530="NY","New York",B530="TX","Texas",B530="CA","California")</f>
        <v>California</v>
      </c>
    </row>
    <row r="531" spans="1:18" x14ac:dyDescent="0.3">
      <c r="A531" t="s">
        <v>1</v>
      </c>
      <c r="B531" t="s">
        <v>6</v>
      </c>
      <c r="C531" s="2">
        <v>43379</v>
      </c>
      <c r="D531" s="11" t="s">
        <v>154</v>
      </c>
      <c r="E531" s="3">
        <f t="shared" ca="1" si="8"/>
        <v>626037448</v>
      </c>
      <c r="F531" t="s">
        <v>12</v>
      </c>
      <c r="G531" t="s">
        <v>15</v>
      </c>
      <c r="H531" s="1" t="s">
        <v>236</v>
      </c>
      <c r="I531" t="s">
        <v>20</v>
      </c>
      <c r="J531" s="4">
        <v>8.1999999999999993</v>
      </c>
      <c r="K531" s="4">
        <v>27.23</v>
      </c>
      <c r="L531" s="4">
        <v>9</v>
      </c>
      <c r="M531" s="4">
        <v>74.28</v>
      </c>
      <c r="N531" s="4">
        <v>107.3689</v>
      </c>
      <c r="O531" s="4">
        <v>882.81</v>
      </c>
      <c r="P531" s="4">
        <v>3.8764546470000001</v>
      </c>
      <c r="Q531" s="4">
        <v>29.51</v>
      </c>
      <c r="R531" t="str" cm="1">
        <f t="array" ref="R531">_xlfn.IFS(B531="NY","New York",B531="TX","Texas",B531="CA","California")</f>
        <v>New York</v>
      </c>
    </row>
    <row r="532" spans="1:18" x14ac:dyDescent="0.3">
      <c r="A532" t="s">
        <v>1</v>
      </c>
      <c r="B532" t="s">
        <v>6</v>
      </c>
      <c r="C532" s="2">
        <v>42988</v>
      </c>
      <c r="D532" s="11" t="s">
        <v>172</v>
      </c>
      <c r="E532" s="3">
        <f t="shared" ca="1" si="8"/>
        <v>243095459</v>
      </c>
      <c r="F532" t="s">
        <v>12</v>
      </c>
      <c r="G532" t="s">
        <v>15</v>
      </c>
      <c r="H532" s="1" t="s">
        <v>235</v>
      </c>
      <c r="I532" t="s">
        <v>17</v>
      </c>
      <c r="J532" s="4">
        <v>2.8</v>
      </c>
      <c r="K532" s="4">
        <v>90.29</v>
      </c>
      <c r="L532" s="4">
        <v>6</v>
      </c>
      <c r="M532" s="4">
        <v>95.69</v>
      </c>
      <c r="N532" s="4">
        <v>137.7526</v>
      </c>
      <c r="O532" s="4">
        <v>152.58000000000001</v>
      </c>
      <c r="P532" s="4">
        <v>3.8764546470000001</v>
      </c>
      <c r="Q532" s="4">
        <v>73.025000000000006</v>
      </c>
      <c r="R532" t="str" cm="1">
        <f t="array" ref="R532">_xlfn.IFS(B532="NY","New York",B532="TX","Texas",B532="CA","California")</f>
        <v>New York</v>
      </c>
    </row>
    <row r="533" spans="1:18" x14ac:dyDescent="0.3">
      <c r="A533" t="s">
        <v>1</v>
      </c>
      <c r="B533" t="s">
        <v>6</v>
      </c>
      <c r="C533" s="2">
        <v>43243</v>
      </c>
      <c r="D533" s="11" t="s">
        <v>34</v>
      </c>
      <c r="E533" s="3">
        <f t="shared" ca="1" si="8"/>
        <v>865354025</v>
      </c>
      <c r="F533" t="s">
        <v>12</v>
      </c>
      <c r="G533" t="s">
        <v>14</v>
      </c>
      <c r="H533" s="1" t="s">
        <v>237</v>
      </c>
      <c r="I533" t="s">
        <v>22</v>
      </c>
      <c r="J533" s="4">
        <v>9.9</v>
      </c>
      <c r="K533" s="4">
        <v>35.15</v>
      </c>
      <c r="L533" s="4">
        <v>8</v>
      </c>
      <c r="M533" s="4">
        <v>53.34</v>
      </c>
      <c r="N533" s="4">
        <v>148.4162</v>
      </c>
      <c r="O533" s="4">
        <v>693.44</v>
      </c>
      <c r="P533" s="4">
        <v>3.8764546470000001</v>
      </c>
      <c r="Q533" s="4">
        <v>86.26</v>
      </c>
      <c r="R533" t="str" cm="1">
        <f t="array" ref="R533">_xlfn.IFS(B533="NY","New York",B533="TX","Texas",B533="CA","California")</f>
        <v>New York</v>
      </c>
    </row>
    <row r="534" spans="1:18" x14ac:dyDescent="0.3">
      <c r="A534" t="s">
        <v>3</v>
      </c>
      <c r="B534" t="s">
        <v>8</v>
      </c>
      <c r="C534" s="2">
        <v>43066</v>
      </c>
      <c r="D534" s="11" t="s">
        <v>109</v>
      </c>
      <c r="E534" s="3">
        <f t="shared" ca="1" si="8"/>
        <v>675100473</v>
      </c>
      <c r="F534" t="s">
        <v>12</v>
      </c>
      <c r="G534" t="s">
        <v>15</v>
      </c>
      <c r="H534" s="1" t="s">
        <v>235</v>
      </c>
      <c r="I534" t="s">
        <v>18</v>
      </c>
      <c r="J534" s="4">
        <v>6.1</v>
      </c>
      <c r="K534" s="4">
        <v>15.42</v>
      </c>
      <c r="L534" s="4">
        <v>10</v>
      </c>
      <c r="M534" s="4">
        <v>43.6</v>
      </c>
      <c r="N534" s="4">
        <v>158.53919999999999</v>
      </c>
      <c r="O534" s="4">
        <v>229.5</v>
      </c>
      <c r="P534" s="4">
        <v>3.8764546470000001</v>
      </c>
      <c r="Q534" s="4">
        <v>11.724</v>
      </c>
      <c r="R534" t="str" cm="1">
        <f t="array" ref="R534">_xlfn.IFS(B534="NY","New York",B534="TX","Texas",B534="CA","California")</f>
        <v>California</v>
      </c>
    </row>
    <row r="535" spans="1:18" x14ac:dyDescent="0.3">
      <c r="A535" t="s">
        <v>2</v>
      </c>
      <c r="B535" t="s">
        <v>7</v>
      </c>
      <c r="C535" s="2">
        <v>43087</v>
      </c>
      <c r="D535" s="11" t="s">
        <v>218</v>
      </c>
      <c r="E535" s="3">
        <f t="shared" ca="1" si="8"/>
        <v>767177722</v>
      </c>
      <c r="F535" t="s">
        <v>11</v>
      </c>
      <c r="G535" t="s">
        <v>15</v>
      </c>
      <c r="H535" s="1" t="s">
        <v>235</v>
      </c>
      <c r="I535" t="s">
        <v>21</v>
      </c>
      <c r="J535" s="4">
        <v>2</v>
      </c>
      <c r="K535" s="4">
        <v>46.81</v>
      </c>
      <c r="L535" s="4">
        <v>9</v>
      </c>
      <c r="M535" s="4">
        <v>38.479999999999997</v>
      </c>
      <c r="N535" s="4">
        <v>119.99850000000001</v>
      </c>
      <c r="O535" s="4">
        <v>146.79</v>
      </c>
      <c r="P535" s="4">
        <v>3.8764546470000001</v>
      </c>
      <c r="Q535" s="4">
        <v>43.198</v>
      </c>
      <c r="R535" t="str" cm="1">
        <f t="array" ref="R535">_xlfn.IFS(B535="NY","New York",B535="TX","Texas",B535="CA","California")</f>
        <v>Texas</v>
      </c>
    </row>
    <row r="536" spans="1:18" x14ac:dyDescent="0.3">
      <c r="A536" t="s">
        <v>1</v>
      </c>
      <c r="B536" t="s">
        <v>6</v>
      </c>
      <c r="C536" s="2">
        <v>43463</v>
      </c>
      <c r="D536" s="11" t="s">
        <v>139</v>
      </c>
      <c r="E536" s="3">
        <f t="shared" ca="1" si="8"/>
        <v>391762233</v>
      </c>
      <c r="F536" t="s">
        <v>11</v>
      </c>
      <c r="G536" t="s">
        <v>15</v>
      </c>
      <c r="H536" s="1" t="s">
        <v>235</v>
      </c>
      <c r="I536" t="s">
        <v>19</v>
      </c>
      <c r="J536" s="4">
        <v>9.1999999999999993</v>
      </c>
      <c r="K536" s="4">
        <v>16.86</v>
      </c>
      <c r="L536" s="4">
        <v>5</v>
      </c>
      <c r="M536" s="4">
        <v>74.819999999999993</v>
      </c>
      <c r="N536" s="4">
        <v>185.48990000000001</v>
      </c>
      <c r="O536" s="4">
        <v>141.6</v>
      </c>
      <c r="P536" s="4">
        <v>3.8764546470000001</v>
      </c>
      <c r="Q536" s="4">
        <v>99.08</v>
      </c>
      <c r="R536" t="str" cm="1">
        <f t="array" ref="R536">_xlfn.IFS(B536="NY","New York",B536="TX","Texas",B536="CA","California")</f>
        <v>New York</v>
      </c>
    </row>
    <row r="537" spans="1:18" x14ac:dyDescent="0.3">
      <c r="A537" t="s">
        <v>2</v>
      </c>
      <c r="B537" t="s">
        <v>7</v>
      </c>
      <c r="C537" s="2">
        <v>43316</v>
      </c>
      <c r="D537" s="11" t="s">
        <v>188</v>
      </c>
      <c r="E537" s="3">
        <f t="shared" ca="1" si="8"/>
        <v>330760300</v>
      </c>
      <c r="F537" t="s">
        <v>12</v>
      </c>
      <c r="G537" t="s">
        <v>15</v>
      </c>
      <c r="H537" s="1" t="s">
        <v>235</v>
      </c>
      <c r="I537" t="s">
        <v>19</v>
      </c>
      <c r="J537" s="4">
        <v>5.9</v>
      </c>
      <c r="K537" s="4">
        <v>70.209999999999994</v>
      </c>
      <c r="L537" s="4">
        <v>7</v>
      </c>
      <c r="M537" s="4">
        <v>53</v>
      </c>
      <c r="N537" s="4">
        <v>179.22790000000001</v>
      </c>
      <c r="O537" s="4">
        <v>116.69</v>
      </c>
      <c r="P537" s="4">
        <v>3.8764546470000001</v>
      </c>
      <c r="Q537" s="4">
        <v>43.787999999999997</v>
      </c>
      <c r="R537" t="str" cm="1">
        <f t="array" ref="R537">_xlfn.IFS(B537="NY","New York",B537="TX","Texas",B537="CA","California")</f>
        <v>Texas</v>
      </c>
    </row>
    <row r="538" spans="1:18" x14ac:dyDescent="0.3">
      <c r="A538" t="s">
        <v>3</v>
      </c>
      <c r="B538" t="s">
        <v>8</v>
      </c>
      <c r="C538" s="2">
        <v>43454</v>
      </c>
      <c r="D538" s="11" t="s">
        <v>217</v>
      </c>
      <c r="E538" s="3">
        <f t="shared" ca="1" si="8"/>
        <v>322876086</v>
      </c>
      <c r="F538" t="s">
        <v>11</v>
      </c>
      <c r="G538" t="s">
        <v>14</v>
      </c>
      <c r="H538" s="1" t="s">
        <v>237</v>
      </c>
      <c r="I538" t="s">
        <v>22</v>
      </c>
      <c r="J538" s="4">
        <v>2</v>
      </c>
      <c r="K538" s="4">
        <v>50.17</v>
      </c>
      <c r="L538" s="4">
        <v>1</v>
      </c>
      <c r="M538" s="4">
        <v>91.48</v>
      </c>
      <c r="N538" s="4">
        <v>139.65889999999999</v>
      </c>
      <c r="O538" s="4">
        <v>73.959999999999994</v>
      </c>
      <c r="P538" s="4">
        <v>3.8764546470000001</v>
      </c>
      <c r="Q538" s="4">
        <v>60.87</v>
      </c>
      <c r="R538" t="str" cm="1">
        <f t="array" ref="R538">_xlfn.IFS(B538="NY","New York",B538="TX","Texas",B538="CA","California")</f>
        <v>California</v>
      </c>
    </row>
    <row r="539" spans="1:18" x14ac:dyDescent="0.3">
      <c r="A539" t="s">
        <v>1</v>
      </c>
      <c r="B539" t="s">
        <v>6</v>
      </c>
      <c r="C539" s="2">
        <v>43359</v>
      </c>
      <c r="D539" s="11" t="s">
        <v>220</v>
      </c>
      <c r="E539" s="3">
        <f t="shared" ca="1" si="8"/>
        <v>607481943</v>
      </c>
      <c r="F539" t="s">
        <v>12</v>
      </c>
      <c r="G539" t="s">
        <v>15</v>
      </c>
      <c r="H539" s="1" t="s">
        <v>235</v>
      </c>
      <c r="I539" t="s">
        <v>19</v>
      </c>
      <c r="J539" s="4">
        <v>9</v>
      </c>
      <c r="K539" s="4">
        <v>46.018999999999998</v>
      </c>
      <c r="L539" s="4">
        <v>1</v>
      </c>
      <c r="M539" s="4">
        <v>22.05</v>
      </c>
      <c r="N539" s="4">
        <v>133.14519999999999</v>
      </c>
      <c r="O539" s="4">
        <v>97.94</v>
      </c>
      <c r="P539" s="4">
        <v>3.8764546470000001</v>
      </c>
      <c r="Q539" s="4">
        <v>22.65</v>
      </c>
      <c r="R539" t="str" cm="1">
        <f t="array" ref="R539">_xlfn.IFS(B539="NY","New York",B539="TX","Texas",B539="CA","California")</f>
        <v>New York</v>
      </c>
    </row>
    <row r="540" spans="1:18" x14ac:dyDescent="0.3">
      <c r="A540" t="s">
        <v>1</v>
      </c>
      <c r="B540" t="s">
        <v>6</v>
      </c>
      <c r="C540" s="2">
        <v>43374</v>
      </c>
      <c r="D540" s="11" t="s">
        <v>208</v>
      </c>
      <c r="E540" s="3">
        <f t="shared" ca="1" si="8"/>
        <v>870606778</v>
      </c>
      <c r="F540" t="s">
        <v>11</v>
      </c>
      <c r="G540" t="s">
        <v>15</v>
      </c>
      <c r="H540" s="1" t="s">
        <v>237</v>
      </c>
      <c r="I540" t="s">
        <v>22</v>
      </c>
      <c r="J540" s="4">
        <v>6</v>
      </c>
      <c r="K540" s="4">
        <v>42.91</v>
      </c>
      <c r="L540" s="4">
        <v>4</v>
      </c>
      <c r="M540" s="4">
        <v>17.52</v>
      </c>
      <c r="N540" s="4">
        <v>137.92320000000001</v>
      </c>
      <c r="O540" s="4">
        <v>292.2</v>
      </c>
      <c r="P540" s="4">
        <v>3.8764546470000001</v>
      </c>
      <c r="Q540" s="4">
        <v>55.04</v>
      </c>
      <c r="R540" t="str" cm="1">
        <f t="array" ref="R540">_xlfn.IFS(B540="NY","New York",B540="TX","Texas",B540="CA","California")</f>
        <v>New York</v>
      </c>
    </row>
    <row r="541" spans="1:18" x14ac:dyDescent="0.3">
      <c r="A541" t="s">
        <v>2</v>
      </c>
      <c r="B541" t="s">
        <v>7</v>
      </c>
      <c r="C541" s="2">
        <v>43332</v>
      </c>
      <c r="D541" s="11" t="s">
        <v>214</v>
      </c>
      <c r="E541" s="3">
        <f t="shared" ca="1" si="8"/>
        <v>955827004</v>
      </c>
      <c r="F541" t="s">
        <v>11</v>
      </c>
      <c r="G541" t="s">
        <v>14</v>
      </c>
      <c r="H541" s="1" t="s">
        <v>235</v>
      </c>
      <c r="I541" t="s">
        <v>21</v>
      </c>
      <c r="J541" s="4">
        <v>3</v>
      </c>
      <c r="K541" s="4">
        <v>87.495000000000005</v>
      </c>
      <c r="L541" s="4">
        <v>6</v>
      </c>
      <c r="M541" s="4">
        <v>43.26</v>
      </c>
      <c r="N541" s="4">
        <v>161.5779</v>
      </c>
      <c r="O541" s="4">
        <v>524.88</v>
      </c>
      <c r="P541" s="4">
        <v>3.8764546470000001</v>
      </c>
      <c r="Q541" s="4">
        <v>56.25</v>
      </c>
      <c r="R541" t="str" cm="1">
        <f t="array" ref="R541">_xlfn.IFS(B541="NY","New York",B541="TX","Texas",B541="CA","California")</f>
        <v>Texas</v>
      </c>
    </row>
    <row r="542" spans="1:18" x14ac:dyDescent="0.3">
      <c r="A542" t="s">
        <v>1</v>
      </c>
      <c r="B542" t="s">
        <v>6</v>
      </c>
      <c r="C542" s="2">
        <v>43267</v>
      </c>
      <c r="D542" s="11" t="s">
        <v>173</v>
      </c>
      <c r="E542" s="3">
        <f t="shared" ca="1" si="8"/>
        <v>824398625</v>
      </c>
      <c r="F542" t="s">
        <v>12</v>
      </c>
      <c r="G542" t="s">
        <v>15</v>
      </c>
      <c r="H542" s="1" t="s">
        <v>235</v>
      </c>
      <c r="I542" t="s">
        <v>19</v>
      </c>
      <c r="J542" s="4">
        <v>4</v>
      </c>
      <c r="K542" s="4">
        <v>27.957999999999998</v>
      </c>
      <c r="L542" s="4">
        <v>3</v>
      </c>
      <c r="M542" s="4">
        <v>57.74</v>
      </c>
      <c r="N542" s="4">
        <v>177.99420000000001</v>
      </c>
      <c r="O542" s="4">
        <v>92.04</v>
      </c>
      <c r="P542" s="4">
        <v>3.8764546470000001</v>
      </c>
      <c r="Q542" s="4">
        <v>64.28</v>
      </c>
      <c r="R542" t="str" cm="1">
        <f t="array" ref="R542">_xlfn.IFS(B542="NY","New York",B542="TX","Texas",B542="CA","California")</f>
        <v>New York</v>
      </c>
    </row>
    <row r="543" spans="1:18" x14ac:dyDescent="0.3">
      <c r="A543" t="s">
        <v>2</v>
      </c>
      <c r="B543" t="s">
        <v>7</v>
      </c>
      <c r="C543" s="2">
        <v>42823</v>
      </c>
      <c r="D543" s="11" t="s">
        <v>131</v>
      </c>
      <c r="E543" s="3">
        <f t="shared" ca="1" si="8"/>
        <v>490507902</v>
      </c>
      <c r="F543" t="s">
        <v>12</v>
      </c>
      <c r="G543" t="s">
        <v>14</v>
      </c>
      <c r="H543" s="1" t="s">
        <v>237</v>
      </c>
      <c r="I543" t="s">
        <v>17</v>
      </c>
      <c r="J543" s="4">
        <v>3</v>
      </c>
      <c r="K543" s="4">
        <v>40.302</v>
      </c>
      <c r="L543" s="4">
        <v>1</v>
      </c>
      <c r="M543" s="4">
        <v>97.96</v>
      </c>
      <c r="N543" s="4">
        <v>168.25020000000001</v>
      </c>
      <c r="O543" s="4">
        <v>75.88</v>
      </c>
      <c r="P543" s="4">
        <v>3.8764546470000001</v>
      </c>
      <c r="Q543" s="4">
        <v>73.28</v>
      </c>
      <c r="R543" t="str" cm="1">
        <f t="array" ref="R543">_xlfn.IFS(B543="NY","New York",B543="TX","Texas",B543="CA","California")</f>
        <v>Texas</v>
      </c>
    </row>
    <row r="544" spans="1:18" x14ac:dyDescent="0.3">
      <c r="A544" t="s">
        <v>3</v>
      </c>
      <c r="B544" t="s">
        <v>8</v>
      </c>
      <c r="C544" s="2">
        <v>43414</v>
      </c>
      <c r="D544" s="11" t="s">
        <v>54</v>
      </c>
      <c r="E544" s="3">
        <f t="shared" ca="1" si="8"/>
        <v>930622768</v>
      </c>
      <c r="F544" t="s">
        <v>11</v>
      </c>
      <c r="G544" t="s">
        <v>14</v>
      </c>
      <c r="H544" s="1" t="s">
        <v>237</v>
      </c>
      <c r="I544" t="s">
        <v>20</v>
      </c>
      <c r="J544" s="4">
        <v>7</v>
      </c>
      <c r="K544" s="4">
        <v>33.573</v>
      </c>
      <c r="L544" s="4">
        <v>4</v>
      </c>
      <c r="M544" s="4">
        <v>24.89</v>
      </c>
      <c r="N544" s="4">
        <v>180.5196</v>
      </c>
      <c r="O544" s="4">
        <v>80.72</v>
      </c>
      <c r="P544" s="4">
        <v>3.8764546470000001</v>
      </c>
      <c r="Q544" s="4">
        <v>68.251000000000005</v>
      </c>
      <c r="R544" t="str" cm="1">
        <f t="array" ref="R544">_xlfn.IFS(B544="NY","New York",B544="TX","Texas",B544="CA","California")</f>
        <v>California</v>
      </c>
    </row>
    <row r="545" spans="1:18" x14ac:dyDescent="0.3">
      <c r="A545" t="s">
        <v>2</v>
      </c>
      <c r="B545" t="s">
        <v>7</v>
      </c>
      <c r="C545" s="2">
        <v>43309</v>
      </c>
      <c r="D545" s="11" t="s">
        <v>65</v>
      </c>
      <c r="E545" s="3">
        <f t="shared" ca="1" si="8"/>
        <v>750436947</v>
      </c>
      <c r="F545" t="s">
        <v>12</v>
      </c>
      <c r="G545" t="s">
        <v>14</v>
      </c>
      <c r="H545" s="1" t="s">
        <v>237</v>
      </c>
      <c r="I545" t="s">
        <v>18</v>
      </c>
      <c r="J545" s="4">
        <v>8</v>
      </c>
      <c r="K545" s="4">
        <v>34.28</v>
      </c>
      <c r="L545" s="4">
        <v>6</v>
      </c>
      <c r="M545" s="4">
        <v>77.94</v>
      </c>
      <c r="N545" s="4">
        <v>110.23350000000001</v>
      </c>
      <c r="O545" s="4">
        <v>112.62</v>
      </c>
      <c r="P545" s="4">
        <v>3.8764546470000001</v>
      </c>
      <c r="Q545" s="4">
        <v>27.763000000000002</v>
      </c>
      <c r="R545" t="str" cm="1">
        <f t="array" ref="R545">_xlfn.IFS(B545="NY","New York",B545="TX","Texas",B545="CA","California")</f>
        <v>Texas</v>
      </c>
    </row>
    <row r="546" spans="1:18" x14ac:dyDescent="0.3">
      <c r="A546" t="s">
        <v>3</v>
      </c>
      <c r="B546" t="s">
        <v>8</v>
      </c>
      <c r="C546" s="2">
        <v>43235</v>
      </c>
      <c r="D546" s="11" t="s">
        <v>78</v>
      </c>
      <c r="E546" s="3">
        <f t="shared" ca="1" si="8"/>
        <v>865098372</v>
      </c>
      <c r="F546" t="s">
        <v>11</v>
      </c>
      <c r="G546" t="s">
        <v>15</v>
      </c>
      <c r="H546" s="1" t="s">
        <v>237</v>
      </c>
      <c r="I546" t="s">
        <v>21</v>
      </c>
      <c r="J546" s="4">
        <v>6</v>
      </c>
      <c r="K546" s="4">
        <v>18.920000000000002</v>
      </c>
      <c r="L546" s="4">
        <v>1</v>
      </c>
      <c r="M546" s="4">
        <v>32.43</v>
      </c>
      <c r="N546" s="4">
        <v>133.83189999999999</v>
      </c>
      <c r="O546" s="4">
        <v>71.2</v>
      </c>
      <c r="P546" s="4">
        <v>3.8764546470000001</v>
      </c>
      <c r="Q546" s="4">
        <v>91.676000000000002</v>
      </c>
      <c r="R546" t="str" cm="1">
        <f t="array" ref="R546">_xlfn.IFS(B546="NY","New York",B546="TX","Texas",B546="CA","California")</f>
        <v>California</v>
      </c>
    </row>
    <row r="547" spans="1:18" x14ac:dyDescent="0.3">
      <c r="A547" t="s">
        <v>3</v>
      </c>
      <c r="B547" t="s">
        <v>8</v>
      </c>
      <c r="C547" s="2">
        <v>43078</v>
      </c>
      <c r="D547" s="11" t="s">
        <v>58</v>
      </c>
      <c r="E547" s="3">
        <f t="shared" ca="1" si="8"/>
        <v>725201717</v>
      </c>
      <c r="F547" t="s">
        <v>12</v>
      </c>
      <c r="G547" t="s">
        <v>14</v>
      </c>
      <c r="H547" s="1" t="s">
        <v>235</v>
      </c>
      <c r="I547" t="s">
        <v>19</v>
      </c>
      <c r="J547" s="4">
        <v>3.4</v>
      </c>
      <c r="K547" s="4">
        <v>88.852000000000004</v>
      </c>
      <c r="L547" s="4">
        <v>4</v>
      </c>
      <c r="M547" s="4">
        <v>49.3</v>
      </c>
      <c r="N547" s="4">
        <v>121.4721</v>
      </c>
      <c r="O547" s="4">
        <v>155.24</v>
      </c>
      <c r="P547" s="4">
        <v>3.8764546470000001</v>
      </c>
      <c r="Q547" s="4">
        <v>39.840000000000003</v>
      </c>
      <c r="R547" t="str" cm="1">
        <f t="array" ref="R547">_xlfn.IFS(B547="NY","New York",B547="TX","Texas",B547="CA","California")</f>
        <v>California</v>
      </c>
    </row>
    <row r="548" spans="1:18" x14ac:dyDescent="0.3">
      <c r="A548" t="s">
        <v>1</v>
      </c>
      <c r="B548" t="s">
        <v>6</v>
      </c>
      <c r="C548" s="2">
        <v>43400</v>
      </c>
      <c r="D548" s="11" t="s">
        <v>194</v>
      </c>
      <c r="E548" s="3">
        <f t="shared" ca="1" si="8"/>
        <v>928594130</v>
      </c>
      <c r="F548" t="s">
        <v>11</v>
      </c>
      <c r="G548" t="s">
        <v>15</v>
      </c>
      <c r="H548" s="1" t="s">
        <v>235</v>
      </c>
      <c r="I548" t="s">
        <v>22</v>
      </c>
      <c r="J548" s="4">
        <v>9.1</v>
      </c>
      <c r="K548" s="4">
        <v>10.49</v>
      </c>
      <c r="L548" s="4">
        <v>10</v>
      </c>
      <c r="M548" s="4">
        <v>88.01</v>
      </c>
      <c r="N548" s="4">
        <v>130.20670000000001</v>
      </c>
      <c r="O548" s="4">
        <v>294.2</v>
      </c>
      <c r="P548" s="4">
        <v>3.8764546470000001</v>
      </c>
      <c r="Q548" s="4">
        <v>29.58</v>
      </c>
      <c r="R548" t="str" cm="1">
        <f t="array" ref="R548">_xlfn.IFS(B548="NY","New York",B548="TX","Texas",B548="CA","California")</f>
        <v>New York</v>
      </c>
    </row>
    <row r="549" spans="1:18" x14ac:dyDescent="0.3">
      <c r="A549" t="s">
        <v>1</v>
      </c>
      <c r="B549" t="s">
        <v>6</v>
      </c>
      <c r="C549" s="2">
        <v>42890</v>
      </c>
      <c r="D549" s="11" t="s">
        <v>113</v>
      </c>
      <c r="E549" s="3">
        <f t="shared" ca="1" si="8"/>
        <v>633831172</v>
      </c>
      <c r="F549" t="s">
        <v>12</v>
      </c>
      <c r="G549" t="s">
        <v>15</v>
      </c>
      <c r="H549" s="1" t="s">
        <v>237</v>
      </c>
      <c r="I549" t="s">
        <v>20</v>
      </c>
      <c r="J549" s="4">
        <v>8.9</v>
      </c>
      <c r="K549" s="4">
        <v>93.18</v>
      </c>
      <c r="L549" s="4">
        <v>9</v>
      </c>
      <c r="M549" s="4">
        <v>72.38</v>
      </c>
      <c r="N549" s="4">
        <v>183.2567</v>
      </c>
      <c r="O549" s="4">
        <v>548.54999999999995</v>
      </c>
      <c r="P549" s="4">
        <v>3.8764546470000001</v>
      </c>
      <c r="Q549" s="4">
        <v>82.71</v>
      </c>
      <c r="R549" t="str" cm="1">
        <f t="array" ref="R549">_xlfn.IFS(B549="NY","New York",B549="TX","Texas",B549="CA","California")</f>
        <v>New York</v>
      </c>
    </row>
    <row r="550" spans="1:18" x14ac:dyDescent="0.3">
      <c r="A550" t="s">
        <v>3</v>
      </c>
      <c r="B550" t="s">
        <v>8</v>
      </c>
      <c r="C550" s="2">
        <v>43340</v>
      </c>
      <c r="D550" s="11" t="s">
        <v>39</v>
      </c>
      <c r="E550" s="3">
        <f t="shared" ca="1" si="8"/>
        <v>201003503</v>
      </c>
      <c r="F550" t="s">
        <v>11</v>
      </c>
      <c r="G550" t="s">
        <v>15</v>
      </c>
      <c r="H550" s="1" t="s">
        <v>236</v>
      </c>
      <c r="I550" t="s">
        <v>20</v>
      </c>
      <c r="J550" s="4">
        <v>1.9</v>
      </c>
      <c r="K550" s="4">
        <v>47.81</v>
      </c>
      <c r="L550" s="4">
        <v>5</v>
      </c>
      <c r="M550" s="4">
        <v>49.68</v>
      </c>
      <c r="N550" s="4">
        <v>130.63409999999999</v>
      </c>
      <c r="O550" s="4">
        <v>257.7</v>
      </c>
      <c r="P550" s="4">
        <v>3.8764546470000001</v>
      </c>
      <c r="Q550" s="4">
        <v>18.55</v>
      </c>
      <c r="R550" t="str" cm="1">
        <f t="array" ref="R550">_xlfn.IFS(B550="NY","New York",B550="TX","Texas",B550="CA","California")</f>
        <v>California</v>
      </c>
    </row>
    <row r="551" spans="1:18" x14ac:dyDescent="0.3">
      <c r="A551" t="s">
        <v>1</v>
      </c>
      <c r="B551" t="s">
        <v>6</v>
      </c>
      <c r="C551" s="2">
        <v>43252</v>
      </c>
      <c r="D551" s="11" t="s">
        <v>176</v>
      </c>
      <c r="E551" s="3">
        <f t="shared" ca="1" si="8"/>
        <v>790237893</v>
      </c>
      <c r="F551" t="s">
        <v>11</v>
      </c>
      <c r="G551" t="s">
        <v>15</v>
      </c>
      <c r="H551" s="1" t="s">
        <v>236</v>
      </c>
      <c r="I551" t="s">
        <v>18</v>
      </c>
      <c r="J551" s="4">
        <v>9</v>
      </c>
      <c r="K551" s="4">
        <v>38.26</v>
      </c>
      <c r="L551" s="4">
        <v>6</v>
      </c>
      <c r="M551" s="4">
        <v>46.58</v>
      </c>
      <c r="N551" s="4">
        <v>164.22649999999999</v>
      </c>
      <c r="O551" s="4">
        <v>396.36</v>
      </c>
      <c r="P551" s="4">
        <v>3.8764546470000001</v>
      </c>
      <c r="Q551" s="4">
        <v>50.83</v>
      </c>
      <c r="R551" t="str" cm="1">
        <f t="array" ref="R551">_xlfn.IFS(B551="NY","New York",B551="TX","Texas",B551="CA","California")</f>
        <v>New York</v>
      </c>
    </row>
    <row r="552" spans="1:18" x14ac:dyDescent="0.3">
      <c r="A552" t="s">
        <v>3</v>
      </c>
      <c r="B552" t="s">
        <v>8</v>
      </c>
      <c r="C552" s="2">
        <v>43460</v>
      </c>
      <c r="D552" s="11" t="s">
        <v>87</v>
      </c>
      <c r="E552" s="3">
        <f t="shared" ca="1" si="8"/>
        <v>542573064</v>
      </c>
      <c r="F552" t="s">
        <v>12</v>
      </c>
      <c r="G552" t="s">
        <v>15</v>
      </c>
      <c r="H552" s="1" t="s">
        <v>235</v>
      </c>
      <c r="I552" t="s">
        <v>22</v>
      </c>
      <c r="J552" s="4">
        <v>4.3</v>
      </c>
      <c r="K552" s="4">
        <v>41.46</v>
      </c>
      <c r="L552" s="4">
        <v>3</v>
      </c>
      <c r="M552" s="4">
        <v>92.4</v>
      </c>
      <c r="N552" s="4">
        <v>119.3219</v>
      </c>
      <c r="O552" s="4">
        <v>171.81</v>
      </c>
      <c r="P552" s="4">
        <v>3.8764546470000001</v>
      </c>
      <c r="Q552" s="4">
        <v>44.35</v>
      </c>
      <c r="R552" t="str" cm="1">
        <f t="array" ref="R552">_xlfn.IFS(B552="NY","New York",B552="TX","Texas",B552="CA","California")</f>
        <v>California</v>
      </c>
    </row>
    <row r="553" spans="1:18" x14ac:dyDescent="0.3">
      <c r="A553" t="s">
        <v>3</v>
      </c>
      <c r="B553" t="s">
        <v>8</v>
      </c>
      <c r="C553" s="2">
        <v>42805</v>
      </c>
      <c r="D553" s="11" t="s">
        <v>43</v>
      </c>
      <c r="E553" s="3">
        <f t="shared" ca="1" si="8"/>
        <v>397835032</v>
      </c>
      <c r="F553" t="s">
        <v>11</v>
      </c>
      <c r="G553" t="s">
        <v>15</v>
      </c>
      <c r="H553" s="1" t="s">
        <v>236</v>
      </c>
      <c r="I553" t="s">
        <v>22</v>
      </c>
      <c r="J553" s="4">
        <v>5.4</v>
      </c>
      <c r="K553" s="4">
        <v>84.001000000000005</v>
      </c>
      <c r="L553" s="4">
        <v>9</v>
      </c>
      <c r="M553" s="4">
        <v>67.16</v>
      </c>
      <c r="N553" s="4">
        <v>146.24109999999999</v>
      </c>
      <c r="O553" s="4">
        <v>488.79</v>
      </c>
      <c r="P553" s="4">
        <v>3.8764546470000001</v>
      </c>
      <c r="Q553" s="4">
        <v>54.572000000000003</v>
      </c>
      <c r="R553" t="str" cm="1">
        <f t="array" ref="R553">_xlfn.IFS(B553="NY","New York",B553="TX","Texas",B553="CA","California")</f>
        <v>California</v>
      </c>
    </row>
    <row r="554" spans="1:18" x14ac:dyDescent="0.3">
      <c r="A554" t="s">
        <v>3</v>
      </c>
      <c r="B554" t="s">
        <v>8</v>
      </c>
      <c r="C554" s="2">
        <v>43022</v>
      </c>
      <c r="D554" s="11" t="s">
        <v>209</v>
      </c>
      <c r="E554" s="3">
        <f t="shared" ca="1" si="8"/>
        <v>654811633</v>
      </c>
      <c r="F554" t="s">
        <v>11</v>
      </c>
      <c r="G554" t="s">
        <v>15</v>
      </c>
      <c r="H554" s="1" t="s">
        <v>236</v>
      </c>
      <c r="I554" t="s">
        <v>17</v>
      </c>
      <c r="J554" s="4">
        <v>6.5</v>
      </c>
      <c r="K554" s="4">
        <v>13.743</v>
      </c>
      <c r="L554" s="4">
        <v>9</v>
      </c>
      <c r="M554" s="4">
        <v>94.48</v>
      </c>
      <c r="N554" s="4">
        <v>135.7251</v>
      </c>
      <c r="O554" s="4">
        <v>524.16</v>
      </c>
      <c r="P554" s="4">
        <v>3.8764546470000001</v>
      </c>
      <c r="Q554" s="4">
        <v>23.722999999999999</v>
      </c>
      <c r="R554" t="str" cm="1">
        <f t="array" ref="R554">_xlfn.IFS(B554="NY","New York",B554="TX","Texas",B554="CA","California")</f>
        <v>California</v>
      </c>
    </row>
    <row r="555" spans="1:18" x14ac:dyDescent="0.3">
      <c r="A555" t="s">
        <v>2</v>
      </c>
      <c r="B555" t="s">
        <v>7</v>
      </c>
      <c r="C555" s="2">
        <v>43435</v>
      </c>
      <c r="D555" s="11" t="s">
        <v>182</v>
      </c>
      <c r="E555" s="3">
        <f t="shared" ca="1" si="8"/>
        <v>885504624</v>
      </c>
      <c r="F555" t="s">
        <v>12</v>
      </c>
      <c r="G555" t="s">
        <v>15</v>
      </c>
      <c r="H555" s="1" t="s">
        <v>237</v>
      </c>
      <c r="I555" t="s">
        <v>18</v>
      </c>
      <c r="J555" s="4">
        <v>7.4</v>
      </c>
      <c r="K555" s="4">
        <v>14.962999999999999</v>
      </c>
      <c r="L555" s="4">
        <v>6</v>
      </c>
      <c r="M555" s="4">
        <v>98.25</v>
      </c>
      <c r="N555" s="4">
        <v>101.54989999999999</v>
      </c>
      <c r="O555" s="4">
        <v>133.26</v>
      </c>
      <c r="P555" s="4">
        <v>3.8764546470000001</v>
      </c>
      <c r="Q555" s="4">
        <v>52.406999999999996</v>
      </c>
      <c r="R555" t="str" cm="1">
        <f t="array" ref="R555">_xlfn.IFS(B555="NY","New York",B555="TX","Texas",B555="CA","California")</f>
        <v>Texas</v>
      </c>
    </row>
    <row r="556" spans="1:18" x14ac:dyDescent="0.3">
      <c r="A556" t="s">
        <v>1</v>
      </c>
      <c r="B556" t="s">
        <v>6</v>
      </c>
      <c r="C556" s="2">
        <v>43375</v>
      </c>
      <c r="D556" s="11" t="s">
        <v>42</v>
      </c>
      <c r="E556" s="3">
        <f t="shared" ca="1" si="8"/>
        <v>197028119</v>
      </c>
      <c r="F556" t="s">
        <v>12</v>
      </c>
      <c r="G556" t="s">
        <v>14</v>
      </c>
      <c r="H556" s="1" t="s">
        <v>236</v>
      </c>
      <c r="I556" t="s">
        <v>18</v>
      </c>
      <c r="J556" s="4">
        <v>3.9</v>
      </c>
      <c r="K556" s="4">
        <v>50.023000000000003</v>
      </c>
      <c r="L556" s="4">
        <v>7</v>
      </c>
      <c r="M556" s="4">
        <v>54.8</v>
      </c>
      <c r="N556" s="4">
        <v>188.01490000000001</v>
      </c>
      <c r="O556" s="4">
        <v>135.24</v>
      </c>
      <c r="P556" s="4">
        <v>3.8764546470000001</v>
      </c>
      <c r="Q556" s="4">
        <v>44.884999999999998</v>
      </c>
      <c r="R556" t="str" cm="1">
        <f t="array" ref="R556">_xlfn.IFS(B556="NY","New York",B556="TX","Texas",B556="CA","California")</f>
        <v>New York</v>
      </c>
    </row>
    <row r="557" spans="1:18" x14ac:dyDescent="0.3">
      <c r="A557" t="s">
        <v>3</v>
      </c>
      <c r="B557" t="s">
        <v>8</v>
      </c>
      <c r="C557" s="2">
        <v>43224</v>
      </c>
      <c r="D557" s="11" t="s">
        <v>211</v>
      </c>
      <c r="E557" s="3">
        <f t="shared" ca="1" si="8"/>
        <v>162447734</v>
      </c>
      <c r="F557" t="s">
        <v>12</v>
      </c>
      <c r="G557" t="s">
        <v>15</v>
      </c>
      <c r="H557" s="1" t="s">
        <v>237</v>
      </c>
      <c r="I557" t="s">
        <v>19</v>
      </c>
      <c r="J557" s="4">
        <v>9.1</v>
      </c>
      <c r="K557" s="4">
        <v>36.369999999999997</v>
      </c>
      <c r="L557" s="4">
        <v>3</v>
      </c>
      <c r="M557" s="4">
        <v>21.97</v>
      </c>
      <c r="N557" s="4">
        <v>123.02119999999999</v>
      </c>
      <c r="O557" s="4">
        <v>112.44</v>
      </c>
      <c r="P557" s="4">
        <v>3.8764546470000001</v>
      </c>
      <c r="Q557" s="4">
        <v>78.27</v>
      </c>
      <c r="R557" t="str" cm="1">
        <f t="array" ref="R557">_xlfn.IFS(B557="NY","New York",B557="TX","Texas",B557="CA","California")</f>
        <v>California</v>
      </c>
    </row>
    <row r="558" spans="1:18" x14ac:dyDescent="0.3">
      <c r="A558" t="s">
        <v>3</v>
      </c>
      <c r="B558" t="s">
        <v>8</v>
      </c>
      <c r="C558" s="2">
        <v>42966</v>
      </c>
      <c r="D558" s="11" t="s">
        <v>158</v>
      </c>
      <c r="E558" s="3">
        <f t="shared" ca="1" si="8"/>
        <v>921234389</v>
      </c>
      <c r="F558" t="s">
        <v>11</v>
      </c>
      <c r="G558" t="s">
        <v>14</v>
      </c>
      <c r="H558" s="1" t="s">
        <v>236</v>
      </c>
      <c r="I558" t="s">
        <v>22</v>
      </c>
      <c r="J558" s="4">
        <v>8.6999999999999993</v>
      </c>
      <c r="K558" s="4">
        <v>75.45</v>
      </c>
      <c r="L558" s="4">
        <v>2</v>
      </c>
      <c r="M558" s="4">
        <v>99.87</v>
      </c>
      <c r="N558" s="4">
        <v>154.09030000000001</v>
      </c>
      <c r="O558" s="4">
        <v>144.08000000000001</v>
      </c>
      <c r="P558" s="4">
        <v>3.8764546470000001</v>
      </c>
      <c r="Q558" s="4">
        <v>93.97</v>
      </c>
      <c r="R558" t="str" cm="1">
        <f t="array" ref="R558">_xlfn.IFS(B558="NY","New York",B558="TX","Texas",B558="CA","California")</f>
        <v>California</v>
      </c>
    </row>
    <row r="559" spans="1:18" x14ac:dyDescent="0.3">
      <c r="A559" t="s">
        <v>2</v>
      </c>
      <c r="B559" t="s">
        <v>7</v>
      </c>
      <c r="C559" s="2">
        <v>43351</v>
      </c>
      <c r="D559" s="11" t="s">
        <v>37</v>
      </c>
      <c r="E559" s="3">
        <f t="shared" ca="1" si="8"/>
        <v>515789396</v>
      </c>
      <c r="F559" t="s">
        <v>11</v>
      </c>
      <c r="G559" t="s">
        <v>14</v>
      </c>
      <c r="H559" s="1" t="s">
        <v>235</v>
      </c>
      <c r="I559" t="s">
        <v>21</v>
      </c>
      <c r="J559" s="4">
        <v>2.5</v>
      </c>
      <c r="K559" s="4">
        <v>95.82</v>
      </c>
      <c r="L559" s="4">
        <v>10</v>
      </c>
      <c r="M559" s="4">
        <v>89.43</v>
      </c>
      <c r="N559" s="4">
        <v>115.1062</v>
      </c>
      <c r="O559" s="4">
        <v>985.2</v>
      </c>
      <c r="P559" s="4">
        <v>3.8764546470000001</v>
      </c>
      <c r="Q559" s="4">
        <v>42.55</v>
      </c>
      <c r="R559" t="str" cm="1">
        <f t="array" ref="R559">_xlfn.IFS(B559="NY","New York",B559="TX","Texas",B559="CA","California")</f>
        <v>Texas</v>
      </c>
    </row>
    <row r="560" spans="1:18" x14ac:dyDescent="0.3">
      <c r="A560" t="s">
        <v>1</v>
      </c>
      <c r="B560" t="s">
        <v>6</v>
      </c>
      <c r="C560" s="2">
        <v>42901</v>
      </c>
      <c r="D560" s="11" t="s">
        <v>87</v>
      </c>
      <c r="E560" s="3">
        <f t="shared" ca="1" si="8"/>
        <v>806730869</v>
      </c>
      <c r="F560" t="s">
        <v>12</v>
      </c>
      <c r="G560" t="s">
        <v>14</v>
      </c>
      <c r="H560" s="1" t="s">
        <v>235</v>
      </c>
      <c r="I560" t="s">
        <v>21</v>
      </c>
      <c r="J560" s="4">
        <v>4.9000000000000004</v>
      </c>
      <c r="K560" s="4">
        <v>41.08</v>
      </c>
      <c r="L560" s="4">
        <v>6</v>
      </c>
      <c r="M560" s="4">
        <v>39.380000000000003</v>
      </c>
      <c r="N560" s="4">
        <v>127.206</v>
      </c>
      <c r="O560" s="4">
        <v>249.96</v>
      </c>
      <c r="P560" s="4">
        <v>3.8764546470000001</v>
      </c>
      <c r="Q560" s="4">
        <v>32.049999999999997</v>
      </c>
      <c r="R560" t="str" cm="1">
        <f t="array" ref="R560">_xlfn.IFS(B560="NY","New York",B560="TX","Texas",B560="CA","California")</f>
        <v>New York</v>
      </c>
    </row>
    <row r="561" spans="1:18" x14ac:dyDescent="0.3">
      <c r="A561" t="s">
        <v>1</v>
      </c>
      <c r="B561" t="s">
        <v>6</v>
      </c>
      <c r="C561" s="2">
        <v>43078</v>
      </c>
      <c r="D561" s="11" t="s">
        <v>81</v>
      </c>
      <c r="E561" s="3">
        <f t="shared" ca="1" si="8"/>
        <v>116097946</v>
      </c>
      <c r="F561" t="s">
        <v>11</v>
      </c>
      <c r="G561" t="s">
        <v>14</v>
      </c>
      <c r="H561" s="1" t="s">
        <v>235</v>
      </c>
      <c r="I561" t="s">
        <v>19</v>
      </c>
      <c r="J561" s="4">
        <v>9</v>
      </c>
      <c r="K561" s="4">
        <v>85.34</v>
      </c>
      <c r="L561" s="4">
        <v>3</v>
      </c>
      <c r="M561" s="4">
        <v>53.42</v>
      </c>
      <c r="N561" s="4">
        <v>119.8306</v>
      </c>
      <c r="O561" s="4">
        <v>217.26</v>
      </c>
      <c r="P561" s="4">
        <v>3.8764546470000001</v>
      </c>
      <c r="Q561" s="4">
        <v>81.091999999999999</v>
      </c>
      <c r="R561" t="str" cm="1">
        <f t="array" ref="R561">_xlfn.IFS(B561="NY","New York",B561="TX","Texas",B561="CA","California")</f>
        <v>New York</v>
      </c>
    </row>
    <row r="562" spans="1:18" x14ac:dyDescent="0.3">
      <c r="A562" t="s">
        <v>3</v>
      </c>
      <c r="B562" t="s">
        <v>8</v>
      </c>
      <c r="C562" s="2">
        <v>43278</v>
      </c>
      <c r="D562" s="11" t="s">
        <v>109</v>
      </c>
      <c r="E562" s="3">
        <f t="shared" ca="1" si="8"/>
        <v>575189162</v>
      </c>
      <c r="F562" t="s">
        <v>12</v>
      </c>
      <c r="G562" t="s">
        <v>15</v>
      </c>
      <c r="H562" s="1" t="s">
        <v>236</v>
      </c>
      <c r="I562" t="s">
        <v>18</v>
      </c>
      <c r="J562" s="4">
        <v>8</v>
      </c>
      <c r="K562" s="4">
        <v>35.01</v>
      </c>
      <c r="L562" s="4">
        <v>9</v>
      </c>
      <c r="M562" s="4">
        <v>100</v>
      </c>
      <c r="N562" s="4">
        <v>178.86490000000001</v>
      </c>
      <c r="O562" s="4">
        <v>194.22</v>
      </c>
      <c r="P562" s="4">
        <v>3.8764546470000001</v>
      </c>
      <c r="Q562" s="4">
        <v>22.975999999999999</v>
      </c>
      <c r="R562" t="str" cm="1">
        <f t="array" ref="R562">_xlfn.IFS(B562="NY","New York",B562="TX","Texas",B562="CA","California")</f>
        <v>California</v>
      </c>
    </row>
    <row r="563" spans="1:18" x14ac:dyDescent="0.3">
      <c r="A563" t="s">
        <v>2</v>
      </c>
      <c r="B563" t="s">
        <v>7</v>
      </c>
      <c r="C563" s="2">
        <v>42853</v>
      </c>
      <c r="D563" s="11" t="s">
        <v>89</v>
      </c>
      <c r="E563" s="3">
        <f t="shared" ca="1" si="8"/>
        <v>245300936</v>
      </c>
      <c r="F563" t="s">
        <v>12</v>
      </c>
      <c r="G563" t="s">
        <v>15</v>
      </c>
      <c r="H563" s="1" t="s">
        <v>237</v>
      </c>
      <c r="I563" t="s">
        <v>21</v>
      </c>
      <c r="J563" s="4">
        <v>9</v>
      </c>
      <c r="K563" s="4">
        <v>68.319999999999993</v>
      </c>
      <c r="L563" s="4">
        <v>10</v>
      </c>
      <c r="M563" s="4">
        <v>68.430000000000007</v>
      </c>
      <c r="N563" s="4">
        <v>147.87729999999999</v>
      </c>
      <c r="O563" s="4">
        <v>892</v>
      </c>
      <c r="P563" s="4">
        <v>3.8764546470000001</v>
      </c>
      <c r="Q563" s="4">
        <v>92.820999999999998</v>
      </c>
      <c r="R563" t="str" cm="1">
        <f t="array" ref="R563">_xlfn.IFS(B563="NY","New York",B563="TX","Texas",B563="CA","California")</f>
        <v>Texas</v>
      </c>
    </row>
    <row r="564" spans="1:18" x14ac:dyDescent="0.3">
      <c r="A564" t="s">
        <v>3</v>
      </c>
      <c r="B564" t="s">
        <v>8</v>
      </c>
      <c r="C564" s="2">
        <v>43094</v>
      </c>
      <c r="D564" s="11" t="s">
        <v>120</v>
      </c>
      <c r="E564" s="3">
        <f t="shared" ca="1" si="8"/>
        <v>805305590</v>
      </c>
      <c r="F564" t="s">
        <v>11</v>
      </c>
      <c r="G564" t="s">
        <v>15</v>
      </c>
      <c r="H564" s="1" t="s">
        <v>235</v>
      </c>
      <c r="I564" t="s">
        <v>18</v>
      </c>
      <c r="J564" s="4">
        <v>2</v>
      </c>
      <c r="K564" s="4">
        <v>19.196000000000002</v>
      </c>
      <c r="L564" s="4">
        <v>8</v>
      </c>
      <c r="M564" s="4">
        <v>72.849999999999994</v>
      </c>
      <c r="N564" s="4">
        <v>133.56219999999999</v>
      </c>
      <c r="O564" s="4">
        <v>339.36</v>
      </c>
      <c r="P564" s="4">
        <v>3.8764546470000001</v>
      </c>
      <c r="Q564" s="4">
        <v>72.456999999999994</v>
      </c>
      <c r="R564" t="str" cm="1">
        <f t="array" ref="R564">_xlfn.IFS(B564="NY","New York",B564="TX","Texas",B564="CA","California")</f>
        <v>California</v>
      </c>
    </row>
    <row r="565" spans="1:18" x14ac:dyDescent="0.3">
      <c r="A565" t="s">
        <v>1</v>
      </c>
      <c r="B565" t="s">
        <v>6</v>
      </c>
      <c r="C565" s="2">
        <v>43008</v>
      </c>
      <c r="D565" s="11" t="s">
        <v>137</v>
      </c>
      <c r="E565" s="3">
        <f t="shared" ca="1" si="8"/>
        <v>949411082</v>
      </c>
      <c r="F565" t="s">
        <v>12</v>
      </c>
      <c r="G565" t="s">
        <v>14</v>
      </c>
      <c r="H565" s="1" t="s">
        <v>235</v>
      </c>
      <c r="I565" t="s">
        <v>18</v>
      </c>
      <c r="J565" s="4">
        <v>4</v>
      </c>
      <c r="K565" s="4">
        <v>26.38</v>
      </c>
      <c r="L565" s="4">
        <v>6</v>
      </c>
      <c r="M565" s="4">
        <v>75.58</v>
      </c>
      <c r="N565" s="4">
        <v>114.931</v>
      </c>
      <c r="O565" s="4">
        <v>447.06</v>
      </c>
      <c r="P565" s="4">
        <v>3.8764546470000001</v>
      </c>
      <c r="Q565" s="4">
        <v>25.06</v>
      </c>
      <c r="R565" t="str" cm="1">
        <f t="array" ref="R565">_xlfn.IFS(B565="NY","New York",B565="TX","Texas",B565="CA","California")</f>
        <v>New York</v>
      </c>
    </row>
    <row r="566" spans="1:18" x14ac:dyDescent="0.3">
      <c r="A566" t="s">
        <v>3</v>
      </c>
      <c r="B566" t="s">
        <v>8</v>
      </c>
      <c r="C566" s="2">
        <v>43419</v>
      </c>
      <c r="D566" s="11" t="s">
        <v>53</v>
      </c>
      <c r="E566" s="3">
        <f t="shared" ca="1" si="8"/>
        <v>231947655</v>
      </c>
      <c r="F566" t="s">
        <v>12</v>
      </c>
      <c r="G566" t="s">
        <v>15</v>
      </c>
      <c r="H566" s="1" t="s">
        <v>236</v>
      </c>
      <c r="I566" t="s">
        <v>22</v>
      </c>
      <c r="J566" s="4">
        <v>1</v>
      </c>
      <c r="K566" s="4">
        <v>68.19</v>
      </c>
      <c r="L566" s="4">
        <v>2</v>
      </c>
      <c r="M566" s="4">
        <v>85.01</v>
      </c>
      <c r="N566" s="4">
        <v>120.2705</v>
      </c>
      <c r="O566" s="4">
        <v>198.5</v>
      </c>
      <c r="P566" s="4">
        <v>3.8764546470000001</v>
      </c>
      <c r="Q566" s="4">
        <v>93.733999999999995</v>
      </c>
      <c r="R566" t="str" cm="1">
        <f t="array" ref="R566">_xlfn.IFS(B566="NY","New York",B566="TX","Texas",B566="CA","California")</f>
        <v>California</v>
      </c>
    </row>
    <row r="567" spans="1:18" x14ac:dyDescent="0.3">
      <c r="A567" t="s">
        <v>1</v>
      </c>
      <c r="B567" t="s">
        <v>6</v>
      </c>
      <c r="C567" s="2">
        <v>43308</v>
      </c>
      <c r="D567" s="11" t="s">
        <v>190</v>
      </c>
      <c r="E567" s="3">
        <f t="shared" ca="1" si="8"/>
        <v>371953385</v>
      </c>
      <c r="F567" t="s">
        <v>11</v>
      </c>
      <c r="G567" t="s">
        <v>15</v>
      </c>
      <c r="H567" s="1" t="s">
        <v>237</v>
      </c>
      <c r="I567" t="s">
        <v>21</v>
      </c>
      <c r="J567" s="4">
        <v>1</v>
      </c>
      <c r="K567" s="4">
        <v>26.33</v>
      </c>
      <c r="L567" s="4">
        <v>10</v>
      </c>
      <c r="M567" s="4">
        <v>57.27</v>
      </c>
      <c r="N567" s="4">
        <v>129.35130000000001</v>
      </c>
      <c r="O567" s="4">
        <v>812.1</v>
      </c>
      <c r="P567" s="4">
        <v>3.8764546470000001</v>
      </c>
      <c r="Q567" s="4">
        <v>89.897999999999996</v>
      </c>
      <c r="R567" t="str" cm="1">
        <f t="array" ref="R567">_xlfn.IFS(B567="NY","New York",B567="TX","Texas",B567="CA","California")</f>
        <v>New York</v>
      </c>
    </row>
    <row r="568" spans="1:18" x14ac:dyDescent="0.3">
      <c r="A568" t="s">
        <v>2</v>
      </c>
      <c r="B568" t="s">
        <v>7</v>
      </c>
      <c r="C568" s="2">
        <v>42934</v>
      </c>
      <c r="D568" s="11" t="s">
        <v>75</v>
      </c>
      <c r="E568" s="3">
        <f t="shared" ca="1" si="8"/>
        <v>115347087</v>
      </c>
      <c r="F568" t="s">
        <v>11</v>
      </c>
      <c r="G568" t="s">
        <v>15</v>
      </c>
      <c r="H568" s="1" t="s">
        <v>237</v>
      </c>
      <c r="I568" t="s">
        <v>20</v>
      </c>
      <c r="J568" s="4">
        <v>8.6</v>
      </c>
      <c r="K568" s="4">
        <v>40.47</v>
      </c>
      <c r="L568" s="4">
        <v>10</v>
      </c>
      <c r="M568" s="4">
        <v>73.61</v>
      </c>
      <c r="N568" s="4">
        <v>138.9752</v>
      </c>
      <c r="O568" s="4">
        <v>493.3</v>
      </c>
      <c r="P568" s="4">
        <v>3.8764546470000001</v>
      </c>
      <c r="Q568" s="4">
        <v>31.77</v>
      </c>
      <c r="R568" t="str" cm="1">
        <f t="array" ref="R568">_xlfn.IFS(B568="NY","New York",B568="TX","Texas",B568="CA","California")</f>
        <v>Texas</v>
      </c>
    </row>
    <row r="569" spans="1:18" x14ac:dyDescent="0.3">
      <c r="A569" t="s">
        <v>1</v>
      </c>
      <c r="B569" t="s">
        <v>6</v>
      </c>
      <c r="C569" s="2">
        <v>43252</v>
      </c>
      <c r="D569" s="11" t="s">
        <v>190</v>
      </c>
      <c r="E569" s="3">
        <f t="shared" ca="1" si="8"/>
        <v>197770683</v>
      </c>
      <c r="F569" t="s">
        <v>11</v>
      </c>
      <c r="G569" t="s">
        <v>15</v>
      </c>
      <c r="H569" s="1" t="s">
        <v>236</v>
      </c>
      <c r="I569" t="s">
        <v>22</v>
      </c>
      <c r="J569" s="4">
        <v>6.2</v>
      </c>
      <c r="K569" s="4">
        <v>23.391999999999999</v>
      </c>
      <c r="L569" s="4">
        <v>9</v>
      </c>
      <c r="M569" s="4">
        <v>79.62</v>
      </c>
      <c r="N569" s="4">
        <v>140.64439999999999</v>
      </c>
      <c r="O569" s="4">
        <v>591.66</v>
      </c>
      <c r="P569" s="4">
        <v>3.8764546470000001</v>
      </c>
      <c r="Q569" s="4">
        <v>22.31</v>
      </c>
      <c r="R569" t="str" cm="1">
        <f t="array" ref="R569">_xlfn.IFS(B569="NY","New York",B569="TX","Texas",B569="CA","California")</f>
        <v>New York</v>
      </c>
    </row>
    <row r="570" spans="1:18" x14ac:dyDescent="0.3">
      <c r="A570" t="s">
        <v>3</v>
      </c>
      <c r="B570" t="s">
        <v>8</v>
      </c>
      <c r="C570" s="2">
        <v>43465</v>
      </c>
      <c r="D570" s="11" t="s">
        <v>147</v>
      </c>
      <c r="E570" s="3">
        <f t="shared" ca="1" si="8"/>
        <v>631459291</v>
      </c>
      <c r="F570" t="s">
        <v>11</v>
      </c>
      <c r="G570" t="s">
        <v>15</v>
      </c>
      <c r="H570" s="1" t="s">
        <v>237</v>
      </c>
      <c r="I570" t="s">
        <v>22</v>
      </c>
      <c r="J570" s="4">
        <v>1.2</v>
      </c>
      <c r="K570" s="4">
        <v>56.11</v>
      </c>
      <c r="L570" s="4">
        <v>7</v>
      </c>
      <c r="M570" s="4">
        <v>39.869999999999997</v>
      </c>
      <c r="N570" s="4">
        <v>143.34819999999999</v>
      </c>
      <c r="O570" s="4">
        <v>559.02</v>
      </c>
      <c r="P570" s="4">
        <v>3.8764546470000001</v>
      </c>
      <c r="Q570" s="4">
        <v>40.880000000000003</v>
      </c>
      <c r="R570" t="str" cm="1">
        <f t="array" ref="R570">_xlfn.IFS(B570="NY","New York",B570="TX","Texas",B570="CA","California")</f>
        <v>California</v>
      </c>
    </row>
    <row r="571" spans="1:18" x14ac:dyDescent="0.3">
      <c r="A571" t="s">
        <v>2</v>
      </c>
      <c r="B571" t="s">
        <v>7</v>
      </c>
      <c r="C571" s="2">
        <v>43322</v>
      </c>
      <c r="D571" s="11" t="s">
        <v>215</v>
      </c>
      <c r="E571" s="3">
        <f t="shared" ca="1" si="8"/>
        <v>619806832</v>
      </c>
      <c r="F571" t="s">
        <v>11</v>
      </c>
      <c r="G571" t="s">
        <v>15</v>
      </c>
      <c r="H571" s="1" t="s">
        <v>235</v>
      </c>
      <c r="I571" t="s">
        <v>20</v>
      </c>
      <c r="J571" s="4">
        <v>9.1999999999999993</v>
      </c>
      <c r="K571" s="4">
        <v>39.817999999999998</v>
      </c>
      <c r="L571" s="4">
        <v>7</v>
      </c>
      <c r="M571" s="4">
        <v>90.97</v>
      </c>
      <c r="N571" s="4">
        <v>136.44499999999999</v>
      </c>
      <c r="O571" s="4">
        <v>517.86</v>
      </c>
      <c r="P571" s="4">
        <v>3.8764546470000001</v>
      </c>
      <c r="Q571" s="4">
        <v>60.06</v>
      </c>
      <c r="R571" t="str" cm="1">
        <f t="array" ref="R571">_xlfn.IFS(B571="NY","New York",B571="TX","Texas",B571="CA","California")</f>
        <v>Texas</v>
      </c>
    </row>
    <row r="572" spans="1:18" x14ac:dyDescent="0.3">
      <c r="A572" t="s">
        <v>3</v>
      </c>
      <c r="B572" t="s">
        <v>8</v>
      </c>
      <c r="C572" s="2">
        <v>43245</v>
      </c>
      <c r="D572" s="11" t="s">
        <v>45</v>
      </c>
      <c r="E572" s="3">
        <f t="shared" ca="1" si="8"/>
        <v>608817825</v>
      </c>
      <c r="F572" t="s">
        <v>11</v>
      </c>
      <c r="G572" t="s">
        <v>14</v>
      </c>
      <c r="H572" s="1" t="s">
        <v>237</v>
      </c>
      <c r="I572" t="s">
        <v>19</v>
      </c>
      <c r="J572" s="4">
        <v>1.3</v>
      </c>
      <c r="K572" s="4">
        <v>80.61</v>
      </c>
      <c r="L572" s="4">
        <v>5</v>
      </c>
      <c r="M572" s="4">
        <v>52.98</v>
      </c>
      <c r="N572" s="4">
        <v>154.00960000000001</v>
      </c>
      <c r="O572" s="4">
        <v>410.2</v>
      </c>
      <c r="P572" s="4">
        <v>3.8764546470000001</v>
      </c>
      <c r="Q572" s="4">
        <v>45.16</v>
      </c>
      <c r="R572" t="str" cm="1">
        <f t="array" ref="R572">_xlfn.IFS(B572="NY","New York",B572="TX","Texas",B572="CA","California")</f>
        <v>California</v>
      </c>
    </row>
    <row r="573" spans="1:18" x14ac:dyDescent="0.3">
      <c r="A573" t="s">
        <v>3</v>
      </c>
      <c r="B573" t="s">
        <v>8</v>
      </c>
      <c r="C573" s="2">
        <v>42964</v>
      </c>
      <c r="D573" s="11" t="s">
        <v>122</v>
      </c>
      <c r="E573" s="3">
        <f t="shared" ca="1" si="8"/>
        <v>534072069</v>
      </c>
      <c r="F573" t="s">
        <v>12</v>
      </c>
      <c r="G573" t="s">
        <v>14</v>
      </c>
      <c r="H573" s="1" t="s">
        <v>236</v>
      </c>
      <c r="I573" t="s">
        <v>20</v>
      </c>
      <c r="J573" s="4">
        <v>4.7</v>
      </c>
      <c r="K573" s="4">
        <v>85.3</v>
      </c>
      <c r="L573" s="4">
        <v>10</v>
      </c>
      <c r="M573" s="4">
        <v>16.84</v>
      </c>
      <c r="N573" s="4">
        <v>121.0536</v>
      </c>
      <c r="O573" s="4">
        <v>266.7</v>
      </c>
      <c r="P573" s="4">
        <v>3.8764546470000001</v>
      </c>
      <c r="Q573" s="4">
        <v>78.947999999999993</v>
      </c>
      <c r="R573" t="str" cm="1">
        <f t="array" ref="R573">_xlfn.IFS(B573="NY","New York",B573="TX","Texas",B573="CA","California")</f>
        <v>California</v>
      </c>
    </row>
    <row r="574" spans="1:18" x14ac:dyDescent="0.3">
      <c r="A574" t="s">
        <v>1</v>
      </c>
      <c r="B574" t="s">
        <v>6</v>
      </c>
      <c r="C574" s="2">
        <v>43453</v>
      </c>
      <c r="D574" s="11" t="s">
        <v>62</v>
      </c>
      <c r="E574" s="3">
        <f t="shared" ca="1" si="8"/>
        <v>318324461</v>
      </c>
      <c r="F574" t="s">
        <v>12</v>
      </c>
      <c r="G574" t="s">
        <v>14</v>
      </c>
      <c r="H574" s="1" t="s">
        <v>235</v>
      </c>
      <c r="I574" t="s">
        <v>21</v>
      </c>
      <c r="J574" s="4">
        <v>6</v>
      </c>
      <c r="K574" s="4">
        <v>42.69</v>
      </c>
      <c r="L574" s="4">
        <v>7</v>
      </c>
      <c r="M574" s="4">
        <v>71.72</v>
      </c>
      <c r="N574" s="4">
        <v>148.5266</v>
      </c>
      <c r="O574" s="4">
        <v>70.91</v>
      </c>
      <c r="P574" s="4">
        <v>3.8764546470000001</v>
      </c>
      <c r="Q574" s="4">
        <v>88.424999999999997</v>
      </c>
      <c r="R574" t="str" cm="1">
        <f t="array" ref="R574">_xlfn.IFS(B574="NY","New York",B574="TX","Texas",B574="CA","California")</f>
        <v>New York</v>
      </c>
    </row>
    <row r="575" spans="1:18" x14ac:dyDescent="0.3">
      <c r="A575" t="s">
        <v>3</v>
      </c>
      <c r="B575" t="s">
        <v>8</v>
      </c>
      <c r="C575" s="2">
        <v>43440</v>
      </c>
      <c r="D575" s="11" t="s">
        <v>218</v>
      </c>
      <c r="E575" s="3">
        <f t="shared" ca="1" si="8"/>
        <v>735610609</v>
      </c>
      <c r="F575" t="s">
        <v>12</v>
      </c>
      <c r="G575" t="s">
        <v>15</v>
      </c>
      <c r="H575" s="1" t="s">
        <v>237</v>
      </c>
      <c r="I575" t="s">
        <v>21</v>
      </c>
      <c r="J575" s="4">
        <v>4</v>
      </c>
      <c r="K575" s="4">
        <v>30.08</v>
      </c>
      <c r="L575" s="4">
        <v>2</v>
      </c>
      <c r="M575" s="4">
        <v>63.05</v>
      </c>
      <c r="N575" s="4">
        <v>160.76609999999999</v>
      </c>
      <c r="O575" s="4">
        <v>144.78</v>
      </c>
      <c r="P575" s="4">
        <v>3.8764546470000001</v>
      </c>
      <c r="Q575" s="4">
        <v>45.116999999999997</v>
      </c>
      <c r="R575" t="str" cm="1">
        <f t="array" ref="R575">_xlfn.IFS(B575="NY","New York",B575="TX","Texas",B575="CA","California")</f>
        <v>California</v>
      </c>
    </row>
    <row r="576" spans="1:18" x14ac:dyDescent="0.3">
      <c r="A576" t="s">
        <v>1</v>
      </c>
      <c r="B576" t="s">
        <v>6</v>
      </c>
      <c r="C576" s="2">
        <v>43121</v>
      </c>
      <c r="D576" s="11" t="s">
        <v>150</v>
      </c>
      <c r="E576" s="3">
        <f t="shared" ca="1" si="8"/>
        <v>918901106</v>
      </c>
      <c r="F576" t="s">
        <v>12</v>
      </c>
      <c r="G576" t="s">
        <v>15</v>
      </c>
      <c r="H576" s="1" t="s">
        <v>237</v>
      </c>
      <c r="I576" t="s">
        <v>20</v>
      </c>
      <c r="J576" s="4">
        <v>2</v>
      </c>
      <c r="K576" s="4">
        <v>85.73</v>
      </c>
      <c r="L576" s="4">
        <v>5</v>
      </c>
      <c r="M576" s="4">
        <v>74.209999999999994</v>
      </c>
      <c r="N576" s="4">
        <v>111.818</v>
      </c>
      <c r="O576" s="4">
        <v>429.55</v>
      </c>
      <c r="P576" s="4">
        <v>3.8764546470000001</v>
      </c>
      <c r="Q576" s="4">
        <v>91.591999999999999</v>
      </c>
      <c r="R576" t="str" cm="1">
        <f t="array" ref="R576">_xlfn.IFS(B576="NY","New York",B576="TX","Texas",B576="CA","California")</f>
        <v>New York</v>
      </c>
    </row>
    <row r="577" spans="1:18" x14ac:dyDescent="0.3">
      <c r="A577" t="s">
        <v>3</v>
      </c>
      <c r="B577" t="s">
        <v>8</v>
      </c>
      <c r="C577" s="2">
        <v>43019</v>
      </c>
      <c r="D577" s="11" t="s">
        <v>144</v>
      </c>
      <c r="E577" s="3">
        <f t="shared" ca="1" si="8"/>
        <v>221195895</v>
      </c>
      <c r="F577" t="s">
        <v>12</v>
      </c>
      <c r="G577" t="s">
        <v>14</v>
      </c>
      <c r="H577" s="1" t="s">
        <v>235</v>
      </c>
      <c r="I577" t="s">
        <v>22</v>
      </c>
      <c r="J577" s="4">
        <v>6</v>
      </c>
      <c r="K577" s="4">
        <v>54.82</v>
      </c>
      <c r="L577" s="4">
        <v>7</v>
      </c>
      <c r="M577" s="4">
        <v>56.66</v>
      </c>
      <c r="N577" s="4">
        <v>114.6844</v>
      </c>
      <c r="O577" s="4">
        <v>569.16999999999996</v>
      </c>
      <c r="P577" s="4">
        <v>3.8764546470000001</v>
      </c>
      <c r="Q577" s="4">
        <v>83.388999999999996</v>
      </c>
      <c r="R577" t="str" cm="1">
        <f t="array" ref="R577">_xlfn.IFS(B577="NY","New York",B577="TX","Texas",B577="CA","California")</f>
        <v>California</v>
      </c>
    </row>
    <row r="578" spans="1:18" x14ac:dyDescent="0.3">
      <c r="A578" t="s">
        <v>3</v>
      </c>
      <c r="B578" t="s">
        <v>8</v>
      </c>
      <c r="C578" s="2">
        <v>43192</v>
      </c>
      <c r="D578" s="11" t="s">
        <v>98</v>
      </c>
      <c r="E578" s="3">
        <f t="shared" ca="1" si="8"/>
        <v>311777719</v>
      </c>
      <c r="F578" t="s">
        <v>12</v>
      </c>
      <c r="G578" t="s">
        <v>15</v>
      </c>
      <c r="H578" s="1" t="s">
        <v>236</v>
      </c>
      <c r="I578" t="s">
        <v>21</v>
      </c>
      <c r="J578" s="4">
        <v>8</v>
      </c>
      <c r="K578" s="4">
        <v>19.690000000000001</v>
      </c>
      <c r="L578" s="4">
        <v>4</v>
      </c>
      <c r="M578" s="4">
        <v>54.13</v>
      </c>
      <c r="N578" s="4">
        <v>116.1444</v>
      </c>
      <c r="O578" s="4">
        <v>241.2</v>
      </c>
      <c r="P578" s="4">
        <v>3.8764546470000001</v>
      </c>
      <c r="Q578" s="4">
        <v>58.283000000000001</v>
      </c>
      <c r="R578" t="str" cm="1">
        <f t="array" ref="R578">_xlfn.IFS(B578="NY","New York",B578="TX","Texas",B578="CA","California")</f>
        <v>California</v>
      </c>
    </row>
    <row r="579" spans="1:18" x14ac:dyDescent="0.3">
      <c r="A579" t="s">
        <v>2</v>
      </c>
      <c r="B579" t="s">
        <v>7</v>
      </c>
      <c r="C579" s="2">
        <v>43160</v>
      </c>
      <c r="D579" s="11" t="s">
        <v>33</v>
      </c>
      <c r="E579" s="3">
        <f t="shared" ref="E579:E642" ca="1" si="9">RANDBETWEEN(10000000,1000000000)</f>
        <v>546958912</v>
      </c>
      <c r="F579" t="s">
        <v>12</v>
      </c>
      <c r="G579" t="s">
        <v>15</v>
      </c>
      <c r="H579" s="1" t="s">
        <v>235</v>
      </c>
      <c r="I579" t="s">
        <v>21</v>
      </c>
      <c r="J579" s="4">
        <v>9</v>
      </c>
      <c r="K579" s="4">
        <v>13.35</v>
      </c>
      <c r="L579" s="4">
        <v>4</v>
      </c>
      <c r="M579" s="4">
        <v>74.599999999999994</v>
      </c>
      <c r="N579" s="4">
        <v>118.4068</v>
      </c>
      <c r="O579" s="4">
        <v>127.08</v>
      </c>
      <c r="P579" s="4">
        <v>3.8764546470000001</v>
      </c>
      <c r="Q579" s="4">
        <v>60.414999999999999</v>
      </c>
      <c r="R579" t="str" cm="1">
        <f t="array" ref="R579">_xlfn.IFS(B579="NY","New York",B579="TX","Texas",B579="CA","California")</f>
        <v>Texas</v>
      </c>
    </row>
    <row r="580" spans="1:18" x14ac:dyDescent="0.3">
      <c r="A580" t="s">
        <v>1</v>
      </c>
      <c r="B580" t="s">
        <v>6</v>
      </c>
      <c r="C580" s="2">
        <v>43388</v>
      </c>
      <c r="D580" s="11" t="s">
        <v>198</v>
      </c>
      <c r="E580" s="3">
        <f t="shared" ca="1" si="9"/>
        <v>580942774</v>
      </c>
      <c r="F580" t="s">
        <v>11</v>
      </c>
      <c r="G580" t="s">
        <v>15</v>
      </c>
      <c r="H580" s="1" t="s">
        <v>236</v>
      </c>
      <c r="I580" t="s">
        <v>17</v>
      </c>
      <c r="J580" s="4">
        <v>6</v>
      </c>
      <c r="K580" s="4">
        <v>62.47</v>
      </c>
      <c r="L580" s="4">
        <v>4</v>
      </c>
      <c r="M580" s="4">
        <v>91.35</v>
      </c>
      <c r="N580" s="4">
        <v>178.81059999999999</v>
      </c>
      <c r="O580" s="4">
        <v>257.08</v>
      </c>
      <c r="P580" s="4">
        <v>3.8764546470000001</v>
      </c>
      <c r="Q580" s="4">
        <v>90.152000000000001</v>
      </c>
      <c r="R580" t="str" cm="1">
        <f t="array" ref="R580">_xlfn.IFS(B580="NY","New York",B580="TX","Texas",B580="CA","California")</f>
        <v>New York</v>
      </c>
    </row>
    <row r="581" spans="1:18" x14ac:dyDescent="0.3">
      <c r="A581" t="s">
        <v>3</v>
      </c>
      <c r="B581" t="s">
        <v>8</v>
      </c>
      <c r="C581" s="2">
        <v>43424</v>
      </c>
      <c r="D581" s="11" t="s">
        <v>42</v>
      </c>
      <c r="E581" s="3">
        <f t="shared" ca="1" si="9"/>
        <v>819788626</v>
      </c>
      <c r="F581" t="s">
        <v>12</v>
      </c>
      <c r="G581" t="s">
        <v>15</v>
      </c>
      <c r="H581" s="1" t="s">
        <v>235</v>
      </c>
      <c r="I581" t="s">
        <v>17</v>
      </c>
      <c r="J581" s="4">
        <v>4.4000000000000004</v>
      </c>
      <c r="K581" s="4">
        <v>13.73</v>
      </c>
      <c r="L581" s="4">
        <v>2</v>
      </c>
      <c r="M581" s="4">
        <v>48.63</v>
      </c>
      <c r="N581" s="4">
        <v>152.27979999999999</v>
      </c>
      <c r="O581" s="4">
        <v>139.02000000000001</v>
      </c>
      <c r="P581" s="4">
        <v>3.8764546470000001</v>
      </c>
      <c r="Q581" s="4">
        <v>78.730999999999995</v>
      </c>
      <c r="R581" t="str" cm="1">
        <f t="array" ref="R581">_xlfn.IFS(B581="NY","New York",B581="TX","Texas",B581="CA","California")</f>
        <v>California</v>
      </c>
    </row>
    <row r="582" spans="1:18" x14ac:dyDescent="0.3">
      <c r="A582" t="s">
        <v>2</v>
      </c>
      <c r="B582" t="s">
        <v>7</v>
      </c>
      <c r="C582" s="2">
        <v>43004</v>
      </c>
      <c r="D582" s="11" t="s">
        <v>157</v>
      </c>
      <c r="E582" s="3">
        <f t="shared" ca="1" si="9"/>
        <v>168311767</v>
      </c>
      <c r="F582" t="s">
        <v>12</v>
      </c>
      <c r="G582" t="s">
        <v>15</v>
      </c>
      <c r="H582" s="1" t="s">
        <v>236</v>
      </c>
      <c r="I582" t="s">
        <v>21</v>
      </c>
      <c r="J582" s="4">
        <v>5.7</v>
      </c>
      <c r="K582" s="4">
        <v>82.156999999999996</v>
      </c>
      <c r="L582" s="4">
        <v>3</v>
      </c>
      <c r="M582" s="4">
        <v>61.78</v>
      </c>
      <c r="N582" s="4">
        <v>149.6523</v>
      </c>
      <c r="O582" s="4">
        <v>81.66</v>
      </c>
      <c r="P582" s="4">
        <v>3.8764546470000001</v>
      </c>
      <c r="Q582" s="4">
        <v>36.17</v>
      </c>
      <c r="R582" t="str" cm="1">
        <f t="array" ref="R582">_xlfn.IFS(B582="NY","New York",B582="TX","Texas",B582="CA","California")</f>
        <v>Texas</v>
      </c>
    </row>
    <row r="583" spans="1:18" x14ac:dyDescent="0.3">
      <c r="A583" t="s">
        <v>1</v>
      </c>
      <c r="B583" t="s">
        <v>6</v>
      </c>
      <c r="C583" s="2">
        <v>43120</v>
      </c>
      <c r="D583" s="11" t="s">
        <v>122</v>
      </c>
      <c r="E583" s="3">
        <f t="shared" ca="1" si="9"/>
        <v>580535238</v>
      </c>
      <c r="F583" t="s">
        <v>11</v>
      </c>
      <c r="G583" t="s">
        <v>14</v>
      </c>
      <c r="H583" s="1" t="s">
        <v>236</v>
      </c>
      <c r="I583" t="s">
        <v>17</v>
      </c>
      <c r="J583" s="4">
        <v>2.6</v>
      </c>
      <c r="K583" s="4">
        <v>41.378</v>
      </c>
      <c r="L583" s="4">
        <v>4</v>
      </c>
      <c r="M583" s="4">
        <v>96.46</v>
      </c>
      <c r="N583" s="4">
        <v>136.13999999999999</v>
      </c>
      <c r="O583" s="4">
        <v>310.72000000000003</v>
      </c>
      <c r="P583" s="4">
        <v>3.8764546470000001</v>
      </c>
      <c r="Q583" s="4">
        <v>10.02</v>
      </c>
      <c r="R583" t="str" cm="1">
        <f t="array" ref="R583">_xlfn.IFS(B583="NY","New York",B583="TX","Texas",B583="CA","California")</f>
        <v>New York</v>
      </c>
    </row>
    <row r="584" spans="1:18" x14ac:dyDescent="0.3">
      <c r="A584" t="s">
        <v>2</v>
      </c>
      <c r="B584" t="s">
        <v>7</v>
      </c>
      <c r="C584" s="2">
        <v>43389</v>
      </c>
      <c r="D584" s="11" t="s">
        <v>101</v>
      </c>
      <c r="E584" s="3">
        <f t="shared" ca="1" si="9"/>
        <v>758707412</v>
      </c>
      <c r="F584" t="s">
        <v>11</v>
      </c>
      <c r="G584" t="s">
        <v>14</v>
      </c>
      <c r="H584" s="1" t="s">
        <v>237</v>
      </c>
      <c r="I584" t="s">
        <v>22</v>
      </c>
      <c r="J584" s="4">
        <v>3.2</v>
      </c>
      <c r="K584" s="4">
        <v>34.537999999999997</v>
      </c>
      <c r="L584" s="4">
        <v>2</v>
      </c>
      <c r="M584" s="4">
        <v>68.95</v>
      </c>
      <c r="N584" s="4">
        <v>139.6892</v>
      </c>
      <c r="O584" s="4">
        <v>185.96</v>
      </c>
      <c r="P584" s="4">
        <v>3.8764546470000001</v>
      </c>
      <c r="Q584" s="4">
        <v>60.06</v>
      </c>
      <c r="R584" t="str" cm="1">
        <f t="array" ref="R584">_xlfn.IFS(B584="NY","New York",B584="TX","Texas",B584="CA","California")</f>
        <v>Texas</v>
      </c>
    </row>
    <row r="585" spans="1:18" x14ac:dyDescent="0.3">
      <c r="A585" t="s">
        <v>3</v>
      </c>
      <c r="B585" t="s">
        <v>8</v>
      </c>
      <c r="C585" s="2">
        <v>43008</v>
      </c>
      <c r="D585" s="11" t="s">
        <v>162</v>
      </c>
      <c r="E585" s="3">
        <f t="shared" ca="1" si="9"/>
        <v>346144654</v>
      </c>
      <c r="F585" t="s">
        <v>11</v>
      </c>
      <c r="G585" t="s">
        <v>14</v>
      </c>
      <c r="H585" s="1" t="s">
        <v>237</v>
      </c>
      <c r="I585" t="s">
        <v>22</v>
      </c>
      <c r="J585" s="4">
        <v>1.7</v>
      </c>
      <c r="K585" s="4">
        <v>72.03</v>
      </c>
      <c r="L585" s="4">
        <v>4</v>
      </c>
      <c r="M585" s="4">
        <v>91.44</v>
      </c>
      <c r="N585" s="4">
        <v>148.0264</v>
      </c>
      <c r="O585" s="4">
        <v>72.319999999999993</v>
      </c>
      <c r="P585" s="4">
        <v>3.8764546470000001</v>
      </c>
      <c r="Q585" s="4">
        <v>83.2</v>
      </c>
      <c r="R585" t="str" cm="1">
        <f t="array" ref="R585">_xlfn.IFS(B585="NY","New York",B585="TX","Texas",B585="CA","California")</f>
        <v>California</v>
      </c>
    </row>
    <row r="586" spans="1:18" x14ac:dyDescent="0.3">
      <c r="A586" t="s">
        <v>3</v>
      </c>
      <c r="B586" t="s">
        <v>8</v>
      </c>
      <c r="C586" s="2">
        <v>43078</v>
      </c>
      <c r="D586" s="11" t="s">
        <v>156</v>
      </c>
      <c r="E586" s="3">
        <f t="shared" ca="1" si="9"/>
        <v>16591966</v>
      </c>
      <c r="F586" t="s">
        <v>12</v>
      </c>
      <c r="G586" t="s">
        <v>15</v>
      </c>
      <c r="H586" s="1" t="s">
        <v>235</v>
      </c>
      <c r="I586" t="s">
        <v>20</v>
      </c>
      <c r="J586" s="4">
        <v>8.5</v>
      </c>
      <c r="K586" s="4">
        <v>83.76</v>
      </c>
      <c r="L586" s="4">
        <v>3</v>
      </c>
      <c r="M586" s="4">
        <v>38.299999999999997</v>
      </c>
      <c r="N586" s="4">
        <v>155.47669999999999</v>
      </c>
      <c r="O586" s="4">
        <v>189.18</v>
      </c>
      <c r="P586" s="4">
        <v>3.8764546470000001</v>
      </c>
      <c r="Q586" s="4">
        <v>82.75</v>
      </c>
      <c r="R586" t="str" cm="1">
        <f t="array" ref="R586">_xlfn.IFS(B586="NY","New York",B586="TX","Texas",B586="CA","California")</f>
        <v>California</v>
      </c>
    </row>
    <row r="587" spans="1:18" x14ac:dyDescent="0.3">
      <c r="A587" t="s">
        <v>1</v>
      </c>
      <c r="B587" t="s">
        <v>6</v>
      </c>
      <c r="C587" s="2">
        <v>42968</v>
      </c>
      <c r="D587" s="11" t="s">
        <v>223</v>
      </c>
      <c r="E587" s="3">
        <f t="shared" ca="1" si="9"/>
        <v>43402602</v>
      </c>
      <c r="F587" t="s">
        <v>12</v>
      </c>
      <c r="G587" t="s">
        <v>15</v>
      </c>
      <c r="H587" s="1" t="s">
        <v>237</v>
      </c>
      <c r="I587" t="s">
        <v>17</v>
      </c>
      <c r="J587" s="4">
        <v>6</v>
      </c>
      <c r="K587" s="4">
        <v>84.38</v>
      </c>
      <c r="L587" s="4">
        <v>4</v>
      </c>
      <c r="M587" s="4">
        <v>87.25</v>
      </c>
      <c r="N587" s="4">
        <v>107.94199999999999</v>
      </c>
      <c r="O587" s="4">
        <v>206.84</v>
      </c>
      <c r="P587" s="4">
        <v>3.8764546470000001</v>
      </c>
      <c r="Q587" s="4">
        <v>54.96</v>
      </c>
      <c r="R587" t="str" cm="1">
        <f t="array" ref="R587">_xlfn.IFS(B587="NY","New York",B587="TX","Texas",B587="CA","California")</f>
        <v>New York</v>
      </c>
    </row>
    <row r="588" spans="1:18" x14ac:dyDescent="0.3">
      <c r="A588" t="s">
        <v>1</v>
      </c>
      <c r="B588" t="s">
        <v>6</v>
      </c>
      <c r="C588" s="2">
        <v>43148</v>
      </c>
      <c r="D588" s="11" t="s">
        <v>43</v>
      </c>
      <c r="E588" s="3">
        <f t="shared" ca="1" si="9"/>
        <v>621600788</v>
      </c>
      <c r="F588" t="s">
        <v>11</v>
      </c>
      <c r="G588" t="s">
        <v>15</v>
      </c>
      <c r="H588" s="1" t="s">
        <v>236</v>
      </c>
      <c r="I588" t="s">
        <v>21</v>
      </c>
      <c r="J588" s="4">
        <v>2.8</v>
      </c>
      <c r="K588" s="4">
        <v>29.47</v>
      </c>
      <c r="L588" s="4">
        <v>3</v>
      </c>
      <c r="M588" s="4">
        <v>29.5</v>
      </c>
      <c r="N588" s="4">
        <v>161.44579999999999</v>
      </c>
      <c r="O588" s="4">
        <v>157.02000000000001</v>
      </c>
      <c r="P588" s="4">
        <v>3.8764546470000001</v>
      </c>
      <c r="Q588" s="4">
        <v>69.959999999999994</v>
      </c>
      <c r="R588" t="str" cm="1">
        <f t="array" ref="R588">_xlfn.IFS(B588="NY","New York",B588="TX","Texas",B588="CA","California")</f>
        <v>New York</v>
      </c>
    </row>
    <row r="589" spans="1:18" x14ac:dyDescent="0.3">
      <c r="A589" t="s">
        <v>1</v>
      </c>
      <c r="B589" t="s">
        <v>6</v>
      </c>
      <c r="C589" s="2">
        <v>43235</v>
      </c>
      <c r="D589" s="11" t="s">
        <v>174</v>
      </c>
      <c r="E589" s="3">
        <f t="shared" ca="1" si="9"/>
        <v>978559106</v>
      </c>
      <c r="F589" t="s">
        <v>11</v>
      </c>
      <c r="G589" t="s">
        <v>15</v>
      </c>
      <c r="H589" s="1" t="s">
        <v>235</v>
      </c>
      <c r="I589" t="s">
        <v>20</v>
      </c>
      <c r="J589" s="4">
        <v>9.9</v>
      </c>
      <c r="K589" s="4">
        <v>93.46</v>
      </c>
      <c r="L589" s="4">
        <v>5</v>
      </c>
      <c r="M589" s="4">
        <v>41.4</v>
      </c>
      <c r="N589" s="4">
        <v>138.9211</v>
      </c>
      <c r="O589" s="4">
        <v>215.3</v>
      </c>
      <c r="P589" s="4">
        <v>3.8764546470000001</v>
      </c>
      <c r="Q589" s="4">
        <v>79.650000000000006</v>
      </c>
      <c r="R589" t="str" cm="1">
        <f t="array" ref="R589">_xlfn.IFS(B589="NY","New York",B589="TX","Texas",B589="CA","California")</f>
        <v>New York</v>
      </c>
    </row>
    <row r="590" spans="1:18" x14ac:dyDescent="0.3">
      <c r="A590" t="s">
        <v>2</v>
      </c>
      <c r="B590" t="s">
        <v>7</v>
      </c>
      <c r="C590" s="2">
        <v>43179</v>
      </c>
      <c r="D590" s="11" t="s">
        <v>157</v>
      </c>
      <c r="E590" s="3">
        <f t="shared" ca="1" si="9"/>
        <v>125868822</v>
      </c>
      <c r="F590" t="s">
        <v>12</v>
      </c>
      <c r="G590" t="s">
        <v>15</v>
      </c>
      <c r="H590" s="1" t="s">
        <v>236</v>
      </c>
      <c r="I590" t="s">
        <v>22</v>
      </c>
      <c r="J590" s="4">
        <v>1.5</v>
      </c>
      <c r="K590" s="4">
        <v>87.7</v>
      </c>
      <c r="L590" s="4">
        <v>10</v>
      </c>
      <c r="M590" s="4">
        <v>31.54</v>
      </c>
      <c r="N590" s="4">
        <v>175.4847</v>
      </c>
      <c r="O590" s="4">
        <v>596.1</v>
      </c>
      <c r="P590" s="4">
        <v>3.8764546470000001</v>
      </c>
      <c r="Q590" s="4">
        <v>50.311</v>
      </c>
      <c r="R590" t="str" cm="1">
        <f t="array" ref="R590">_xlfn.IFS(B590="NY","New York",B590="TX","Texas",B590="CA","California")</f>
        <v>Texas</v>
      </c>
    </row>
    <row r="591" spans="1:18" x14ac:dyDescent="0.3">
      <c r="A591" t="s">
        <v>1</v>
      </c>
      <c r="B591" t="s">
        <v>6</v>
      </c>
      <c r="C591" s="2">
        <v>43416</v>
      </c>
      <c r="D591" s="11" t="s">
        <v>116</v>
      </c>
      <c r="E591" s="3">
        <f t="shared" ca="1" si="9"/>
        <v>153829842</v>
      </c>
      <c r="F591" t="s">
        <v>12</v>
      </c>
      <c r="G591" t="s">
        <v>15</v>
      </c>
      <c r="H591" s="1" t="s">
        <v>236</v>
      </c>
      <c r="I591" t="s">
        <v>17</v>
      </c>
      <c r="J591" s="4">
        <v>1.1000000000000001</v>
      </c>
      <c r="K591" s="4">
        <v>40.92</v>
      </c>
      <c r="L591" s="4">
        <v>5</v>
      </c>
      <c r="M591" s="4">
        <v>96.45</v>
      </c>
      <c r="N591" s="4">
        <v>175.30459999999999</v>
      </c>
      <c r="O591" s="4">
        <v>73.099999999999994</v>
      </c>
      <c r="P591" s="4">
        <v>3.8764546470000001</v>
      </c>
      <c r="Q591" s="4">
        <v>94.864999999999995</v>
      </c>
      <c r="R591" t="str" cm="1">
        <f t="array" ref="R591">_xlfn.IFS(B591="NY","New York",B591="TX","Texas",B591="CA","California")</f>
        <v>New York</v>
      </c>
    </row>
    <row r="592" spans="1:18" x14ac:dyDescent="0.3">
      <c r="A592" t="s">
        <v>2</v>
      </c>
      <c r="B592" t="s">
        <v>7</v>
      </c>
      <c r="C592" s="2">
        <v>42964</v>
      </c>
      <c r="D592" s="11" t="s">
        <v>216</v>
      </c>
      <c r="E592" s="3">
        <f t="shared" ca="1" si="9"/>
        <v>34014245</v>
      </c>
      <c r="F592" t="s">
        <v>12</v>
      </c>
      <c r="G592" t="s">
        <v>14</v>
      </c>
      <c r="H592" s="1" t="s">
        <v>237</v>
      </c>
      <c r="I592" t="s">
        <v>17</v>
      </c>
      <c r="J592" s="4">
        <v>7</v>
      </c>
      <c r="K592" s="4">
        <v>28.14</v>
      </c>
      <c r="L592" s="4">
        <v>6</v>
      </c>
      <c r="M592" s="4">
        <v>75.150000000000006</v>
      </c>
      <c r="N592" s="4">
        <v>107.7501</v>
      </c>
      <c r="O592" s="4">
        <v>279.18</v>
      </c>
      <c r="P592" s="4">
        <v>3.8764546470000001</v>
      </c>
      <c r="Q592" s="4">
        <v>53.381999999999998</v>
      </c>
      <c r="R592" t="str" cm="1">
        <f t="array" ref="R592">_xlfn.IFS(B592="NY","New York",B592="TX","Texas",B592="CA","California")</f>
        <v>Texas</v>
      </c>
    </row>
    <row r="593" spans="1:18" x14ac:dyDescent="0.3">
      <c r="A593" t="s">
        <v>2</v>
      </c>
      <c r="B593" t="s">
        <v>7</v>
      </c>
      <c r="C593" s="2">
        <v>43264</v>
      </c>
      <c r="D593" s="11" t="s">
        <v>167</v>
      </c>
      <c r="E593" s="3">
        <f t="shared" ca="1" si="9"/>
        <v>883736369</v>
      </c>
      <c r="F593" t="s">
        <v>11</v>
      </c>
      <c r="G593" t="s">
        <v>14</v>
      </c>
      <c r="H593" s="1" t="s">
        <v>235</v>
      </c>
      <c r="I593" t="s">
        <v>19</v>
      </c>
      <c r="J593" s="4">
        <v>2</v>
      </c>
      <c r="K593" s="4">
        <v>19.23</v>
      </c>
      <c r="L593" s="4">
        <v>7</v>
      </c>
      <c r="M593" s="4">
        <v>74.12</v>
      </c>
      <c r="N593" s="4">
        <v>133.84479999999999</v>
      </c>
      <c r="O593" s="4">
        <v>169.68</v>
      </c>
      <c r="P593" s="4">
        <v>3.8764546470000001</v>
      </c>
      <c r="Q593" s="4">
        <v>53.738999999999997</v>
      </c>
      <c r="R593" t="str" cm="1">
        <f t="array" ref="R593">_xlfn.IFS(B593="NY","New York",B593="TX","Texas",B593="CA","California")</f>
        <v>Texas</v>
      </c>
    </row>
    <row r="594" spans="1:18" x14ac:dyDescent="0.3">
      <c r="A594" t="s">
        <v>1</v>
      </c>
      <c r="B594" t="s">
        <v>6</v>
      </c>
      <c r="C594" s="2">
        <v>43140</v>
      </c>
      <c r="D594" s="11" t="s">
        <v>93</v>
      </c>
      <c r="E594" s="3">
        <f t="shared" ca="1" si="9"/>
        <v>701939653</v>
      </c>
      <c r="F594" t="s">
        <v>11</v>
      </c>
      <c r="G594" t="s">
        <v>14</v>
      </c>
      <c r="H594" s="1" t="s">
        <v>236</v>
      </c>
      <c r="I594" t="s">
        <v>20</v>
      </c>
      <c r="J594" s="4">
        <v>6</v>
      </c>
      <c r="K594" s="4">
        <v>43.97</v>
      </c>
      <c r="L594" s="4">
        <v>1</v>
      </c>
      <c r="M594" s="4">
        <v>45.25</v>
      </c>
      <c r="N594" s="4">
        <v>126.75660000000001</v>
      </c>
      <c r="O594" s="4">
        <v>45.58</v>
      </c>
      <c r="P594" s="4">
        <v>3.8764546470000001</v>
      </c>
      <c r="Q594" s="4">
        <v>96.638000000000005</v>
      </c>
      <c r="R594" t="str" cm="1">
        <f t="array" ref="R594">_xlfn.IFS(B594="NY","New York",B594="TX","Texas",B594="CA","California")</f>
        <v>New York</v>
      </c>
    </row>
    <row r="595" spans="1:18" x14ac:dyDescent="0.3">
      <c r="A595" t="s">
        <v>1</v>
      </c>
      <c r="B595" t="s">
        <v>6</v>
      </c>
      <c r="C595" s="2">
        <v>43035</v>
      </c>
      <c r="D595" s="11" t="s">
        <v>155</v>
      </c>
      <c r="E595" s="3">
        <f t="shared" ca="1" si="9"/>
        <v>784804393</v>
      </c>
      <c r="F595" t="s">
        <v>11</v>
      </c>
      <c r="G595" t="s">
        <v>14</v>
      </c>
      <c r="H595" s="1" t="s">
        <v>235</v>
      </c>
      <c r="I595" t="s">
        <v>20</v>
      </c>
      <c r="J595" s="4">
        <v>5</v>
      </c>
      <c r="K595" s="4">
        <v>28.96</v>
      </c>
      <c r="L595" s="4">
        <v>3</v>
      </c>
      <c r="M595" s="4">
        <v>39.9</v>
      </c>
      <c r="N595" s="4">
        <v>182.49109999999999</v>
      </c>
      <c r="O595" s="4">
        <v>225.6</v>
      </c>
      <c r="P595" s="4">
        <v>3.8764546470000001</v>
      </c>
      <c r="Q595" s="4">
        <v>41.634999999999998</v>
      </c>
      <c r="R595" t="str" cm="1">
        <f t="array" ref="R595">_xlfn.IFS(B595="NY","New York",B595="TX","Texas",B595="CA","California")</f>
        <v>New York</v>
      </c>
    </row>
    <row r="596" spans="1:18" x14ac:dyDescent="0.3">
      <c r="A596" t="s">
        <v>3</v>
      </c>
      <c r="B596" t="s">
        <v>8</v>
      </c>
      <c r="C596" s="2">
        <v>43156</v>
      </c>
      <c r="D596" s="11" t="s">
        <v>185</v>
      </c>
      <c r="E596" s="3">
        <f t="shared" ca="1" si="9"/>
        <v>674635918</v>
      </c>
      <c r="F596" t="s">
        <v>12</v>
      </c>
      <c r="G596" t="s">
        <v>14</v>
      </c>
      <c r="H596" s="1" t="s">
        <v>236</v>
      </c>
      <c r="I596" t="s">
        <v>20</v>
      </c>
      <c r="J596" s="4">
        <v>1</v>
      </c>
      <c r="K596" s="4">
        <v>94.421999999999997</v>
      </c>
      <c r="L596" s="4">
        <v>3</v>
      </c>
      <c r="M596" s="4">
        <v>30.67</v>
      </c>
      <c r="N596" s="4">
        <v>130.6146</v>
      </c>
      <c r="O596" s="4">
        <v>290.39999999999998</v>
      </c>
      <c r="P596" s="4">
        <v>3.8764546470000001</v>
      </c>
      <c r="Q596" s="4">
        <v>82.828999999999994</v>
      </c>
      <c r="R596" t="str" cm="1">
        <f t="array" ref="R596">_xlfn.IFS(B596="NY","New York",B596="TX","Texas",B596="CA","California")</f>
        <v>California</v>
      </c>
    </row>
    <row r="597" spans="1:18" x14ac:dyDescent="0.3">
      <c r="A597" t="s">
        <v>3</v>
      </c>
      <c r="B597" t="s">
        <v>8</v>
      </c>
      <c r="C597" s="2">
        <v>42922</v>
      </c>
      <c r="D597" s="11" t="s">
        <v>224</v>
      </c>
      <c r="E597" s="3">
        <f t="shared" ca="1" si="9"/>
        <v>412064010</v>
      </c>
      <c r="F597" t="s">
        <v>12</v>
      </c>
      <c r="G597" t="s">
        <v>15</v>
      </c>
      <c r="H597" s="1" t="s">
        <v>237</v>
      </c>
      <c r="I597" t="s">
        <v>17</v>
      </c>
      <c r="J597" s="4">
        <v>5.9</v>
      </c>
      <c r="K597" s="4">
        <v>47.31</v>
      </c>
      <c r="L597" s="4">
        <v>3</v>
      </c>
      <c r="M597" s="4">
        <v>28</v>
      </c>
      <c r="N597" s="4">
        <v>104.02</v>
      </c>
      <c r="O597" s="4">
        <v>44.46</v>
      </c>
      <c r="P597" s="4">
        <v>3.8764546470000001</v>
      </c>
      <c r="Q597" s="4">
        <v>35.494</v>
      </c>
      <c r="R597" t="str" cm="1">
        <f t="array" ref="R597">_xlfn.IFS(B597="NY","New York",B597="TX","Texas",B597="CA","California")</f>
        <v>California</v>
      </c>
    </row>
    <row r="598" spans="1:18" x14ac:dyDescent="0.3">
      <c r="A598" t="s">
        <v>1</v>
      </c>
      <c r="B598" t="s">
        <v>6</v>
      </c>
      <c r="C598" s="2">
        <v>42889</v>
      </c>
      <c r="D598" s="11" t="s">
        <v>94</v>
      </c>
      <c r="E598" s="3">
        <f t="shared" ca="1" si="9"/>
        <v>503122087</v>
      </c>
      <c r="F598" t="s">
        <v>12</v>
      </c>
      <c r="G598" t="s">
        <v>15</v>
      </c>
      <c r="H598" s="1" t="s">
        <v>237</v>
      </c>
      <c r="I598" t="s">
        <v>21</v>
      </c>
      <c r="J598" s="4">
        <v>7.4</v>
      </c>
      <c r="K598" s="4">
        <v>51.41</v>
      </c>
      <c r="L598" s="4">
        <v>3</v>
      </c>
      <c r="M598" s="4">
        <v>83.99</v>
      </c>
      <c r="N598" s="4">
        <v>110.13379999999999</v>
      </c>
      <c r="O598" s="4">
        <v>156.6</v>
      </c>
      <c r="P598" s="4">
        <v>3.8764546470000001</v>
      </c>
      <c r="Q598" s="4">
        <v>55.14</v>
      </c>
      <c r="R598" t="str" cm="1">
        <f t="array" ref="R598">_xlfn.IFS(B598="NY","New York",B598="TX","Texas",B598="CA","California")</f>
        <v>New York</v>
      </c>
    </row>
    <row r="599" spans="1:18" x14ac:dyDescent="0.3">
      <c r="A599" t="s">
        <v>2</v>
      </c>
      <c r="B599" t="s">
        <v>7</v>
      </c>
      <c r="C599" s="2">
        <v>43194</v>
      </c>
      <c r="D599" s="11" t="s">
        <v>189</v>
      </c>
      <c r="E599" s="3">
        <f t="shared" ca="1" si="9"/>
        <v>398878090</v>
      </c>
      <c r="F599" t="s">
        <v>11</v>
      </c>
      <c r="G599" t="s">
        <v>15</v>
      </c>
      <c r="H599" s="1" t="s">
        <v>235</v>
      </c>
      <c r="I599" t="s">
        <v>20</v>
      </c>
      <c r="J599" s="4">
        <v>6.3</v>
      </c>
      <c r="K599" s="4">
        <v>62.81</v>
      </c>
      <c r="L599" s="4">
        <v>9</v>
      </c>
      <c r="M599" s="4">
        <v>23.08</v>
      </c>
      <c r="N599" s="4">
        <v>183.35570000000001</v>
      </c>
      <c r="O599" s="4">
        <v>419.94</v>
      </c>
      <c r="P599" s="4">
        <v>3.8764546470000001</v>
      </c>
      <c r="Q599" s="4">
        <v>88.15</v>
      </c>
      <c r="R599" t="str" cm="1">
        <f t="array" ref="R599">_xlfn.IFS(B599="NY","New York",B599="TX","Texas",B599="CA","California")</f>
        <v>Texas</v>
      </c>
    </row>
    <row r="600" spans="1:18" x14ac:dyDescent="0.3">
      <c r="A600" t="s">
        <v>2</v>
      </c>
      <c r="B600" t="s">
        <v>7</v>
      </c>
      <c r="C600" s="2">
        <v>43460</v>
      </c>
      <c r="D600" s="11" t="s">
        <v>129</v>
      </c>
      <c r="E600" s="3">
        <f t="shared" ca="1" si="9"/>
        <v>822247379</v>
      </c>
      <c r="F600" t="s">
        <v>11</v>
      </c>
      <c r="G600" t="s">
        <v>15</v>
      </c>
      <c r="H600" s="1" t="s">
        <v>236</v>
      </c>
      <c r="I600" t="s">
        <v>22</v>
      </c>
      <c r="J600" s="4">
        <v>8.4</v>
      </c>
      <c r="K600" s="4">
        <v>18.46</v>
      </c>
      <c r="L600" s="4">
        <v>5</v>
      </c>
      <c r="M600" s="4">
        <v>13.48</v>
      </c>
      <c r="N600" s="4">
        <v>134.47739999999999</v>
      </c>
      <c r="O600" s="4">
        <v>184.25</v>
      </c>
      <c r="P600" s="4">
        <v>3.8764546470000001</v>
      </c>
      <c r="Q600" s="4">
        <v>40.451000000000001</v>
      </c>
      <c r="R600" t="str" cm="1">
        <f t="array" ref="R600">_xlfn.IFS(B600="NY","New York",B600="TX","Texas",B600="CA","California")</f>
        <v>Texas</v>
      </c>
    </row>
    <row r="601" spans="1:18" x14ac:dyDescent="0.3">
      <c r="A601" t="s">
        <v>1</v>
      </c>
      <c r="B601" t="s">
        <v>6</v>
      </c>
      <c r="C601" s="2">
        <v>43255</v>
      </c>
      <c r="D601" s="11" t="s">
        <v>41</v>
      </c>
      <c r="E601" s="3">
        <f t="shared" ca="1" si="9"/>
        <v>416167503</v>
      </c>
      <c r="F601" t="s">
        <v>11</v>
      </c>
      <c r="G601" t="s">
        <v>14</v>
      </c>
      <c r="H601" s="1" t="s">
        <v>235</v>
      </c>
      <c r="I601" t="s">
        <v>19</v>
      </c>
      <c r="J601" s="4">
        <v>2.9</v>
      </c>
      <c r="K601" s="4">
        <v>13.9</v>
      </c>
      <c r="L601" s="4">
        <v>2</v>
      </c>
      <c r="M601" s="4">
        <v>89.11</v>
      </c>
      <c r="N601" s="4">
        <v>103.2863</v>
      </c>
      <c r="O601" s="4">
        <v>140.63999999999999</v>
      </c>
      <c r="P601" s="4">
        <v>3.8764546470000001</v>
      </c>
      <c r="Q601" s="4">
        <v>56.637</v>
      </c>
      <c r="R601" t="str" cm="1">
        <f t="array" ref="R601">_xlfn.IFS(B601="NY","New York",B601="TX","Texas",B601="CA","California")</f>
        <v>New York</v>
      </c>
    </row>
    <row r="602" spans="1:18" x14ac:dyDescent="0.3">
      <c r="A602" t="s">
        <v>2</v>
      </c>
      <c r="B602" t="s">
        <v>7</v>
      </c>
      <c r="C602" s="2">
        <v>42923</v>
      </c>
      <c r="D602" s="11" t="s">
        <v>196</v>
      </c>
      <c r="E602" s="3">
        <f t="shared" ca="1" si="9"/>
        <v>364284551</v>
      </c>
      <c r="F602" t="s">
        <v>12</v>
      </c>
      <c r="G602" t="s">
        <v>15</v>
      </c>
      <c r="H602" s="1" t="s">
        <v>235</v>
      </c>
      <c r="I602" t="s">
        <v>18</v>
      </c>
      <c r="J602" s="4">
        <v>3</v>
      </c>
      <c r="K602" s="4">
        <v>54.59</v>
      </c>
      <c r="L602" s="4">
        <v>1</v>
      </c>
      <c r="M602" s="4">
        <v>65.099999999999994</v>
      </c>
      <c r="N602" s="4">
        <v>150.66300000000001</v>
      </c>
      <c r="O602" s="4">
        <v>83.08</v>
      </c>
      <c r="P602" s="4">
        <v>3.8764546470000001</v>
      </c>
      <c r="Q602" s="4">
        <v>99.68</v>
      </c>
      <c r="R602" t="str" cm="1">
        <f t="array" ref="R602">_xlfn.IFS(B602="NY","New York",B602="TX","Texas",B602="CA","California")</f>
        <v>Texas</v>
      </c>
    </row>
    <row r="603" spans="1:18" x14ac:dyDescent="0.3">
      <c r="A603" t="s">
        <v>2</v>
      </c>
      <c r="B603" t="s">
        <v>7</v>
      </c>
      <c r="C603" s="2">
        <v>43367</v>
      </c>
      <c r="D603" s="11" t="s">
        <v>85</v>
      </c>
      <c r="E603" s="3">
        <f t="shared" ca="1" si="9"/>
        <v>252150458</v>
      </c>
      <c r="F603" t="s">
        <v>11</v>
      </c>
      <c r="G603" t="s">
        <v>15</v>
      </c>
      <c r="H603" s="1" t="s">
        <v>237</v>
      </c>
      <c r="I603" t="s">
        <v>22</v>
      </c>
      <c r="J603" s="4">
        <v>2</v>
      </c>
      <c r="K603" s="4">
        <v>20.376000000000001</v>
      </c>
      <c r="L603" s="4">
        <v>1</v>
      </c>
      <c r="M603" s="4">
        <v>94.37</v>
      </c>
      <c r="N603" s="4">
        <v>161.66409999999999</v>
      </c>
      <c r="O603" s="4">
        <v>64.989999999999995</v>
      </c>
      <c r="P603" s="4">
        <v>3.8764546470000001</v>
      </c>
      <c r="Q603" s="4">
        <v>73.188000000000002</v>
      </c>
      <c r="R603" t="str" cm="1">
        <f t="array" ref="R603">_xlfn.IFS(B603="NY","New York",B603="TX","Texas",B603="CA","California")</f>
        <v>Texas</v>
      </c>
    </row>
    <row r="604" spans="1:18" x14ac:dyDescent="0.3">
      <c r="A604" t="s">
        <v>2</v>
      </c>
      <c r="B604" t="s">
        <v>7</v>
      </c>
      <c r="C604" s="2">
        <v>42811</v>
      </c>
      <c r="D604" s="11" t="s">
        <v>112</v>
      </c>
      <c r="E604" s="3">
        <f t="shared" ca="1" si="9"/>
        <v>794332585</v>
      </c>
      <c r="F604" t="s">
        <v>12</v>
      </c>
      <c r="G604" t="s">
        <v>15</v>
      </c>
      <c r="H604" s="1" t="s">
        <v>235</v>
      </c>
      <c r="I604" t="s">
        <v>21</v>
      </c>
      <c r="J604" s="4">
        <v>3</v>
      </c>
      <c r="K604" s="4">
        <v>92.944999999999993</v>
      </c>
      <c r="L604" s="4">
        <v>10</v>
      </c>
      <c r="M604" s="4">
        <v>45.65</v>
      </c>
      <c r="N604" s="4">
        <v>178.9752</v>
      </c>
      <c r="O604" s="4">
        <v>775.6</v>
      </c>
      <c r="P604" s="4">
        <v>3.8764546470000001</v>
      </c>
      <c r="Q604" s="4">
        <v>27.335999999999999</v>
      </c>
      <c r="R604" t="str" cm="1">
        <f t="array" ref="R604">_xlfn.IFS(B604="NY","New York",B604="TX","Texas",B604="CA","California")</f>
        <v>Texas</v>
      </c>
    </row>
    <row r="605" spans="1:18" x14ac:dyDescent="0.3">
      <c r="A605" t="s">
        <v>3</v>
      </c>
      <c r="B605" t="s">
        <v>8</v>
      </c>
      <c r="C605" s="2">
        <v>43092</v>
      </c>
      <c r="D605" s="11" t="s">
        <v>74</v>
      </c>
      <c r="E605" s="3">
        <f t="shared" ca="1" si="9"/>
        <v>899118141</v>
      </c>
      <c r="F605" t="s">
        <v>11</v>
      </c>
      <c r="G605" t="s">
        <v>15</v>
      </c>
      <c r="H605" s="1" t="s">
        <v>235</v>
      </c>
      <c r="I605" t="s">
        <v>20</v>
      </c>
      <c r="J605" s="4">
        <v>7.9</v>
      </c>
      <c r="K605" s="4">
        <v>53.997</v>
      </c>
      <c r="L605" s="4">
        <v>6</v>
      </c>
      <c r="M605" s="4">
        <v>70.73</v>
      </c>
      <c r="N605" s="4">
        <v>167.4444</v>
      </c>
      <c r="O605" s="4">
        <v>327.06</v>
      </c>
      <c r="P605" s="4">
        <v>3.8764546470000001</v>
      </c>
      <c r="Q605" s="4">
        <v>29.867000000000001</v>
      </c>
      <c r="R605" t="str" cm="1">
        <f t="array" ref="R605">_xlfn.IFS(B605="NY","New York",B605="TX","Texas",B605="CA","California")</f>
        <v>California</v>
      </c>
    </row>
    <row r="606" spans="1:18" x14ac:dyDescent="0.3">
      <c r="A606" t="s">
        <v>2</v>
      </c>
      <c r="B606" t="s">
        <v>7</v>
      </c>
      <c r="C606" s="2">
        <v>42831</v>
      </c>
      <c r="D606" s="11" t="s">
        <v>100</v>
      </c>
      <c r="E606" s="3">
        <f t="shared" ca="1" si="9"/>
        <v>525669088</v>
      </c>
      <c r="F606" t="s">
        <v>11</v>
      </c>
      <c r="G606" t="s">
        <v>14</v>
      </c>
      <c r="H606" s="1" t="s">
        <v>236</v>
      </c>
      <c r="I606" t="s">
        <v>22</v>
      </c>
      <c r="J606" s="4">
        <v>7</v>
      </c>
      <c r="K606" s="4">
        <v>81.379000000000005</v>
      </c>
      <c r="L606" s="4">
        <v>7</v>
      </c>
      <c r="M606" s="4">
        <v>57.7</v>
      </c>
      <c r="N606" s="4">
        <v>115.80240000000001</v>
      </c>
      <c r="O606" s="4">
        <v>363.23</v>
      </c>
      <c r="P606" s="4">
        <v>3.8764546470000001</v>
      </c>
      <c r="Q606" s="4">
        <v>27.231999999999999</v>
      </c>
      <c r="R606" t="str" cm="1">
        <f t="array" ref="R606">_xlfn.IFS(B606="NY","New York",B606="TX","Texas",B606="CA","California")</f>
        <v>Texas</v>
      </c>
    </row>
    <row r="607" spans="1:18" x14ac:dyDescent="0.3">
      <c r="A607" t="s">
        <v>3</v>
      </c>
      <c r="B607" t="s">
        <v>8</v>
      </c>
      <c r="C607" s="2">
        <v>43244</v>
      </c>
      <c r="D607" s="11" t="s">
        <v>110</v>
      </c>
      <c r="E607" s="3">
        <f t="shared" ca="1" si="9"/>
        <v>225232614</v>
      </c>
      <c r="F607" t="s">
        <v>12</v>
      </c>
      <c r="G607" t="s">
        <v>15</v>
      </c>
      <c r="H607" s="1" t="s">
        <v>236</v>
      </c>
      <c r="I607" t="s">
        <v>19</v>
      </c>
      <c r="J607" s="4">
        <v>7.1</v>
      </c>
      <c r="K607" s="4">
        <v>61.404000000000003</v>
      </c>
      <c r="L607" s="4">
        <v>4</v>
      </c>
      <c r="M607" s="4">
        <v>29.85</v>
      </c>
      <c r="N607" s="4">
        <v>151.6858</v>
      </c>
      <c r="O607" s="4">
        <v>127</v>
      </c>
      <c r="P607" s="4">
        <v>3.8764546470000001</v>
      </c>
      <c r="Q607" s="4">
        <v>61.423999999999999</v>
      </c>
      <c r="R607" t="str" cm="1">
        <f t="array" ref="R607">_xlfn.IFS(B607="NY","New York",B607="TX","Texas",B607="CA","California")</f>
        <v>California</v>
      </c>
    </row>
    <row r="608" spans="1:18" x14ac:dyDescent="0.3">
      <c r="A608" t="s">
        <v>1</v>
      </c>
      <c r="B608" t="s">
        <v>6</v>
      </c>
      <c r="C608" s="2">
        <v>43204</v>
      </c>
      <c r="D608" s="11" t="s">
        <v>41</v>
      </c>
      <c r="E608" s="3">
        <f t="shared" ca="1" si="9"/>
        <v>176844796</v>
      </c>
      <c r="F608" t="s">
        <v>11</v>
      </c>
      <c r="G608" t="s">
        <v>14</v>
      </c>
      <c r="H608" s="1" t="s">
        <v>235</v>
      </c>
      <c r="I608" t="s">
        <v>22</v>
      </c>
      <c r="J608" s="4">
        <v>7.8</v>
      </c>
      <c r="K608" s="4">
        <v>50.18</v>
      </c>
      <c r="L608" s="4">
        <v>7</v>
      </c>
      <c r="M608" s="4">
        <v>10.89</v>
      </c>
      <c r="N608" s="4">
        <v>151.53479999999999</v>
      </c>
      <c r="O608" s="4">
        <v>375.55</v>
      </c>
      <c r="P608" s="4">
        <v>3.8764546470000001</v>
      </c>
      <c r="Q608" s="4">
        <v>55.35</v>
      </c>
      <c r="R608" t="str" cm="1">
        <f t="array" ref="R608">_xlfn.IFS(B608="NY","New York",B608="TX","Texas",B608="CA","California")</f>
        <v>New York</v>
      </c>
    </row>
    <row r="609" spans="1:18" x14ac:dyDescent="0.3">
      <c r="A609" t="s">
        <v>2</v>
      </c>
      <c r="B609" t="s">
        <v>7</v>
      </c>
      <c r="C609" s="2">
        <v>43251</v>
      </c>
      <c r="D609" s="11" t="s">
        <v>132</v>
      </c>
      <c r="E609" s="3">
        <f t="shared" ca="1" si="9"/>
        <v>100661213</v>
      </c>
      <c r="F609" t="s">
        <v>11</v>
      </c>
      <c r="G609" t="s">
        <v>14</v>
      </c>
      <c r="H609" s="1" t="s">
        <v>237</v>
      </c>
      <c r="I609" t="s">
        <v>21</v>
      </c>
      <c r="J609" s="4">
        <v>8</v>
      </c>
      <c r="K609" s="4">
        <v>38.85</v>
      </c>
      <c r="L609" s="4">
        <v>4</v>
      </c>
      <c r="M609" s="4">
        <v>59.78</v>
      </c>
      <c r="N609" s="4">
        <v>130.25069999999999</v>
      </c>
      <c r="O609" s="4">
        <v>199.16</v>
      </c>
      <c r="P609" s="4">
        <v>3.8764546470000001</v>
      </c>
      <c r="Q609" s="4">
        <v>65.569999999999993</v>
      </c>
      <c r="R609" t="str" cm="1">
        <f t="array" ref="R609">_xlfn.IFS(B609="NY","New York",B609="TX","Texas",B609="CA","California")</f>
        <v>Texas</v>
      </c>
    </row>
    <row r="610" spans="1:18" x14ac:dyDescent="0.3">
      <c r="A610" t="s">
        <v>1</v>
      </c>
      <c r="B610" t="s">
        <v>6</v>
      </c>
      <c r="C610" s="2">
        <v>43013</v>
      </c>
      <c r="D610" s="11" t="s">
        <v>192</v>
      </c>
      <c r="E610" s="3">
        <f t="shared" ca="1" si="9"/>
        <v>581040313</v>
      </c>
      <c r="F610" t="s">
        <v>12</v>
      </c>
      <c r="G610" t="s">
        <v>15</v>
      </c>
      <c r="H610" s="1" t="s">
        <v>235</v>
      </c>
      <c r="I610" t="s">
        <v>22</v>
      </c>
      <c r="J610" s="4">
        <v>8</v>
      </c>
      <c r="K610" s="4">
        <v>87.49</v>
      </c>
      <c r="L610" s="4">
        <v>1</v>
      </c>
      <c r="M610" s="4">
        <v>91.8</v>
      </c>
      <c r="N610" s="4">
        <v>119.45910000000001</v>
      </c>
      <c r="O610" s="4">
        <v>30.61</v>
      </c>
      <c r="P610" s="4">
        <v>3.8764546470000001</v>
      </c>
      <c r="Q610" s="4">
        <v>59.58</v>
      </c>
      <c r="R610" t="str" cm="1">
        <f t="array" ref="R610">_xlfn.IFS(B610="NY","New York",B610="TX","Texas",B610="CA","California")</f>
        <v>New York</v>
      </c>
    </row>
    <row r="611" spans="1:18" x14ac:dyDescent="0.3">
      <c r="A611" t="s">
        <v>3</v>
      </c>
      <c r="B611" t="s">
        <v>8</v>
      </c>
      <c r="C611" s="2">
        <v>43311</v>
      </c>
      <c r="D611" s="11" t="s">
        <v>180</v>
      </c>
      <c r="E611" s="3">
        <f t="shared" ca="1" si="9"/>
        <v>355642461</v>
      </c>
      <c r="F611" t="s">
        <v>12</v>
      </c>
      <c r="G611" t="s">
        <v>14</v>
      </c>
      <c r="H611" s="1" t="s">
        <v>235</v>
      </c>
      <c r="I611" t="s">
        <v>21</v>
      </c>
      <c r="J611" s="4">
        <v>9</v>
      </c>
      <c r="K611" s="4">
        <v>10.01</v>
      </c>
      <c r="L611" s="4">
        <v>2</v>
      </c>
      <c r="M611" s="4">
        <v>12.7</v>
      </c>
      <c r="N611" s="4">
        <v>166.26589999999999</v>
      </c>
      <c r="O611" s="4">
        <v>115.78</v>
      </c>
      <c r="P611" s="4">
        <v>3.8764546470000001</v>
      </c>
      <c r="Q611" s="4">
        <v>76.53</v>
      </c>
      <c r="R611" t="str" cm="1">
        <f t="array" ref="R611">_xlfn.IFS(B611="NY","New York",B611="TX","Texas",B611="CA","California")</f>
        <v>California</v>
      </c>
    </row>
    <row r="612" spans="1:18" x14ac:dyDescent="0.3">
      <c r="A612" t="s">
        <v>1</v>
      </c>
      <c r="B612" t="s">
        <v>6</v>
      </c>
      <c r="C612" s="2">
        <v>43267</v>
      </c>
      <c r="D612" s="11" t="s">
        <v>203</v>
      </c>
      <c r="E612" s="3">
        <f t="shared" ca="1" si="9"/>
        <v>331136277</v>
      </c>
      <c r="F612" t="s">
        <v>11</v>
      </c>
      <c r="G612" t="s">
        <v>15</v>
      </c>
      <c r="H612" s="1" t="s">
        <v>237</v>
      </c>
      <c r="I612" t="s">
        <v>18</v>
      </c>
      <c r="J612" s="4">
        <v>8.3000000000000007</v>
      </c>
      <c r="K612" s="4">
        <v>88.11</v>
      </c>
      <c r="L612" s="4">
        <v>1</v>
      </c>
      <c r="M612" s="4">
        <v>85.45</v>
      </c>
      <c r="N612" s="4">
        <v>112.4396</v>
      </c>
      <c r="O612" s="4">
        <v>28.96</v>
      </c>
      <c r="P612" s="4">
        <v>3.8764546470000001</v>
      </c>
      <c r="Q612" s="4">
        <v>95.298000000000002</v>
      </c>
      <c r="R612" t="str" cm="1">
        <f t="array" ref="R612">_xlfn.IFS(B612="NY","New York",B612="TX","Texas",B612="CA","California")</f>
        <v>New York</v>
      </c>
    </row>
    <row r="613" spans="1:18" x14ac:dyDescent="0.3">
      <c r="A613" t="s">
        <v>2</v>
      </c>
      <c r="B613" t="s">
        <v>7</v>
      </c>
      <c r="C613" s="2">
        <v>42985</v>
      </c>
      <c r="D613" s="11" t="s">
        <v>176</v>
      </c>
      <c r="E613" s="3">
        <f t="shared" ca="1" si="9"/>
        <v>247195317</v>
      </c>
      <c r="F613" t="s">
        <v>11</v>
      </c>
      <c r="G613" t="s">
        <v>14</v>
      </c>
      <c r="H613" s="1" t="s">
        <v>236</v>
      </c>
      <c r="I613" t="s">
        <v>21</v>
      </c>
      <c r="J613" s="4">
        <v>5.5</v>
      </c>
      <c r="K613" s="4">
        <v>40.700000000000003</v>
      </c>
      <c r="L613" s="4">
        <v>9</v>
      </c>
      <c r="M613" s="4">
        <v>10.76</v>
      </c>
      <c r="N613" s="4">
        <v>125.4205</v>
      </c>
      <c r="O613" s="4">
        <v>890.73</v>
      </c>
      <c r="P613" s="4">
        <v>3.8764546470000001</v>
      </c>
      <c r="Q613" s="4">
        <v>40.619999999999997</v>
      </c>
      <c r="R613" t="str" cm="1">
        <f t="array" ref="R613">_xlfn.IFS(B613="NY","New York",B613="TX","Texas",B613="CA","California")</f>
        <v>Texas</v>
      </c>
    </row>
    <row r="614" spans="1:18" x14ac:dyDescent="0.3">
      <c r="A614" t="s">
        <v>3</v>
      </c>
      <c r="B614" t="s">
        <v>8</v>
      </c>
      <c r="C614" s="2">
        <v>42914</v>
      </c>
      <c r="D614" s="11" t="s">
        <v>87</v>
      </c>
      <c r="E614" s="3">
        <f t="shared" ca="1" si="9"/>
        <v>338985817</v>
      </c>
      <c r="F614" t="s">
        <v>12</v>
      </c>
      <c r="G614" t="s">
        <v>14</v>
      </c>
      <c r="H614" s="1" t="s">
        <v>236</v>
      </c>
      <c r="I614" t="s">
        <v>22</v>
      </c>
      <c r="J614" s="4">
        <v>1.6</v>
      </c>
      <c r="K614" s="4">
        <v>73.09</v>
      </c>
      <c r="L614" s="4">
        <v>3</v>
      </c>
      <c r="M614" s="4">
        <v>97.06</v>
      </c>
      <c r="N614" s="4">
        <v>176.73939999999999</v>
      </c>
      <c r="O614" s="4">
        <v>279.66000000000003</v>
      </c>
      <c r="P614" s="4">
        <v>3.8764546470000001</v>
      </c>
      <c r="Q614" s="4">
        <v>14.045999999999999</v>
      </c>
      <c r="R614" t="str" cm="1">
        <f t="array" ref="R614">_xlfn.IFS(B614="NY","New York",B614="TX","Texas",B614="CA","California")</f>
        <v>California</v>
      </c>
    </row>
    <row r="615" spans="1:18" x14ac:dyDescent="0.3">
      <c r="A615" t="s">
        <v>2</v>
      </c>
      <c r="B615" t="s">
        <v>7</v>
      </c>
      <c r="C615" s="2">
        <v>43278</v>
      </c>
      <c r="D615" s="11" t="s">
        <v>128</v>
      </c>
      <c r="E615" s="3">
        <f t="shared" ca="1" si="9"/>
        <v>354328189</v>
      </c>
      <c r="F615" t="s">
        <v>12</v>
      </c>
      <c r="G615" t="s">
        <v>14</v>
      </c>
      <c r="H615" s="1" t="s">
        <v>237</v>
      </c>
      <c r="I615" t="s">
        <v>20</v>
      </c>
      <c r="J615" s="4">
        <v>4.4000000000000004</v>
      </c>
      <c r="K615" s="4">
        <v>50.933</v>
      </c>
      <c r="L615" s="4">
        <v>1</v>
      </c>
      <c r="M615" s="4">
        <v>37.299999999999997</v>
      </c>
      <c r="N615" s="4">
        <v>100.53660000000001</v>
      </c>
      <c r="O615" s="4">
        <v>80.930000000000007</v>
      </c>
      <c r="P615" s="4">
        <v>3.8764546470000001</v>
      </c>
      <c r="Q615" s="4">
        <v>99.813000000000002</v>
      </c>
      <c r="R615" t="str" cm="1">
        <f t="array" ref="R615">_xlfn.IFS(B615="NY","New York",B615="TX","Texas",B615="CA","California")</f>
        <v>Texas</v>
      </c>
    </row>
    <row r="616" spans="1:18" x14ac:dyDescent="0.3">
      <c r="A616" t="s">
        <v>1</v>
      </c>
      <c r="B616" t="s">
        <v>6</v>
      </c>
      <c r="C616" s="2">
        <v>42907</v>
      </c>
      <c r="D616" s="11" t="s">
        <v>86</v>
      </c>
      <c r="E616" s="3">
        <f t="shared" ca="1" si="9"/>
        <v>648330286</v>
      </c>
      <c r="F616" t="s">
        <v>12</v>
      </c>
      <c r="G616" t="s">
        <v>14</v>
      </c>
      <c r="H616" s="1" t="s">
        <v>235</v>
      </c>
      <c r="I616" t="s">
        <v>21</v>
      </c>
      <c r="J616" s="4">
        <v>3.1</v>
      </c>
      <c r="K616" s="4">
        <v>48.972999999999999</v>
      </c>
      <c r="L616" s="4">
        <v>10</v>
      </c>
      <c r="M616" s="4">
        <v>45.65</v>
      </c>
      <c r="N616" s="4">
        <v>171.09010000000001</v>
      </c>
      <c r="O616" s="4">
        <v>674.5</v>
      </c>
      <c r="P616" s="4">
        <v>3.8764546470000001</v>
      </c>
      <c r="Q616" s="4">
        <v>18.3</v>
      </c>
      <c r="R616" t="str" cm="1">
        <f t="array" ref="R616">_xlfn.IFS(B616="NY","New York",B616="TX","Texas",B616="CA","California")</f>
        <v>New York</v>
      </c>
    </row>
    <row r="617" spans="1:18" x14ac:dyDescent="0.3">
      <c r="A617" t="s">
        <v>1</v>
      </c>
      <c r="B617" t="s">
        <v>6</v>
      </c>
      <c r="C617" s="2">
        <v>43291</v>
      </c>
      <c r="D617" s="11" t="s">
        <v>128</v>
      </c>
      <c r="E617" s="3">
        <f t="shared" ca="1" si="9"/>
        <v>563745206</v>
      </c>
      <c r="F617" t="s">
        <v>11</v>
      </c>
      <c r="G617" t="s">
        <v>14</v>
      </c>
      <c r="H617" s="1" t="s">
        <v>235</v>
      </c>
      <c r="I617" t="s">
        <v>20</v>
      </c>
      <c r="J617" s="4">
        <v>3.9</v>
      </c>
      <c r="K617" s="4">
        <v>26.103000000000002</v>
      </c>
      <c r="L617" s="4">
        <v>9</v>
      </c>
      <c r="M617" s="4">
        <v>85.28</v>
      </c>
      <c r="N617" s="4">
        <v>171.02269999999999</v>
      </c>
      <c r="O617" s="4">
        <v>348.48</v>
      </c>
      <c r="P617" s="4">
        <v>3.8764546470000001</v>
      </c>
      <c r="Q617" s="4">
        <v>25.844999999999999</v>
      </c>
      <c r="R617" t="str" cm="1">
        <f t="array" ref="R617">_xlfn.IFS(B617="NY","New York",B617="TX","Texas",B617="CA","California")</f>
        <v>New York</v>
      </c>
    </row>
    <row r="618" spans="1:18" x14ac:dyDescent="0.3">
      <c r="A618" t="s">
        <v>3</v>
      </c>
      <c r="B618" t="s">
        <v>8</v>
      </c>
      <c r="C618" s="2">
        <v>43192</v>
      </c>
      <c r="D618" s="11" t="s">
        <v>103</v>
      </c>
      <c r="E618" s="3">
        <f t="shared" ca="1" si="9"/>
        <v>725220645</v>
      </c>
      <c r="F618" t="s">
        <v>12</v>
      </c>
      <c r="G618" t="s">
        <v>14</v>
      </c>
      <c r="H618" s="1" t="s">
        <v>236</v>
      </c>
      <c r="I618" t="s">
        <v>20</v>
      </c>
      <c r="J618" s="4">
        <v>2.8</v>
      </c>
      <c r="K618" s="4">
        <v>56.643000000000001</v>
      </c>
      <c r="L618" s="4">
        <v>6</v>
      </c>
      <c r="M618" s="4">
        <v>16.04</v>
      </c>
      <c r="N618" s="4">
        <v>172.2166</v>
      </c>
      <c r="O618" s="4">
        <v>435.6</v>
      </c>
      <c r="P618" s="4">
        <v>3.8764546470000001</v>
      </c>
      <c r="Q618" s="4">
        <v>91.646000000000001</v>
      </c>
      <c r="R618" t="str" cm="1">
        <f t="array" ref="R618">_xlfn.IFS(B618="NY","New York",B618="TX","Texas",B618="CA","California")</f>
        <v>California</v>
      </c>
    </row>
    <row r="619" spans="1:18" x14ac:dyDescent="0.3">
      <c r="A619" t="s">
        <v>2</v>
      </c>
      <c r="B619" t="s">
        <v>7</v>
      </c>
      <c r="C619" s="2">
        <v>43139</v>
      </c>
      <c r="D619" s="11" t="s">
        <v>149</v>
      </c>
      <c r="E619" s="3">
        <f t="shared" ca="1" si="9"/>
        <v>43014947</v>
      </c>
      <c r="F619" t="s">
        <v>12</v>
      </c>
      <c r="G619" t="s">
        <v>14</v>
      </c>
      <c r="H619" s="1" t="s">
        <v>235</v>
      </c>
      <c r="I619" t="s">
        <v>18</v>
      </c>
      <c r="J619" s="4">
        <v>1.7</v>
      </c>
      <c r="K619" s="4">
        <v>48.75</v>
      </c>
      <c r="L619" s="4">
        <v>5</v>
      </c>
      <c r="M619" s="4">
        <v>51.94</v>
      </c>
      <c r="N619" s="4">
        <v>117.3981</v>
      </c>
      <c r="O619" s="4">
        <v>439.55</v>
      </c>
      <c r="P619" s="4">
        <v>3.8764546470000001</v>
      </c>
      <c r="Q619" s="4">
        <v>76.44</v>
      </c>
      <c r="R619" t="str" cm="1">
        <f t="array" ref="R619">_xlfn.IFS(B619="NY","New York",B619="TX","Texas",B619="CA","California")</f>
        <v>Texas</v>
      </c>
    </row>
    <row r="620" spans="1:18" x14ac:dyDescent="0.3">
      <c r="A620" t="s">
        <v>1</v>
      </c>
      <c r="B620" t="s">
        <v>6</v>
      </c>
      <c r="C620" s="2">
        <v>43175</v>
      </c>
      <c r="D620" s="11" t="s">
        <v>137</v>
      </c>
      <c r="E620" s="3">
        <f t="shared" ca="1" si="9"/>
        <v>842705577</v>
      </c>
      <c r="F620" t="s">
        <v>12</v>
      </c>
      <c r="G620" t="s">
        <v>14</v>
      </c>
      <c r="H620" s="1" t="s">
        <v>237</v>
      </c>
      <c r="I620" t="s">
        <v>21</v>
      </c>
      <c r="J620" s="4">
        <v>4</v>
      </c>
      <c r="K620" s="4">
        <v>88.85</v>
      </c>
      <c r="L620" s="4">
        <v>6</v>
      </c>
      <c r="M620" s="4">
        <v>37.049999999999997</v>
      </c>
      <c r="N620" s="4">
        <v>185.99770000000001</v>
      </c>
      <c r="O620" s="4">
        <v>591.17999999999995</v>
      </c>
      <c r="P620" s="4">
        <v>3.8764546470000001</v>
      </c>
      <c r="Q620" s="4">
        <v>65.814999999999998</v>
      </c>
      <c r="R620" t="str" cm="1">
        <f t="array" ref="R620">_xlfn.IFS(B620="NY","New York",B620="TX","Texas",B620="CA","California")</f>
        <v>New York</v>
      </c>
    </row>
    <row r="621" spans="1:18" x14ac:dyDescent="0.3">
      <c r="A621" t="s">
        <v>2</v>
      </c>
      <c r="B621" t="s">
        <v>7</v>
      </c>
      <c r="C621" s="2">
        <v>43303</v>
      </c>
      <c r="D621" s="11" t="s">
        <v>177</v>
      </c>
      <c r="E621" s="3">
        <f t="shared" ca="1" si="9"/>
        <v>232804086</v>
      </c>
      <c r="F621" t="s">
        <v>11</v>
      </c>
      <c r="G621" t="s">
        <v>14</v>
      </c>
      <c r="H621" s="1" t="s">
        <v>235</v>
      </c>
      <c r="I621" t="s">
        <v>22</v>
      </c>
      <c r="J621" s="4">
        <v>9</v>
      </c>
      <c r="K621" s="4">
        <v>90.84</v>
      </c>
      <c r="L621" s="4">
        <v>6</v>
      </c>
      <c r="M621" s="4">
        <v>96.68</v>
      </c>
      <c r="N621" s="4">
        <v>120.5324</v>
      </c>
      <c r="O621" s="4">
        <v>260.76</v>
      </c>
      <c r="P621" s="4">
        <v>3.8764546470000001</v>
      </c>
      <c r="Q621" s="4">
        <v>96.941000000000003</v>
      </c>
      <c r="R621" t="str" cm="1">
        <f t="array" ref="R621">_xlfn.IFS(B621="NY","New York",B621="TX","Texas",B621="CA","California")</f>
        <v>Texas</v>
      </c>
    </row>
    <row r="622" spans="1:18" x14ac:dyDescent="0.3">
      <c r="A622" t="s">
        <v>1</v>
      </c>
      <c r="B622" t="s">
        <v>6</v>
      </c>
      <c r="C622" s="2">
        <v>43055</v>
      </c>
      <c r="D622" s="11" t="s">
        <v>143</v>
      </c>
      <c r="E622" s="3">
        <f t="shared" ca="1" si="9"/>
        <v>755896688</v>
      </c>
      <c r="F622" t="s">
        <v>11</v>
      </c>
      <c r="G622" t="s">
        <v>15</v>
      </c>
      <c r="H622" s="1" t="s">
        <v>237</v>
      </c>
      <c r="I622" t="s">
        <v>21</v>
      </c>
      <c r="J622" s="4">
        <v>4</v>
      </c>
      <c r="K622" s="4">
        <v>42.06</v>
      </c>
      <c r="L622" s="4">
        <v>3</v>
      </c>
      <c r="M622" s="4">
        <v>50.05</v>
      </c>
      <c r="N622" s="4">
        <v>119.82470000000001</v>
      </c>
      <c r="O622" s="4">
        <v>215.04</v>
      </c>
      <c r="P622" s="4">
        <v>3.8764546470000001</v>
      </c>
      <c r="Q622" s="4">
        <v>91.67</v>
      </c>
      <c r="R622" t="str" cm="1">
        <f t="array" ref="R622">_xlfn.IFS(B622="NY","New York",B622="TX","Texas",B622="CA","California")</f>
        <v>New York</v>
      </c>
    </row>
    <row r="623" spans="1:18" x14ac:dyDescent="0.3">
      <c r="A623" t="s">
        <v>1</v>
      </c>
      <c r="B623" t="s">
        <v>6</v>
      </c>
      <c r="C623" s="2">
        <v>43295</v>
      </c>
      <c r="D623" s="11" t="s">
        <v>116</v>
      </c>
      <c r="E623" s="3">
        <f t="shared" ca="1" si="9"/>
        <v>192433079</v>
      </c>
      <c r="F623" t="s">
        <v>11</v>
      </c>
      <c r="G623" t="s">
        <v>14</v>
      </c>
      <c r="H623" s="1" t="s">
        <v>236</v>
      </c>
      <c r="I623" t="s">
        <v>21</v>
      </c>
      <c r="J623" s="4">
        <v>9</v>
      </c>
      <c r="K623" s="4">
        <v>88.18</v>
      </c>
      <c r="L623" s="4">
        <v>1</v>
      </c>
      <c r="M623" s="4">
        <v>71.48</v>
      </c>
      <c r="N623" s="4">
        <v>124.6</v>
      </c>
      <c r="O623" s="4">
        <v>91.61</v>
      </c>
      <c r="P623" s="4">
        <v>3.8764546470000001</v>
      </c>
      <c r="Q623" s="4">
        <v>87.879000000000005</v>
      </c>
      <c r="R623" t="str" cm="1">
        <f t="array" ref="R623">_xlfn.IFS(B623="NY","New York",B623="TX","Texas",B623="CA","California")</f>
        <v>New York</v>
      </c>
    </row>
    <row r="624" spans="1:18" x14ac:dyDescent="0.3">
      <c r="A624" t="s">
        <v>3</v>
      </c>
      <c r="B624" t="s">
        <v>8</v>
      </c>
      <c r="C624" s="2">
        <v>42939</v>
      </c>
      <c r="D624" s="11" t="s">
        <v>158</v>
      </c>
      <c r="E624" s="3">
        <f t="shared" ca="1" si="9"/>
        <v>520078271</v>
      </c>
      <c r="F624" t="s">
        <v>11</v>
      </c>
      <c r="G624" t="s">
        <v>14</v>
      </c>
      <c r="H624" s="1" t="s">
        <v>237</v>
      </c>
      <c r="I624" t="s">
        <v>19</v>
      </c>
      <c r="J624" s="4">
        <v>8</v>
      </c>
      <c r="K624" s="4">
        <v>57.24</v>
      </c>
      <c r="L624" s="4">
        <v>7</v>
      </c>
      <c r="M624" s="4">
        <v>50.55</v>
      </c>
      <c r="N624" s="4">
        <v>121.10250000000001</v>
      </c>
      <c r="O624" s="4">
        <v>662.13</v>
      </c>
      <c r="P624" s="4">
        <v>3.8764546470000001</v>
      </c>
      <c r="Q624" s="4">
        <v>79.62</v>
      </c>
      <c r="R624" t="str" cm="1">
        <f t="array" ref="R624">_xlfn.IFS(B624="NY","New York",B624="TX","Texas",B624="CA","California")</f>
        <v>California</v>
      </c>
    </row>
    <row r="625" spans="1:18" x14ac:dyDescent="0.3">
      <c r="A625" t="s">
        <v>3</v>
      </c>
      <c r="B625" t="s">
        <v>8</v>
      </c>
      <c r="C625" s="2">
        <v>43070</v>
      </c>
      <c r="D625" s="11" t="s">
        <v>74</v>
      </c>
      <c r="E625" s="3">
        <f t="shared" ca="1" si="9"/>
        <v>726597609</v>
      </c>
      <c r="F625" t="s">
        <v>11</v>
      </c>
      <c r="G625" t="s">
        <v>15</v>
      </c>
      <c r="H625" s="1" t="s">
        <v>237</v>
      </c>
      <c r="I625" t="s">
        <v>22</v>
      </c>
      <c r="J625" s="4">
        <v>7</v>
      </c>
      <c r="K625" s="4">
        <v>97.29</v>
      </c>
      <c r="L625" s="4">
        <v>10</v>
      </c>
      <c r="M625" s="4">
        <v>27.29</v>
      </c>
      <c r="N625" s="4">
        <v>101.6935</v>
      </c>
      <c r="O625" s="4">
        <v>832.5</v>
      </c>
      <c r="P625" s="4">
        <v>3.8764546470000001</v>
      </c>
      <c r="Q625" s="4">
        <v>22.343</v>
      </c>
      <c r="R625" t="str" cm="1">
        <f t="array" ref="R625">_xlfn.IFS(B625="NY","New York",B625="TX","Texas",B625="CA","California")</f>
        <v>California</v>
      </c>
    </row>
    <row r="626" spans="1:18" x14ac:dyDescent="0.3">
      <c r="A626" t="s">
        <v>3</v>
      </c>
      <c r="B626" t="s">
        <v>8</v>
      </c>
      <c r="C626" s="2">
        <v>43387</v>
      </c>
      <c r="D626" s="11" t="s">
        <v>179</v>
      </c>
      <c r="E626" s="3">
        <f t="shared" ca="1" si="9"/>
        <v>403859927</v>
      </c>
      <c r="F626" t="s">
        <v>12</v>
      </c>
      <c r="G626" t="s">
        <v>14</v>
      </c>
      <c r="H626" s="1" t="s">
        <v>236</v>
      </c>
      <c r="I626" t="s">
        <v>22</v>
      </c>
      <c r="J626" s="4">
        <v>7.2</v>
      </c>
      <c r="K626" s="4">
        <v>30.84</v>
      </c>
      <c r="L626" s="4">
        <v>1</v>
      </c>
      <c r="M626" s="4">
        <v>35.26</v>
      </c>
      <c r="N626" s="4">
        <v>131.99340000000001</v>
      </c>
      <c r="O626" s="4">
        <v>91.35</v>
      </c>
      <c r="P626" s="4">
        <v>3.8764546470000001</v>
      </c>
      <c r="Q626" s="4">
        <v>89.628</v>
      </c>
      <c r="R626" t="str" cm="1">
        <f t="array" ref="R626">_xlfn.IFS(B626="NY","New York",B626="TX","Texas",B626="CA","California")</f>
        <v>California</v>
      </c>
    </row>
    <row r="627" spans="1:18" x14ac:dyDescent="0.3">
      <c r="A627" t="s">
        <v>3</v>
      </c>
      <c r="B627" t="s">
        <v>8</v>
      </c>
      <c r="C627" s="2">
        <v>42949</v>
      </c>
      <c r="D627" s="11" t="s">
        <v>94</v>
      </c>
      <c r="E627" s="3">
        <f t="shared" ca="1" si="9"/>
        <v>732351245</v>
      </c>
      <c r="F627" t="s">
        <v>11</v>
      </c>
      <c r="G627" t="s">
        <v>14</v>
      </c>
      <c r="H627" s="1" t="s">
        <v>236</v>
      </c>
      <c r="I627" t="s">
        <v>21</v>
      </c>
      <c r="J627" s="4">
        <v>4.5</v>
      </c>
      <c r="K627" s="4">
        <v>46.168999999999997</v>
      </c>
      <c r="L627" s="4">
        <v>2</v>
      </c>
      <c r="M627" s="4">
        <v>92.08</v>
      </c>
      <c r="N627" s="4">
        <v>170.83799999999999</v>
      </c>
      <c r="O627" s="4">
        <v>157.76</v>
      </c>
      <c r="P627" s="4">
        <v>3.8764546470000001</v>
      </c>
      <c r="Q627" s="4">
        <v>40</v>
      </c>
      <c r="R627" t="str" cm="1">
        <f t="array" ref="R627">_xlfn.IFS(B627="NY","New York",B627="TX","Texas",B627="CA","California")</f>
        <v>California</v>
      </c>
    </row>
    <row r="628" spans="1:18" x14ac:dyDescent="0.3">
      <c r="A628" t="s">
        <v>1</v>
      </c>
      <c r="B628" t="s">
        <v>6</v>
      </c>
      <c r="C628" s="2">
        <v>43279</v>
      </c>
      <c r="D628" s="11" t="s">
        <v>148</v>
      </c>
      <c r="E628" s="3">
        <f t="shared" ca="1" si="9"/>
        <v>261675295</v>
      </c>
      <c r="F628" t="s">
        <v>12</v>
      </c>
      <c r="G628" t="s">
        <v>15</v>
      </c>
      <c r="H628" s="1" t="s">
        <v>235</v>
      </c>
      <c r="I628" t="s">
        <v>20</v>
      </c>
      <c r="J628" s="4">
        <v>4.2</v>
      </c>
      <c r="K628" s="4">
        <v>23.4</v>
      </c>
      <c r="L628" s="4">
        <v>2</v>
      </c>
      <c r="M628" s="4">
        <v>76.510000000000005</v>
      </c>
      <c r="N628" s="4">
        <v>172.54400000000001</v>
      </c>
      <c r="O628" s="4">
        <v>121.74</v>
      </c>
      <c r="P628" s="4">
        <v>3.8764546470000001</v>
      </c>
      <c r="Q628" s="4">
        <v>89.59</v>
      </c>
      <c r="R628" t="str" cm="1">
        <f t="array" ref="R628">_xlfn.IFS(B628="NY","New York",B628="TX","Texas",B628="CA","California")</f>
        <v>New York</v>
      </c>
    </row>
    <row r="629" spans="1:18" x14ac:dyDescent="0.3">
      <c r="A629" t="s">
        <v>3</v>
      </c>
      <c r="B629" t="s">
        <v>8</v>
      </c>
      <c r="C629" s="2">
        <v>43318</v>
      </c>
      <c r="D629" s="11" t="s">
        <v>77</v>
      </c>
      <c r="E629" s="3">
        <f t="shared" ca="1" si="9"/>
        <v>46343965</v>
      </c>
      <c r="F629" t="s">
        <v>12</v>
      </c>
      <c r="G629" t="s">
        <v>14</v>
      </c>
      <c r="H629" s="1" t="s">
        <v>236</v>
      </c>
      <c r="I629" t="s">
        <v>17</v>
      </c>
      <c r="J629" s="4">
        <v>9.8000000000000007</v>
      </c>
      <c r="K629" s="4">
        <v>39.26</v>
      </c>
      <c r="L629" s="4">
        <v>10</v>
      </c>
      <c r="M629" s="4">
        <v>32.57</v>
      </c>
      <c r="N629" s="4">
        <v>168.91829999999999</v>
      </c>
      <c r="O629" s="4">
        <v>825.8</v>
      </c>
      <c r="P629" s="4">
        <v>3.8764546470000001</v>
      </c>
      <c r="Q629" s="4">
        <v>77.22</v>
      </c>
      <c r="R629" t="str" cm="1">
        <f t="array" ref="R629">_xlfn.IFS(B629="NY","New York",B629="TX","Texas",B629="CA","California")</f>
        <v>California</v>
      </c>
    </row>
    <row r="630" spans="1:18" x14ac:dyDescent="0.3">
      <c r="A630" t="s">
        <v>1</v>
      </c>
      <c r="B630" t="s">
        <v>6</v>
      </c>
      <c r="C630" s="2">
        <v>43232</v>
      </c>
      <c r="D630" s="11" t="s">
        <v>225</v>
      </c>
      <c r="E630" s="3">
        <f t="shared" ca="1" si="9"/>
        <v>346094177</v>
      </c>
      <c r="F630" t="s">
        <v>12</v>
      </c>
      <c r="G630" t="s">
        <v>14</v>
      </c>
      <c r="H630" s="1" t="s">
        <v>235</v>
      </c>
      <c r="I630" t="s">
        <v>19</v>
      </c>
      <c r="J630" s="4">
        <v>9.9</v>
      </c>
      <c r="K630" s="4">
        <v>97.29</v>
      </c>
      <c r="L630" s="4">
        <v>3</v>
      </c>
      <c r="M630" s="4">
        <v>90.61</v>
      </c>
      <c r="N630" s="4">
        <v>154.0095</v>
      </c>
      <c r="O630" s="4">
        <v>159.9</v>
      </c>
      <c r="P630" s="4">
        <v>3.8764546470000001</v>
      </c>
      <c r="Q630" s="4">
        <v>59.8</v>
      </c>
      <c r="R630" t="str" cm="1">
        <f t="array" ref="R630">_xlfn.IFS(B630="NY","New York",B630="TX","Texas",B630="CA","California")</f>
        <v>New York</v>
      </c>
    </row>
    <row r="631" spans="1:18" x14ac:dyDescent="0.3">
      <c r="A631" t="s">
        <v>1</v>
      </c>
      <c r="B631" t="s">
        <v>6</v>
      </c>
      <c r="C631" s="2">
        <v>43081</v>
      </c>
      <c r="D631" s="11" t="s">
        <v>190</v>
      </c>
      <c r="E631" s="3">
        <f t="shared" ca="1" si="9"/>
        <v>844164936</v>
      </c>
      <c r="F631" t="s">
        <v>11</v>
      </c>
      <c r="G631" t="s">
        <v>15</v>
      </c>
      <c r="H631" s="1" t="s">
        <v>237</v>
      </c>
      <c r="I631" t="s">
        <v>22</v>
      </c>
      <c r="J631" s="4">
        <v>5.0999999999999996</v>
      </c>
      <c r="K631" s="4">
        <v>98.75</v>
      </c>
      <c r="L631" s="4">
        <v>1</v>
      </c>
      <c r="M631" s="4">
        <v>51.51</v>
      </c>
      <c r="N631" s="4">
        <v>173.93719999999999</v>
      </c>
      <c r="O631" s="4">
        <v>12.09</v>
      </c>
      <c r="P631" s="4">
        <v>3.8764546470000001</v>
      </c>
      <c r="Q631" s="4">
        <v>22.544</v>
      </c>
      <c r="R631" t="str" cm="1">
        <f t="array" ref="R631">_xlfn.IFS(B631="NY","New York",B631="TX","Texas",B631="CA","California")</f>
        <v>New York</v>
      </c>
    </row>
    <row r="632" spans="1:18" x14ac:dyDescent="0.3">
      <c r="A632" t="s">
        <v>1</v>
      </c>
      <c r="B632" t="s">
        <v>6</v>
      </c>
      <c r="C632" s="2">
        <v>43015</v>
      </c>
      <c r="D632" s="11" t="s">
        <v>178</v>
      </c>
      <c r="E632" s="3">
        <f t="shared" ca="1" si="9"/>
        <v>697609361</v>
      </c>
      <c r="F632" t="s">
        <v>12</v>
      </c>
      <c r="G632" t="s">
        <v>15</v>
      </c>
      <c r="H632" s="1" t="s">
        <v>237</v>
      </c>
      <c r="I632" t="s">
        <v>20</v>
      </c>
      <c r="J632" s="4">
        <v>9</v>
      </c>
      <c r="K632" s="4">
        <v>90.847999999999999</v>
      </c>
      <c r="L632" s="4">
        <v>10</v>
      </c>
      <c r="M632" s="4">
        <v>75.67</v>
      </c>
      <c r="N632" s="4">
        <v>178.2422</v>
      </c>
      <c r="O632" s="4">
        <v>641.9</v>
      </c>
      <c r="P632" s="4">
        <v>3.8764546470000001</v>
      </c>
      <c r="Q632" s="4">
        <v>52.366</v>
      </c>
      <c r="R632" t="str" cm="1">
        <f t="array" ref="R632">_xlfn.IFS(B632="NY","New York",B632="TX","Texas",B632="CA","California")</f>
        <v>New York</v>
      </c>
    </row>
    <row r="633" spans="1:18" x14ac:dyDescent="0.3">
      <c r="A633" t="s">
        <v>1</v>
      </c>
      <c r="B633" t="s">
        <v>6</v>
      </c>
      <c r="C633" s="2">
        <v>43281</v>
      </c>
      <c r="D633" s="11" t="s">
        <v>72</v>
      </c>
      <c r="E633" s="3">
        <f t="shared" ca="1" si="9"/>
        <v>280048316</v>
      </c>
      <c r="F633" t="s">
        <v>12</v>
      </c>
      <c r="G633" t="s">
        <v>15</v>
      </c>
      <c r="H633" s="1" t="s">
        <v>235</v>
      </c>
      <c r="I633" t="s">
        <v>18</v>
      </c>
      <c r="J633" s="4">
        <v>1.5</v>
      </c>
      <c r="K633" s="4">
        <v>20.81</v>
      </c>
      <c r="L633" s="4">
        <v>3</v>
      </c>
      <c r="M633" s="4">
        <v>46.67</v>
      </c>
      <c r="N633" s="4">
        <v>142.8143</v>
      </c>
      <c r="O633" s="4">
        <v>234.93</v>
      </c>
      <c r="P633" s="4">
        <v>3.8764546470000001</v>
      </c>
      <c r="Q633" s="4">
        <v>12.18</v>
      </c>
      <c r="R633" t="str" cm="1">
        <f t="array" ref="R633">_xlfn.IFS(B633="NY","New York",B633="TX","Texas",B633="CA","California")</f>
        <v>New York</v>
      </c>
    </row>
    <row r="634" spans="1:18" x14ac:dyDescent="0.3">
      <c r="A634" t="s">
        <v>1</v>
      </c>
      <c r="B634" t="s">
        <v>6</v>
      </c>
      <c r="C634" s="2">
        <v>42797</v>
      </c>
      <c r="D634" s="11" t="s">
        <v>50</v>
      </c>
      <c r="E634" s="3">
        <f t="shared" ca="1" si="9"/>
        <v>831362519</v>
      </c>
      <c r="F634" t="s">
        <v>12</v>
      </c>
      <c r="G634" t="s">
        <v>14</v>
      </c>
      <c r="H634" s="1" t="s">
        <v>237</v>
      </c>
      <c r="I634" t="s">
        <v>21</v>
      </c>
      <c r="J634" s="4">
        <v>5</v>
      </c>
      <c r="K634" s="4">
        <v>65.47</v>
      </c>
      <c r="L634" s="4">
        <v>2</v>
      </c>
      <c r="M634" s="4">
        <v>65.400000000000006</v>
      </c>
      <c r="N634" s="4">
        <v>167.32759999999999</v>
      </c>
      <c r="O634" s="4">
        <v>167.54</v>
      </c>
      <c r="P634" s="4">
        <v>3.8764546470000001</v>
      </c>
      <c r="Q634" s="4">
        <v>52.694000000000003</v>
      </c>
      <c r="R634" t="str" cm="1">
        <f t="array" ref="R634">_xlfn.IFS(B634="NY","New York",B634="TX","Texas",B634="CA","California")</f>
        <v>New York</v>
      </c>
    </row>
    <row r="635" spans="1:18" x14ac:dyDescent="0.3">
      <c r="A635" t="s">
        <v>3</v>
      </c>
      <c r="B635" t="s">
        <v>8</v>
      </c>
      <c r="C635" s="2">
        <v>42938</v>
      </c>
      <c r="D635" s="11" t="s">
        <v>48</v>
      </c>
      <c r="E635" s="3">
        <f t="shared" ca="1" si="9"/>
        <v>131107602</v>
      </c>
      <c r="F635" t="s">
        <v>12</v>
      </c>
      <c r="G635" t="s">
        <v>15</v>
      </c>
      <c r="H635" s="1" t="s">
        <v>235</v>
      </c>
      <c r="I635" t="s">
        <v>19</v>
      </c>
      <c r="J635" s="4">
        <v>3</v>
      </c>
      <c r="K635" s="4">
        <v>64.08</v>
      </c>
      <c r="L635" s="4">
        <v>3</v>
      </c>
      <c r="M635" s="4">
        <v>47.67</v>
      </c>
      <c r="N635" s="4">
        <v>132.66730000000001</v>
      </c>
      <c r="O635" s="4">
        <v>299.10000000000002</v>
      </c>
      <c r="P635" s="4">
        <v>3.8764546470000001</v>
      </c>
      <c r="Q635" s="4">
        <v>63.156999999999996</v>
      </c>
      <c r="R635" t="str" cm="1">
        <f t="array" ref="R635">_xlfn.IFS(B635="NY","New York",B635="TX","Texas",B635="CA","California")</f>
        <v>California</v>
      </c>
    </row>
    <row r="636" spans="1:18" x14ac:dyDescent="0.3">
      <c r="A636" t="s">
        <v>3</v>
      </c>
      <c r="B636" t="s">
        <v>8</v>
      </c>
      <c r="C636" s="2">
        <v>42925</v>
      </c>
      <c r="D636" s="11" t="s">
        <v>200</v>
      </c>
      <c r="E636" s="3">
        <f t="shared" ca="1" si="9"/>
        <v>669834351</v>
      </c>
      <c r="F636" t="s">
        <v>12</v>
      </c>
      <c r="G636" t="s">
        <v>14</v>
      </c>
      <c r="H636" s="1" t="s">
        <v>237</v>
      </c>
      <c r="I636" t="s">
        <v>21</v>
      </c>
      <c r="J636" s="4">
        <v>4</v>
      </c>
      <c r="K636" s="4">
        <v>73.5</v>
      </c>
      <c r="L636" s="4">
        <v>3</v>
      </c>
      <c r="M636" s="4">
        <v>40.72</v>
      </c>
      <c r="N636" s="4">
        <v>172.56180000000001</v>
      </c>
      <c r="O636" s="4">
        <v>239.73</v>
      </c>
      <c r="P636" s="4">
        <v>3.8764546470000001</v>
      </c>
      <c r="Q636" s="4">
        <v>22.463999999999999</v>
      </c>
      <c r="R636" t="str" cm="1">
        <f t="array" ref="R636">_xlfn.IFS(B636="NY","New York",B636="TX","Texas",B636="CA","California")</f>
        <v>California</v>
      </c>
    </row>
    <row r="637" spans="1:18" x14ac:dyDescent="0.3">
      <c r="A637" t="s">
        <v>3</v>
      </c>
      <c r="B637" t="s">
        <v>8</v>
      </c>
      <c r="C637" s="2">
        <v>43135</v>
      </c>
      <c r="D637" s="11" t="s">
        <v>162</v>
      </c>
      <c r="E637" s="3">
        <f t="shared" ca="1" si="9"/>
        <v>328061409</v>
      </c>
      <c r="F637" t="s">
        <v>12</v>
      </c>
      <c r="G637" t="s">
        <v>14</v>
      </c>
      <c r="H637" s="1" t="s">
        <v>237</v>
      </c>
      <c r="I637" t="s">
        <v>17</v>
      </c>
      <c r="J637" s="4">
        <v>6</v>
      </c>
      <c r="K637" s="4">
        <v>87.79</v>
      </c>
      <c r="L637" s="4">
        <v>10</v>
      </c>
      <c r="M637" s="4">
        <v>72.11</v>
      </c>
      <c r="N637" s="4">
        <v>105.5073</v>
      </c>
      <c r="O637" s="4">
        <v>664.7</v>
      </c>
      <c r="P637" s="4">
        <v>3.8764546470000001</v>
      </c>
      <c r="Q637" s="4">
        <v>63.78</v>
      </c>
      <c r="R637" t="str" cm="1">
        <f t="array" ref="R637">_xlfn.IFS(B637="NY","New York",B637="TX","Texas",B637="CA","California")</f>
        <v>California</v>
      </c>
    </row>
    <row r="638" spans="1:18" x14ac:dyDescent="0.3">
      <c r="A638" t="s">
        <v>1</v>
      </c>
      <c r="B638" t="s">
        <v>6</v>
      </c>
      <c r="C638" s="2">
        <v>42838</v>
      </c>
      <c r="D638" s="11" t="s">
        <v>166</v>
      </c>
      <c r="E638" s="3">
        <f t="shared" ca="1" si="9"/>
        <v>810810929</v>
      </c>
      <c r="F638" t="s">
        <v>12</v>
      </c>
      <c r="G638" t="s">
        <v>15</v>
      </c>
      <c r="H638" s="1" t="s">
        <v>237</v>
      </c>
      <c r="I638" t="s">
        <v>17</v>
      </c>
      <c r="J638" s="4">
        <v>8</v>
      </c>
      <c r="K638" s="4">
        <v>84.180999999999997</v>
      </c>
      <c r="L638" s="4">
        <v>7</v>
      </c>
      <c r="M638" s="4">
        <v>35.869999999999997</v>
      </c>
      <c r="N638" s="4">
        <v>124.38979999999999</v>
      </c>
      <c r="O638" s="4">
        <v>202.65</v>
      </c>
      <c r="P638" s="4">
        <v>3.8764546470000001</v>
      </c>
      <c r="Q638" s="4">
        <v>71.099999999999994</v>
      </c>
      <c r="R638" t="str" cm="1">
        <f t="array" ref="R638">_xlfn.IFS(B638="NY","New York",B638="TX","Texas",B638="CA","California")</f>
        <v>New York</v>
      </c>
    </row>
    <row r="639" spans="1:18" x14ac:dyDescent="0.3">
      <c r="A639" t="s">
        <v>2</v>
      </c>
      <c r="B639" t="s">
        <v>7</v>
      </c>
      <c r="C639" s="2">
        <v>42901</v>
      </c>
      <c r="D639" s="11" t="s">
        <v>137</v>
      </c>
      <c r="E639" s="3">
        <f t="shared" ca="1" si="9"/>
        <v>701622400</v>
      </c>
      <c r="F639" t="s">
        <v>11</v>
      </c>
      <c r="G639" t="s">
        <v>15</v>
      </c>
      <c r="H639" s="1" t="s">
        <v>236</v>
      </c>
      <c r="I639" t="s">
        <v>18</v>
      </c>
      <c r="J639" s="4">
        <v>9</v>
      </c>
      <c r="K639" s="4">
        <v>25.31</v>
      </c>
      <c r="L639" s="4">
        <v>1</v>
      </c>
      <c r="M639" s="4">
        <v>65.680000000000007</v>
      </c>
      <c r="N639" s="4">
        <v>140.53829999999999</v>
      </c>
      <c r="O639" s="4">
        <v>46.2</v>
      </c>
      <c r="P639" s="4">
        <v>3.8764546470000001</v>
      </c>
      <c r="Q639" s="4">
        <v>42.2</v>
      </c>
      <c r="R639" t="str" cm="1">
        <f t="array" ref="R639">_xlfn.IFS(B639="NY","New York",B639="TX","Texas",B639="CA","California")</f>
        <v>Texas</v>
      </c>
    </row>
    <row r="640" spans="1:18" x14ac:dyDescent="0.3">
      <c r="A640" t="s">
        <v>3</v>
      </c>
      <c r="B640" t="s">
        <v>8</v>
      </c>
      <c r="C640" s="2">
        <v>43411</v>
      </c>
      <c r="D640" s="11" t="s">
        <v>100</v>
      </c>
      <c r="E640" s="3">
        <f t="shared" ca="1" si="9"/>
        <v>782089271</v>
      </c>
      <c r="F640" t="s">
        <v>11</v>
      </c>
      <c r="G640" t="s">
        <v>14</v>
      </c>
      <c r="H640" s="1" t="s">
        <v>236</v>
      </c>
      <c r="I640" t="s">
        <v>21</v>
      </c>
      <c r="J640" s="4">
        <v>7</v>
      </c>
      <c r="K640" s="4">
        <v>28.273</v>
      </c>
      <c r="L640" s="4">
        <v>5</v>
      </c>
      <c r="M640" s="4">
        <v>44.16</v>
      </c>
      <c r="N640" s="4">
        <v>154.9941</v>
      </c>
      <c r="O640" s="4">
        <v>88.15</v>
      </c>
      <c r="P640" s="4">
        <v>3.8764546470000001</v>
      </c>
      <c r="Q640" s="4">
        <v>71.869</v>
      </c>
      <c r="R640" t="str" cm="1">
        <f t="array" ref="R640">_xlfn.IFS(B640="NY","New York",B640="TX","Texas",B640="CA","California")</f>
        <v>California</v>
      </c>
    </row>
    <row r="641" spans="1:18" x14ac:dyDescent="0.3">
      <c r="A641" t="s">
        <v>3</v>
      </c>
      <c r="B641" t="s">
        <v>8</v>
      </c>
      <c r="C641" s="2">
        <v>42955</v>
      </c>
      <c r="D641" s="11" t="s">
        <v>175</v>
      </c>
      <c r="E641" s="3">
        <f t="shared" ca="1" si="9"/>
        <v>465530502</v>
      </c>
      <c r="F641" t="s">
        <v>12</v>
      </c>
      <c r="G641" t="s">
        <v>15</v>
      </c>
      <c r="H641" s="1" t="s">
        <v>235</v>
      </c>
      <c r="I641" t="s">
        <v>22</v>
      </c>
      <c r="J641" s="4">
        <v>9.8000000000000007</v>
      </c>
      <c r="K641" s="4">
        <v>67.966999999999999</v>
      </c>
      <c r="L641" s="4">
        <v>3</v>
      </c>
      <c r="M641" s="4">
        <v>57.12</v>
      </c>
      <c r="N641" s="4">
        <v>188.70650000000001</v>
      </c>
      <c r="O641" s="4">
        <v>157.26</v>
      </c>
      <c r="P641" s="4">
        <v>3.8764546470000001</v>
      </c>
      <c r="Q641" s="4">
        <v>37.17</v>
      </c>
      <c r="R641" t="str" cm="1">
        <f t="array" ref="R641">_xlfn.IFS(B641="NY","New York",B641="TX","Texas",B641="CA","California")</f>
        <v>California</v>
      </c>
    </row>
    <row r="642" spans="1:18" x14ac:dyDescent="0.3">
      <c r="A642" t="s">
        <v>3</v>
      </c>
      <c r="B642" t="s">
        <v>8</v>
      </c>
      <c r="C642" s="2">
        <v>43381</v>
      </c>
      <c r="D642" s="11" t="s">
        <v>212</v>
      </c>
      <c r="E642" s="3">
        <f t="shared" ca="1" si="9"/>
        <v>398052651</v>
      </c>
      <c r="F642" t="s">
        <v>11</v>
      </c>
      <c r="G642" t="s">
        <v>14</v>
      </c>
      <c r="H642" s="1" t="s">
        <v>235</v>
      </c>
      <c r="I642" t="s">
        <v>21</v>
      </c>
      <c r="J642" s="4">
        <v>1.8</v>
      </c>
      <c r="K642" s="4">
        <v>23.905000000000001</v>
      </c>
      <c r="L642" s="4">
        <v>3</v>
      </c>
      <c r="M642" s="4">
        <v>23.42</v>
      </c>
      <c r="N642" s="4">
        <v>148.2929</v>
      </c>
      <c r="O642" s="4">
        <v>296.37</v>
      </c>
      <c r="P642" s="4">
        <v>3.8764546470000001</v>
      </c>
      <c r="Q642" s="4">
        <v>36.994</v>
      </c>
      <c r="R642" t="str" cm="1">
        <f t="array" ref="R642">_xlfn.IFS(B642="NY","New York",B642="TX","Texas",B642="CA","California")</f>
        <v>California</v>
      </c>
    </row>
    <row r="643" spans="1:18" x14ac:dyDescent="0.3">
      <c r="A643" t="s">
        <v>2</v>
      </c>
      <c r="B643" t="s">
        <v>7</v>
      </c>
      <c r="C643" s="2">
        <v>43341</v>
      </c>
      <c r="D643" s="11" t="s">
        <v>49</v>
      </c>
      <c r="E643" s="3">
        <f t="shared" ref="E643:E706" ca="1" si="10">RANDBETWEEN(10000000,1000000000)</f>
        <v>742220818</v>
      </c>
      <c r="F643" t="s">
        <v>11</v>
      </c>
      <c r="G643" t="s">
        <v>14</v>
      </c>
      <c r="H643" s="1" t="s">
        <v>235</v>
      </c>
      <c r="I643" t="s">
        <v>18</v>
      </c>
      <c r="J643" s="4">
        <v>9.8000000000000007</v>
      </c>
      <c r="K643" s="4">
        <v>66.897999999999996</v>
      </c>
      <c r="L643" s="4">
        <v>8</v>
      </c>
      <c r="M643" s="4">
        <v>38.97</v>
      </c>
      <c r="N643" s="4">
        <v>112.9753</v>
      </c>
      <c r="O643" s="4">
        <v>708.4</v>
      </c>
      <c r="P643" s="4">
        <v>3.8764546470000001</v>
      </c>
      <c r="Q643" s="4">
        <v>26.04</v>
      </c>
      <c r="R643" t="str" cm="1">
        <f t="array" ref="R643">_xlfn.IFS(B643="NY","New York",B643="TX","Texas",B643="CA","California")</f>
        <v>Texas</v>
      </c>
    </row>
    <row r="644" spans="1:18" x14ac:dyDescent="0.3">
      <c r="A644" t="s">
        <v>3</v>
      </c>
      <c r="B644" t="s">
        <v>8</v>
      </c>
      <c r="C644" s="2">
        <v>43001</v>
      </c>
      <c r="D644" s="11" t="s">
        <v>190</v>
      </c>
      <c r="E644" s="3">
        <f t="shared" ca="1" si="10"/>
        <v>747502396</v>
      </c>
      <c r="F644" t="s">
        <v>12</v>
      </c>
      <c r="G644" t="s">
        <v>14</v>
      </c>
      <c r="H644" s="1" t="s">
        <v>235</v>
      </c>
      <c r="I644" t="s">
        <v>18</v>
      </c>
      <c r="J644" s="4">
        <v>9.4</v>
      </c>
      <c r="K644" s="4">
        <v>94.93</v>
      </c>
      <c r="L644" s="4">
        <v>2</v>
      </c>
      <c r="M644" s="4">
        <v>64.22</v>
      </c>
      <c r="N644" s="4">
        <v>157.25450000000001</v>
      </c>
      <c r="O644" s="4">
        <v>111.34</v>
      </c>
      <c r="P644" s="4">
        <v>3.8764546470000001</v>
      </c>
      <c r="Q644" s="4">
        <v>92.361000000000004</v>
      </c>
      <c r="R644" t="str" cm="1">
        <f t="array" ref="R644">_xlfn.IFS(B644="NY","New York",B644="TX","Texas",B644="CA","California")</f>
        <v>California</v>
      </c>
    </row>
    <row r="645" spans="1:18" x14ac:dyDescent="0.3">
      <c r="A645" t="s">
        <v>2</v>
      </c>
      <c r="B645" t="s">
        <v>7</v>
      </c>
      <c r="C645" s="2">
        <v>43376</v>
      </c>
      <c r="D645" s="11" t="s">
        <v>178</v>
      </c>
      <c r="E645" s="3">
        <f t="shared" ca="1" si="10"/>
        <v>97376026</v>
      </c>
      <c r="F645" t="s">
        <v>11</v>
      </c>
      <c r="G645" t="s">
        <v>14</v>
      </c>
      <c r="H645" s="1" t="s">
        <v>237</v>
      </c>
      <c r="I645" t="s">
        <v>21</v>
      </c>
      <c r="J645" s="4">
        <v>7.1</v>
      </c>
      <c r="K645" s="4">
        <v>19.66</v>
      </c>
      <c r="L645" s="4">
        <v>8</v>
      </c>
      <c r="M645" s="4">
        <v>25.85</v>
      </c>
      <c r="N645" s="4">
        <v>100.1407</v>
      </c>
      <c r="O645" s="4">
        <v>580.16</v>
      </c>
      <c r="P645" s="4">
        <v>3.8764546470000001</v>
      </c>
      <c r="Q645" s="4">
        <v>95.819000000000003</v>
      </c>
      <c r="R645" t="str" cm="1">
        <f t="array" ref="R645">_xlfn.IFS(B645="NY","New York",B645="TX","Texas",B645="CA","California")</f>
        <v>Texas</v>
      </c>
    </row>
    <row r="646" spans="1:18" x14ac:dyDescent="0.3">
      <c r="A646" t="s">
        <v>2</v>
      </c>
      <c r="B646" t="s">
        <v>7</v>
      </c>
      <c r="C646" s="2">
        <v>43277</v>
      </c>
      <c r="D646" s="11" t="s">
        <v>226</v>
      </c>
      <c r="E646" s="3">
        <f t="shared" ca="1" si="10"/>
        <v>847844012</v>
      </c>
      <c r="F646" t="s">
        <v>12</v>
      </c>
      <c r="G646" t="s">
        <v>14</v>
      </c>
      <c r="H646" s="1" t="s">
        <v>235</v>
      </c>
      <c r="I646" t="s">
        <v>18</v>
      </c>
      <c r="J646" s="4">
        <v>3.4</v>
      </c>
      <c r="K646" s="4">
        <v>84.37</v>
      </c>
      <c r="L646" s="4">
        <v>5</v>
      </c>
      <c r="M646" s="4">
        <v>67.16</v>
      </c>
      <c r="N646" s="4">
        <v>155.37780000000001</v>
      </c>
      <c r="O646" s="4">
        <v>60.25</v>
      </c>
      <c r="P646" s="4">
        <v>3.8764546470000001</v>
      </c>
      <c r="Q646" s="4">
        <v>54.09</v>
      </c>
      <c r="R646" t="str" cm="1">
        <f t="array" ref="R646">_xlfn.IFS(B646="NY","New York",B646="TX","Texas",B646="CA","California")</f>
        <v>Texas</v>
      </c>
    </row>
    <row r="647" spans="1:18" x14ac:dyDescent="0.3">
      <c r="A647" t="s">
        <v>1</v>
      </c>
      <c r="B647" t="s">
        <v>6</v>
      </c>
      <c r="C647" s="2">
        <v>43451</v>
      </c>
      <c r="D647" s="11" t="s">
        <v>42</v>
      </c>
      <c r="E647" s="3">
        <f t="shared" ca="1" si="10"/>
        <v>748953758</v>
      </c>
      <c r="F647" t="s">
        <v>12</v>
      </c>
      <c r="G647" t="s">
        <v>14</v>
      </c>
      <c r="H647" s="1" t="s">
        <v>235</v>
      </c>
      <c r="I647" t="s">
        <v>19</v>
      </c>
      <c r="J647" s="4">
        <v>7.1</v>
      </c>
      <c r="K647" s="4">
        <v>24.417000000000002</v>
      </c>
      <c r="L647" s="4">
        <v>9</v>
      </c>
      <c r="M647" s="4">
        <v>78.680000000000007</v>
      </c>
      <c r="N647" s="4">
        <v>127.8419</v>
      </c>
      <c r="O647" s="4">
        <v>174.24</v>
      </c>
      <c r="P647" s="4">
        <v>3.8764546470000001</v>
      </c>
      <c r="Q647" s="4">
        <v>91.793999999999997</v>
      </c>
      <c r="R647" t="str" cm="1">
        <f t="array" ref="R647">_xlfn.IFS(B647="NY","New York",B647="TX","Texas",B647="CA","California")</f>
        <v>New York</v>
      </c>
    </row>
    <row r="648" spans="1:18" x14ac:dyDescent="0.3">
      <c r="A648" t="s">
        <v>2</v>
      </c>
      <c r="B648" t="s">
        <v>7</v>
      </c>
      <c r="C648" s="2">
        <v>42929</v>
      </c>
      <c r="D648" s="11" t="s">
        <v>59</v>
      </c>
      <c r="E648" s="3">
        <f t="shared" ca="1" si="10"/>
        <v>858366971</v>
      </c>
      <c r="F648" t="s">
        <v>12</v>
      </c>
      <c r="G648" t="s">
        <v>15</v>
      </c>
      <c r="H648" s="1" t="s">
        <v>236</v>
      </c>
      <c r="I648" t="s">
        <v>17</v>
      </c>
      <c r="J648" s="4">
        <v>1.7</v>
      </c>
      <c r="K648" s="4">
        <v>22.69</v>
      </c>
      <c r="L648" s="4">
        <v>6</v>
      </c>
      <c r="M648" s="4">
        <v>32.57</v>
      </c>
      <c r="N648" s="4">
        <v>159.536</v>
      </c>
      <c r="O648" s="4">
        <v>421.26</v>
      </c>
      <c r="P648" s="4">
        <v>3.8764546470000001</v>
      </c>
      <c r="Q648" s="4">
        <v>49.892000000000003</v>
      </c>
      <c r="R648" t="str" cm="1">
        <f t="array" ref="R648">_xlfn.IFS(B648="NY","New York",B648="TX","Texas",B648="CA","California")</f>
        <v>Texas</v>
      </c>
    </row>
    <row r="649" spans="1:18" x14ac:dyDescent="0.3">
      <c r="A649" t="s">
        <v>3</v>
      </c>
      <c r="B649" t="s">
        <v>8</v>
      </c>
      <c r="C649" s="2">
        <v>43262</v>
      </c>
      <c r="D649" s="11" t="s">
        <v>153</v>
      </c>
      <c r="E649" s="3">
        <f t="shared" ca="1" si="10"/>
        <v>247441270</v>
      </c>
      <c r="F649" t="s">
        <v>12</v>
      </c>
      <c r="G649" t="s">
        <v>14</v>
      </c>
      <c r="H649" s="1" t="s">
        <v>236</v>
      </c>
      <c r="I649" t="s">
        <v>22</v>
      </c>
      <c r="J649" s="4">
        <v>4.2</v>
      </c>
      <c r="K649" s="4">
        <v>65.16</v>
      </c>
      <c r="L649" s="4">
        <v>1</v>
      </c>
      <c r="M649" s="4">
        <v>16.32</v>
      </c>
      <c r="N649" s="4">
        <v>152.4905</v>
      </c>
      <c r="O649" s="4">
        <v>33.630000000000003</v>
      </c>
      <c r="P649" s="4">
        <v>3.8764546470000001</v>
      </c>
      <c r="Q649" s="4">
        <v>35.034999999999997</v>
      </c>
      <c r="R649" t="str" cm="1">
        <f t="array" ref="R649">_xlfn.IFS(B649="NY","New York",B649="TX","Texas",B649="CA","California")</f>
        <v>California</v>
      </c>
    </row>
    <row r="650" spans="1:18" x14ac:dyDescent="0.3">
      <c r="A650" t="s">
        <v>2</v>
      </c>
      <c r="B650" t="s">
        <v>7</v>
      </c>
      <c r="C650" s="2">
        <v>42934</v>
      </c>
      <c r="D650" s="11" t="s">
        <v>122</v>
      </c>
      <c r="E650" s="3">
        <f t="shared" ca="1" si="10"/>
        <v>370478633</v>
      </c>
      <c r="F650" t="s">
        <v>11</v>
      </c>
      <c r="G650" t="s">
        <v>14</v>
      </c>
      <c r="H650" s="1" t="s">
        <v>236</v>
      </c>
      <c r="I650" t="s">
        <v>20</v>
      </c>
      <c r="J650" s="4">
        <v>3</v>
      </c>
      <c r="K650" s="4">
        <v>91.9</v>
      </c>
      <c r="L650" s="4">
        <v>2</v>
      </c>
      <c r="M650" s="4">
        <v>37.619999999999997</v>
      </c>
      <c r="N650" s="4">
        <v>178.18</v>
      </c>
      <c r="O650" s="4">
        <v>30.98</v>
      </c>
      <c r="P650" s="4">
        <v>3.8764546470000001</v>
      </c>
      <c r="Q650" s="4">
        <v>24.751000000000001</v>
      </c>
      <c r="R650" t="str" cm="1">
        <f t="array" ref="R650">_xlfn.IFS(B650="NY","New York",B650="TX","Texas",B650="CA","California")</f>
        <v>Texas</v>
      </c>
    </row>
    <row r="651" spans="1:18" x14ac:dyDescent="0.3">
      <c r="A651" t="s">
        <v>2</v>
      </c>
      <c r="B651" t="s">
        <v>7</v>
      </c>
      <c r="C651" s="2">
        <v>43453</v>
      </c>
      <c r="D651" s="11" t="s">
        <v>88</v>
      </c>
      <c r="E651" s="3">
        <f t="shared" ca="1" si="10"/>
        <v>968970091</v>
      </c>
      <c r="F651" t="s">
        <v>12</v>
      </c>
      <c r="G651" t="s">
        <v>15</v>
      </c>
      <c r="H651" s="1" t="s">
        <v>236</v>
      </c>
      <c r="I651" t="s">
        <v>18</v>
      </c>
      <c r="J651" s="4">
        <v>8</v>
      </c>
      <c r="K651" s="4">
        <v>24.28</v>
      </c>
      <c r="L651" s="4">
        <v>10</v>
      </c>
      <c r="M651" s="4">
        <v>92.36</v>
      </c>
      <c r="N651" s="4">
        <v>122.8023</v>
      </c>
      <c r="O651" s="4">
        <v>247.4</v>
      </c>
      <c r="P651" s="4">
        <v>3.8764546470000001</v>
      </c>
      <c r="Q651" s="4">
        <v>21.7</v>
      </c>
      <c r="R651" t="str" cm="1">
        <f t="array" ref="R651">_xlfn.IFS(B651="NY","New York",B651="TX","Texas",B651="CA","California")</f>
        <v>Texas</v>
      </c>
    </row>
    <row r="652" spans="1:18" x14ac:dyDescent="0.3">
      <c r="A652" t="s">
        <v>3</v>
      </c>
      <c r="B652" t="s">
        <v>8</v>
      </c>
      <c r="C652" s="2">
        <v>43117</v>
      </c>
      <c r="D652" s="11" t="s">
        <v>96</v>
      </c>
      <c r="E652" s="3">
        <f t="shared" ca="1" si="10"/>
        <v>126653757</v>
      </c>
      <c r="F652" t="s">
        <v>12</v>
      </c>
      <c r="G652" t="s">
        <v>15</v>
      </c>
      <c r="H652" s="1" t="s">
        <v>235</v>
      </c>
      <c r="I652" t="s">
        <v>18</v>
      </c>
      <c r="J652" s="4">
        <v>3</v>
      </c>
      <c r="K652" s="4">
        <v>56.93</v>
      </c>
      <c r="L652" s="4">
        <v>5</v>
      </c>
      <c r="M652" s="4">
        <v>17.399999999999999</v>
      </c>
      <c r="N652" s="4">
        <v>162.59710000000001</v>
      </c>
      <c r="O652" s="4">
        <v>378.3</v>
      </c>
      <c r="P652" s="4">
        <v>3.8764546470000001</v>
      </c>
      <c r="Q652" s="4">
        <v>30.12</v>
      </c>
      <c r="R652" t="str" cm="1">
        <f t="array" ref="R652">_xlfn.IFS(B652="NY","New York",B652="TX","Texas",B652="CA","California")</f>
        <v>California</v>
      </c>
    </row>
    <row r="653" spans="1:18" x14ac:dyDescent="0.3">
      <c r="A653" t="s">
        <v>3</v>
      </c>
      <c r="B653" t="s">
        <v>8</v>
      </c>
      <c r="C653" s="2">
        <v>43452</v>
      </c>
      <c r="D653" s="11" t="s">
        <v>89</v>
      </c>
      <c r="E653" s="3">
        <f t="shared" ca="1" si="10"/>
        <v>48936888</v>
      </c>
      <c r="F653" t="s">
        <v>11</v>
      </c>
      <c r="G653" t="s">
        <v>15</v>
      </c>
      <c r="H653" s="1" t="s">
        <v>236</v>
      </c>
      <c r="I653" t="s">
        <v>17</v>
      </c>
      <c r="J653" s="4">
        <v>5</v>
      </c>
      <c r="K653" s="4">
        <v>36.659999999999997</v>
      </c>
      <c r="L653" s="4">
        <v>6</v>
      </c>
      <c r="M653" s="4">
        <v>10.11</v>
      </c>
      <c r="N653" s="4">
        <v>186.9615</v>
      </c>
      <c r="O653" s="4">
        <v>334.86</v>
      </c>
      <c r="P653" s="4">
        <v>3.8764546470000001</v>
      </c>
      <c r="Q653" s="4">
        <v>95.218999999999994</v>
      </c>
      <c r="R653" t="str" cm="1">
        <f t="array" ref="R653">_xlfn.IFS(B653="NY","New York",B653="TX","Texas",B653="CA","California")</f>
        <v>California</v>
      </c>
    </row>
    <row r="654" spans="1:18" x14ac:dyDescent="0.3">
      <c r="A654" t="s">
        <v>1</v>
      </c>
      <c r="B654" t="s">
        <v>6</v>
      </c>
      <c r="C654" s="2">
        <v>43029</v>
      </c>
      <c r="D654" s="11" t="s">
        <v>184</v>
      </c>
      <c r="E654" s="3">
        <f t="shared" ca="1" si="10"/>
        <v>991267113</v>
      </c>
      <c r="F654" t="s">
        <v>12</v>
      </c>
      <c r="G654" t="s">
        <v>14</v>
      </c>
      <c r="H654" s="1" t="s">
        <v>236</v>
      </c>
      <c r="I654" t="s">
        <v>19</v>
      </c>
      <c r="J654" s="4">
        <v>9</v>
      </c>
      <c r="K654" s="4">
        <v>52.357999999999997</v>
      </c>
      <c r="L654" s="4">
        <v>10</v>
      </c>
      <c r="M654" s="4">
        <v>46.55</v>
      </c>
      <c r="N654" s="4">
        <v>184.54849999999999</v>
      </c>
      <c r="O654" s="4">
        <v>727.8</v>
      </c>
      <c r="P654" s="4">
        <v>3.8764546470000001</v>
      </c>
      <c r="Q654" s="4">
        <v>45.918999999999997</v>
      </c>
      <c r="R654" t="str" cm="1">
        <f t="array" ref="R654">_xlfn.IFS(B654="NY","New York",B654="TX","Texas",B654="CA","California")</f>
        <v>New York</v>
      </c>
    </row>
    <row r="655" spans="1:18" x14ac:dyDescent="0.3">
      <c r="A655" t="s">
        <v>3</v>
      </c>
      <c r="B655" t="s">
        <v>8</v>
      </c>
      <c r="C655" s="2">
        <v>43136</v>
      </c>
      <c r="D655" s="11" t="s">
        <v>227</v>
      </c>
      <c r="E655" s="3">
        <f t="shared" ca="1" si="10"/>
        <v>333158259</v>
      </c>
      <c r="F655" t="s">
        <v>12</v>
      </c>
      <c r="G655" t="s">
        <v>14</v>
      </c>
      <c r="H655" s="1" t="s">
        <v>235</v>
      </c>
      <c r="I655" t="s">
        <v>20</v>
      </c>
      <c r="J655" s="4">
        <v>6.6</v>
      </c>
      <c r="K655" s="4">
        <v>21.986000000000001</v>
      </c>
      <c r="L655" s="4">
        <v>9</v>
      </c>
      <c r="M655" s="4">
        <v>87.52</v>
      </c>
      <c r="N655" s="4">
        <v>133.24160000000001</v>
      </c>
      <c r="O655" s="4">
        <v>335.88</v>
      </c>
      <c r="P655" s="4">
        <v>3.8764546470000001</v>
      </c>
      <c r="Q655" s="4">
        <v>66.641000000000005</v>
      </c>
      <c r="R655" t="str" cm="1">
        <f t="array" ref="R655">_xlfn.IFS(B655="NY","New York",B655="TX","Texas",B655="CA","California")</f>
        <v>California</v>
      </c>
    </row>
    <row r="656" spans="1:18" x14ac:dyDescent="0.3">
      <c r="A656" t="s">
        <v>3</v>
      </c>
      <c r="B656" t="s">
        <v>8</v>
      </c>
      <c r="C656" s="2">
        <v>42832</v>
      </c>
      <c r="D656" s="11" t="s">
        <v>138</v>
      </c>
      <c r="E656" s="3">
        <f t="shared" ca="1" si="10"/>
        <v>876025097</v>
      </c>
      <c r="F656" t="s">
        <v>12</v>
      </c>
      <c r="G656" t="s">
        <v>14</v>
      </c>
      <c r="H656" s="1" t="s">
        <v>237</v>
      </c>
      <c r="I656" t="s">
        <v>22</v>
      </c>
      <c r="J656" s="4">
        <v>2.5</v>
      </c>
      <c r="K656" s="4">
        <v>53.04</v>
      </c>
      <c r="L656" s="4">
        <v>4</v>
      </c>
      <c r="M656" s="4">
        <v>78.349999999999994</v>
      </c>
      <c r="N656" s="4">
        <v>134.20699999999999</v>
      </c>
      <c r="O656" s="4">
        <v>240.72</v>
      </c>
      <c r="P656" s="4">
        <v>3.8764546470000001</v>
      </c>
      <c r="Q656" s="4">
        <v>98.85</v>
      </c>
      <c r="R656" t="str" cm="1">
        <f t="array" ref="R656">_xlfn.IFS(B656="NY","New York",B656="TX","Texas",B656="CA","California")</f>
        <v>California</v>
      </c>
    </row>
    <row r="657" spans="1:18" x14ac:dyDescent="0.3">
      <c r="A657" t="s">
        <v>1</v>
      </c>
      <c r="B657" t="s">
        <v>6</v>
      </c>
      <c r="C657" s="2">
        <v>42960</v>
      </c>
      <c r="D657" s="11" t="s">
        <v>86</v>
      </c>
      <c r="E657" s="3">
        <f t="shared" ca="1" si="10"/>
        <v>464077358</v>
      </c>
      <c r="F657" t="s">
        <v>11</v>
      </c>
      <c r="G657" t="s">
        <v>15</v>
      </c>
      <c r="H657" s="1" t="s">
        <v>237</v>
      </c>
      <c r="I657" t="s">
        <v>18</v>
      </c>
      <c r="J657" s="4">
        <v>3.9</v>
      </c>
      <c r="K657" s="4">
        <v>65.819999999999993</v>
      </c>
      <c r="L657" s="4">
        <v>3</v>
      </c>
      <c r="M657" s="4">
        <v>48.99</v>
      </c>
      <c r="N657" s="4">
        <v>110.7878</v>
      </c>
      <c r="O657" s="4">
        <v>47.07</v>
      </c>
      <c r="P657" s="4">
        <v>3.8764546470000001</v>
      </c>
      <c r="Q657" s="4">
        <v>70.98</v>
      </c>
      <c r="R657" t="str" cm="1">
        <f t="array" ref="R657">_xlfn.IFS(B657="NY","New York",B657="TX","Texas",B657="CA","California")</f>
        <v>New York</v>
      </c>
    </row>
    <row r="658" spans="1:18" x14ac:dyDescent="0.3">
      <c r="A658" t="s">
        <v>2</v>
      </c>
      <c r="B658" t="s">
        <v>7</v>
      </c>
      <c r="C658" s="2">
        <v>43324</v>
      </c>
      <c r="D658" s="11" t="s">
        <v>215</v>
      </c>
      <c r="E658" s="3">
        <f t="shared" ca="1" si="10"/>
        <v>991037354</v>
      </c>
      <c r="F658" t="s">
        <v>11</v>
      </c>
      <c r="G658" t="s">
        <v>15</v>
      </c>
      <c r="H658" s="1" t="s">
        <v>237</v>
      </c>
      <c r="I658" t="s">
        <v>18</v>
      </c>
      <c r="J658" s="4">
        <v>4.7</v>
      </c>
      <c r="K658" s="4">
        <v>46.19</v>
      </c>
      <c r="L658" s="4">
        <v>1</v>
      </c>
      <c r="M658" s="4">
        <v>82.11</v>
      </c>
      <c r="N658" s="4">
        <v>175.7885</v>
      </c>
      <c r="O658" s="4">
        <v>99.69</v>
      </c>
      <c r="P658" s="4">
        <v>3.8764546470000001</v>
      </c>
      <c r="Q658" s="4">
        <v>17.059999999999999</v>
      </c>
      <c r="R658" t="str" cm="1">
        <f t="array" ref="R658">_xlfn.IFS(B658="NY","New York",B658="TX","Texas",B658="CA","California")</f>
        <v>Texas</v>
      </c>
    </row>
    <row r="659" spans="1:18" x14ac:dyDescent="0.3">
      <c r="A659" t="s">
        <v>1</v>
      </c>
      <c r="B659" t="s">
        <v>6</v>
      </c>
      <c r="C659" s="2">
        <v>43385</v>
      </c>
      <c r="D659" s="11" t="s">
        <v>103</v>
      </c>
      <c r="E659" s="3">
        <f t="shared" ca="1" si="10"/>
        <v>760914430</v>
      </c>
      <c r="F659" t="s">
        <v>11</v>
      </c>
      <c r="G659" t="s">
        <v>14</v>
      </c>
      <c r="H659" s="1" t="s">
        <v>235</v>
      </c>
      <c r="I659" t="s">
        <v>22</v>
      </c>
      <c r="J659" s="4">
        <v>3</v>
      </c>
      <c r="K659" s="4">
        <v>26.56</v>
      </c>
      <c r="L659" s="4">
        <v>3</v>
      </c>
      <c r="M659" s="4">
        <v>29.89</v>
      </c>
      <c r="N659" s="4">
        <v>178.6045</v>
      </c>
      <c r="O659" s="4">
        <v>264.45</v>
      </c>
      <c r="P659" s="4">
        <v>3.8764546470000001</v>
      </c>
      <c r="Q659" s="4">
        <v>98.24</v>
      </c>
      <c r="R659" t="str" cm="1">
        <f t="array" ref="R659">_xlfn.IFS(B659="NY","New York",B659="TX","Texas",B659="CA","California")</f>
        <v>New York</v>
      </c>
    </row>
    <row r="660" spans="1:18" x14ac:dyDescent="0.3">
      <c r="A660" t="s">
        <v>1</v>
      </c>
      <c r="B660" t="s">
        <v>6</v>
      </c>
      <c r="C660" s="2">
        <v>43278</v>
      </c>
      <c r="D660" s="11" t="s">
        <v>130</v>
      </c>
      <c r="E660" s="3">
        <f t="shared" ca="1" si="10"/>
        <v>249928523</v>
      </c>
      <c r="F660" t="s">
        <v>11</v>
      </c>
      <c r="G660" t="s">
        <v>14</v>
      </c>
      <c r="H660" s="1" t="s">
        <v>236</v>
      </c>
      <c r="I660" t="s">
        <v>20</v>
      </c>
      <c r="J660" s="4">
        <v>10</v>
      </c>
      <c r="K660" s="4">
        <v>15.65</v>
      </c>
      <c r="L660" s="4">
        <v>5</v>
      </c>
      <c r="M660" s="4">
        <v>86.98</v>
      </c>
      <c r="N660" s="4">
        <v>108.85250000000001</v>
      </c>
      <c r="O660" s="4">
        <v>139.65</v>
      </c>
      <c r="P660" s="4">
        <v>3.8764546470000001</v>
      </c>
      <c r="Q660" s="4">
        <v>34.56</v>
      </c>
      <c r="R660" t="str" cm="1">
        <f t="array" ref="R660">_xlfn.IFS(B660="NY","New York",B660="TX","Texas",B660="CA","California")</f>
        <v>New York</v>
      </c>
    </row>
    <row r="661" spans="1:18" x14ac:dyDescent="0.3">
      <c r="A661" t="s">
        <v>1</v>
      </c>
      <c r="B661" t="s">
        <v>6</v>
      </c>
      <c r="C661" s="2">
        <v>43416</v>
      </c>
      <c r="D661" s="11" t="s">
        <v>30</v>
      </c>
      <c r="E661" s="3">
        <f t="shared" ca="1" si="10"/>
        <v>340847477</v>
      </c>
      <c r="F661" t="s">
        <v>12</v>
      </c>
      <c r="G661" t="s">
        <v>14</v>
      </c>
      <c r="H661" s="1" t="s">
        <v>237</v>
      </c>
      <c r="I661" t="s">
        <v>22</v>
      </c>
      <c r="J661" s="4">
        <v>5.5</v>
      </c>
      <c r="K661" s="4">
        <v>23.094000000000001</v>
      </c>
      <c r="L661" s="4">
        <v>1</v>
      </c>
      <c r="M661" s="4">
        <v>12.66</v>
      </c>
      <c r="N661" s="4">
        <v>112.8044</v>
      </c>
      <c r="O661" s="4">
        <v>55.45</v>
      </c>
      <c r="P661" s="4">
        <v>3.8764546470000001</v>
      </c>
      <c r="Q661" s="4">
        <v>25.52</v>
      </c>
      <c r="R661" t="str" cm="1">
        <f t="array" ref="R661">_xlfn.IFS(B661="NY","New York",B661="TX","Texas",B661="CA","California")</f>
        <v>New York</v>
      </c>
    </row>
    <row r="662" spans="1:18" x14ac:dyDescent="0.3">
      <c r="A662" t="s">
        <v>3</v>
      </c>
      <c r="B662" t="s">
        <v>8</v>
      </c>
      <c r="C662" s="2">
        <v>43277</v>
      </c>
      <c r="D662" s="11" t="s">
        <v>228</v>
      </c>
      <c r="E662" s="3">
        <f t="shared" ca="1" si="10"/>
        <v>883149491</v>
      </c>
      <c r="F662" t="s">
        <v>11</v>
      </c>
      <c r="G662" t="s">
        <v>15</v>
      </c>
      <c r="H662" s="1" t="s">
        <v>236</v>
      </c>
      <c r="I662" t="s">
        <v>20</v>
      </c>
      <c r="J662" s="4">
        <v>8.4</v>
      </c>
      <c r="K662" s="4">
        <v>69.739999999999995</v>
      </c>
      <c r="L662" s="4">
        <v>3</v>
      </c>
      <c r="M662" s="4">
        <v>51.77</v>
      </c>
      <c r="N662" s="4">
        <v>176.68430000000001</v>
      </c>
      <c r="O662" s="4">
        <v>128.91</v>
      </c>
      <c r="P662" s="4">
        <v>3.8764546470000001</v>
      </c>
      <c r="Q662" s="4">
        <v>23.1</v>
      </c>
      <c r="R662" t="str" cm="1">
        <f t="array" ref="R662">_xlfn.IFS(B662="NY","New York",B662="TX","Texas",B662="CA","California")</f>
        <v>California</v>
      </c>
    </row>
    <row r="663" spans="1:18" x14ac:dyDescent="0.3">
      <c r="A663" t="s">
        <v>2</v>
      </c>
      <c r="B663" t="s">
        <v>7</v>
      </c>
      <c r="C663" s="2">
        <v>43440</v>
      </c>
      <c r="D663" s="11" t="s">
        <v>103</v>
      </c>
      <c r="E663" s="3">
        <f t="shared" ca="1" si="10"/>
        <v>401590757</v>
      </c>
      <c r="F663" t="s">
        <v>12</v>
      </c>
      <c r="G663" t="s">
        <v>14</v>
      </c>
      <c r="H663" s="1" t="s">
        <v>237</v>
      </c>
      <c r="I663" t="s">
        <v>20</v>
      </c>
      <c r="J663" s="4">
        <v>9.8000000000000007</v>
      </c>
      <c r="K663" s="4">
        <v>79.19</v>
      </c>
      <c r="L663" s="4">
        <v>7</v>
      </c>
      <c r="M663" s="4">
        <v>48.57</v>
      </c>
      <c r="N663" s="4">
        <v>105.834</v>
      </c>
      <c r="O663" s="4">
        <v>119.98</v>
      </c>
      <c r="P663" s="4">
        <v>3.8764546470000001</v>
      </c>
      <c r="Q663" s="4">
        <v>13.436</v>
      </c>
      <c r="R663" t="str" cm="1">
        <f t="array" ref="R663">_xlfn.IFS(B663="NY","New York",B663="TX","Texas",B663="CA","California")</f>
        <v>Texas</v>
      </c>
    </row>
    <row r="664" spans="1:18" x14ac:dyDescent="0.3">
      <c r="A664" t="s">
        <v>3</v>
      </c>
      <c r="B664" t="s">
        <v>8</v>
      </c>
      <c r="C664" s="2">
        <v>43240</v>
      </c>
      <c r="D664" s="11" t="s">
        <v>178</v>
      </c>
      <c r="E664" s="3">
        <f t="shared" ca="1" si="10"/>
        <v>491276930</v>
      </c>
      <c r="F664" t="s">
        <v>11</v>
      </c>
      <c r="G664" t="s">
        <v>14</v>
      </c>
      <c r="H664" s="1" t="s">
        <v>237</v>
      </c>
      <c r="I664" t="s">
        <v>22</v>
      </c>
      <c r="J664" s="4">
        <v>8.6999999999999993</v>
      </c>
      <c r="K664" s="4">
        <v>62.44</v>
      </c>
      <c r="L664" s="4">
        <v>6</v>
      </c>
      <c r="M664" s="4">
        <v>22.5</v>
      </c>
      <c r="N664" s="4">
        <v>104.1781</v>
      </c>
      <c r="O664" s="4">
        <v>352.5</v>
      </c>
      <c r="P664" s="4">
        <v>3.8764546470000001</v>
      </c>
      <c r="Q664" s="4">
        <v>18.401</v>
      </c>
      <c r="R664" t="str" cm="1">
        <f t="array" ref="R664">_xlfn.IFS(B664="NY","New York",B664="TX","Texas",B664="CA","California")</f>
        <v>California</v>
      </c>
    </row>
    <row r="665" spans="1:18" x14ac:dyDescent="0.3">
      <c r="A665" t="s">
        <v>2</v>
      </c>
      <c r="B665" t="s">
        <v>7</v>
      </c>
      <c r="C665" s="2">
        <v>43142</v>
      </c>
      <c r="D665" s="11" t="s">
        <v>197</v>
      </c>
      <c r="E665" s="3">
        <f t="shared" ca="1" si="10"/>
        <v>42722532</v>
      </c>
      <c r="F665" t="s">
        <v>11</v>
      </c>
      <c r="G665" t="s">
        <v>14</v>
      </c>
      <c r="H665" s="1" t="s">
        <v>237</v>
      </c>
      <c r="I665" t="s">
        <v>21</v>
      </c>
      <c r="J665" s="4">
        <v>6.5</v>
      </c>
      <c r="K665" s="4">
        <v>16.91</v>
      </c>
      <c r="L665" s="4">
        <v>10</v>
      </c>
      <c r="M665" s="4">
        <v>10.95</v>
      </c>
      <c r="N665" s="4">
        <v>188.44829999999999</v>
      </c>
      <c r="O665" s="4">
        <v>871</v>
      </c>
      <c r="P665" s="4">
        <v>3.8764546470000001</v>
      </c>
      <c r="Q665" s="4">
        <v>62.277999999999999</v>
      </c>
      <c r="R665" t="str" cm="1">
        <f t="array" ref="R665">_xlfn.IFS(B665="NY","New York",B665="TX","Texas",B665="CA","California")</f>
        <v>Texas</v>
      </c>
    </row>
    <row r="666" spans="1:18" x14ac:dyDescent="0.3">
      <c r="A666" t="s">
        <v>2</v>
      </c>
      <c r="B666" t="s">
        <v>7</v>
      </c>
      <c r="C666" s="2">
        <v>43447</v>
      </c>
      <c r="D666" s="11" t="s">
        <v>83</v>
      </c>
      <c r="E666" s="3">
        <f t="shared" ca="1" si="10"/>
        <v>553284808</v>
      </c>
      <c r="F666" t="s">
        <v>11</v>
      </c>
      <c r="G666" t="s">
        <v>15</v>
      </c>
      <c r="H666" s="1" t="s">
        <v>236</v>
      </c>
      <c r="I666" t="s">
        <v>20</v>
      </c>
      <c r="J666" s="4">
        <v>3</v>
      </c>
      <c r="K666" s="4">
        <v>47.442</v>
      </c>
      <c r="L666" s="4">
        <v>2</v>
      </c>
      <c r="M666" s="4">
        <v>67.63</v>
      </c>
      <c r="N666" s="4">
        <v>110.0992</v>
      </c>
      <c r="O666" s="4">
        <v>197.6</v>
      </c>
      <c r="P666" s="4">
        <v>3.8764546470000001</v>
      </c>
      <c r="Q666" s="4">
        <v>41.628</v>
      </c>
      <c r="R666" t="str" cm="1">
        <f t="array" ref="R666">_xlfn.IFS(B666="NY","New York",B666="TX","Texas",B666="CA","California")</f>
        <v>Texas</v>
      </c>
    </row>
    <row r="667" spans="1:18" x14ac:dyDescent="0.3">
      <c r="A667" t="s">
        <v>1</v>
      </c>
      <c r="B667" t="s">
        <v>6</v>
      </c>
      <c r="C667" s="2">
        <v>43014</v>
      </c>
      <c r="D667" s="11" t="s">
        <v>96</v>
      </c>
      <c r="E667" s="3">
        <f t="shared" ca="1" si="10"/>
        <v>512645907</v>
      </c>
      <c r="F667" t="s">
        <v>11</v>
      </c>
      <c r="G667" t="s">
        <v>15</v>
      </c>
      <c r="H667" s="1" t="s">
        <v>235</v>
      </c>
      <c r="I667" t="s">
        <v>22</v>
      </c>
      <c r="J667" s="4">
        <v>9.9</v>
      </c>
      <c r="K667" s="4">
        <v>95.394000000000005</v>
      </c>
      <c r="L667" s="4">
        <v>4</v>
      </c>
      <c r="M667" s="4">
        <v>55.94</v>
      </c>
      <c r="N667" s="4">
        <v>157.77449999999999</v>
      </c>
      <c r="O667" s="4">
        <v>194.52</v>
      </c>
      <c r="P667" s="4">
        <v>3.8764546470000001</v>
      </c>
      <c r="Q667" s="4">
        <v>82.311000000000007</v>
      </c>
      <c r="R667" t="str" cm="1">
        <f t="array" ref="R667">_xlfn.IFS(B667="NY","New York",B667="TX","Texas",B667="CA","California")</f>
        <v>New York</v>
      </c>
    </row>
    <row r="668" spans="1:18" x14ac:dyDescent="0.3">
      <c r="A668" t="s">
        <v>3</v>
      </c>
      <c r="B668" t="s">
        <v>8</v>
      </c>
      <c r="C668" s="2">
        <v>43041</v>
      </c>
      <c r="D668" s="11" t="s">
        <v>112</v>
      </c>
      <c r="E668" s="3">
        <f t="shared" ca="1" si="10"/>
        <v>118190975</v>
      </c>
      <c r="F668" t="s">
        <v>12</v>
      </c>
      <c r="G668" t="s">
        <v>14</v>
      </c>
      <c r="H668" s="1" t="s">
        <v>235</v>
      </c>
      <c r="I668" t="s">
        <v>21</v>
      </c>
      <c r="J668" s="4">
        <v>3.8</v>
      </c>
      <c r="K668" s="4">
        <v>74.100999999999999</v>
      </c>
      <c r="L668" s="4">
        <v>3</v>
      </c>
      <c r="M668" s="4">
        <v>91.97</v>
      </c>
      <c r="N668" s="4">
        <v>127.3995</v>
      </c>
      <c r="O668" s="4">
        <v>173.22</v>
      </c>
      <c r="P668" s="4">
        <v>3.8764546470000001</v>
      </c>
      <c r="Q668" s="4">
        <v>58.7</v>
      </c>
      <c r="R668" t="str" cm="1">
        <f t="array" ref="R668">_xlfn.IFS(B668="NY","New York",B668="TX","Texas",B668="CA","California")</f>
        <v>California</v>
      </c>
    </row>
    <row r="669" spans="1:18" x14ac:dyDescent="0.3">
      <c r="A669" t="s">
        <v>3</v>
      </c>
      <c r="B669" t="s">
        <v>8</v>
      </c>
      <c r="C669" s="2">
        <v>43134</v>
      </c>
      <c r="D669" s="11" t="s">
        <v>91</v>
      </c>
      <c r="E669" s="3">
        <f t="shared" ca="1" si="10"/>
        <v>870878938</v>
      </c>
      <c r="F669" t="s">
        <v>11</v>
      </c>
      <c r="G669" t="s">
        <v>15</v>
      </c>
      <c r="H669" s="1" t="s">
        <v>235</v>
      </c>
      <c r="I669" t="s">
        <v>17</v>
      </c>
      <c r="J669" s="4">
        <v>2.2999999999999998</v>
      </c>
      <c r="K669" s="4">
        <v>61.113999999999997</v>
      </c>
      <c r="L669" s="4">
        <v>4</v>
      </c>
      <c r="M669" s="4">
        <v>63.58</v>
      </c>
      <c r="N669" s="4">
        <v>174.6267</v>
      </c>
      <c r="O669" s="4">
        <v>71.88</v>
      </c>
      <c r="P669" s="4">
        <v>3.8764546470000001</v>
      </c>
      <c r="Q669" s="4">
        <v>32.15</v>
      </c>
      <c r="R669" t="str" cm="1">
        <f t="array" ref="R669">_xlfn.IFS(B669="NY","New York",B669="TX","Texas",B669="CA","California")</f>
        <v>California</v>
      </c>
    </row>
    <row r="670" spans="1:18" x14ac:dyDescent="0.3">
      <c r="A670" t="s">
        <v>2</v>
      </c>
      <c r="B670" t="s">
        <v>7</v>
      </c>
      <c r="C670" s="2">
        <v>42991</v>
      </c>
      <c r="D670" s="11" t="s">
        <v>164</v>
      </c>
      <c r="E670" s="3">
        <f t="shared" ca="1" si="10"/>
        <v>801295406</v>
      </c>
      <c r="F670" t="s">
        <v>11</v>
      </c>
      <c r="G670" t="s">
        <v>14</v>
      </c>
      <c r="H670" s="1" t="s">
        <v>235</v>
      </c>
      <c r="I670" t="s">
        <v>17</v>
      </c>
      <c r="J670" s="4">
        <v>1.2</v>
      </c>
      <c r="K670" s="4">
        <v>59.51</v>
      </c>
      <c r="L670" s="4">
        <v>6</v>
      </c>
      <c r="M670" s="4">
        <v>38.79</v>
      </c>
      <c r="N670" s="4">
        <v>122.72709999999999</v>
      </c>
      <c r="O670" s="4">
        <v>286.26</v>
      </c>
      <c r="P670" s="4">
        <v>3.8764546470000001</v>
      </c>
      <c r="Q670" s="4">
        <v>60.33</v>
      </c>
      <c r="R670" t="str" cm="1">
        <f t="array" ref="R670">_xlfn.IFS(B670="NY","New York",B670="TX","Texas",B670="CA","California")</f>
        <v>Texas</v>
      </c>
    </row>
    <row r="671" spans="1:18" x14ac:dyDescent="0.3">
      <c r="A671" t="s">
        <v>3</v>
      </c>
      <c r="B671" t="s">
        <v>8</v>
      </c>
      <c r="C671" s="2">
        <v>43280</v>
      </c>
      <c r="D671" s="11" t="s">
        <v>55</v>
      </c>
      <c r="E671" s="3">
        <f t="shared" ca="1" si="10"/>
        <v>625861775</v>
      </c>
      <c r="F671" t="s">
        <v>11</v>
      </c>
      <c r="G671" t="s">
        <v>15</v>
      </c>
      <c r="H671" s="1" t="s">
        <v>237</v>
      </c>
      <c r="I671" t="s">
        <v>20</v>
      </c>
      <c r="J671" s="4">
        <v>5</v>
      </c>
      <c r="K671" s="4">
        <v>72.959999999999994</v>
      </c>
      <c r="L671" s="4">
        <v>2</v>
      </c>
      <c r="M671" s="4">
        <v>62.46</v>
      </c>
      <c r="N671" s="4">
        <v>162.90199999999999</v>
      </c>
      <c r="O671" s="4">
        <v>81.239999999999995</v>
      </c>
      <c r="P671" s="4">
        <v>3.8764546470000001</v>
      </c>
      <c r="Q671" s="4">
        <v>30.34</v>
      </c>
      <c r="R671" t="str" cm="1">
        <f t="array" ref="R671">_xlfn.IFS(B671="NY","New York",B671="TX","Texas",B671="CA","California")</f>
        <v>California</v>
      </c>
    </row>
    <row r="672" spans="1:18" x14ac:dyDescent="0.3">
      <c r="A672" t="s">
        <v>1</v>
      </c>
      <c r="B672" t="s">
        <v>6</v>
      </c>
      <c r="C672" s="2">
        <v>43459</v>
      </c>
      <c r="D672" s="11" t="s">
        <v>229</v>
      </c>
      <c r="E672" s="3">
        <f t="shared" ca="1" si="10"/>
        <v>562650278</v>
      </c>
      <c r="F672" t="s">
        <v>12</v>
      </c>
      <c r="G672" t="s">
        <v>14</v>
      </c>
      <c r="H672" s="1" t="s">
        <v>235</v>
      </c>
      <c r="I672" t="s">
        <v>22</v>
      </c>
      <c r="J672" s="4">
        <v>3</v>
      </c>
      <c r="K672" s="4">
        <v>39.159999999999997</v>
      </c>
      <c r="L672" s="4">
        <v>10</v>
      </c>
      <c r="M672" s="4">
        <v>17.46</v>
      </c>
      <c r="N672" s="4">
        <v>164.33680000000001</v>
      </c>
      <c r="O672" s="4">
        <v>560.4</v>
      </c>
      <c r="P672" s="4">
        <v>3.8764546470000001</v>
      </c>
      <c r="Q672" s="4">
        <v>40.659999999999997</v>
      </c>
      <c r="R672" t="str" cm="1">
        <f t="array" ref="R672">_xlfn.IFS(B672="NY","New York",B672="TX","Texas",B672="CA","California")</f>
        <v>New York</v>
      </c>
    </row>
    <row r="673" spans="1:18" x14ac:dyDescent="0.3">
      <c r="A673" t="s">
        <v>3</v>
      </c>
      <c r="B673" t="s">
        <v>8</v>
      </c>
      <c r="C673" s="2">
        <v>43257</v>
      </c>
      <c r="D673" s="11" t="s">
        <v>122</v>
      </c>
      <c r="E673" s="3">
        <f t="shared" ca="1" si="10"/>
        <v>20217324</v>
      </c>
      <c r="F673" t="s">
        <v>12</v>
      </c>
      <c r="G673" t="s">
        <v>14</v>
      </c>
      <c r="H673" s="1" t="s">
        <v>236</v>
      </c>
      <c r="I673" t="s">
        <v>21</v>
      </c>
      <c r="J673" s="4">
        <v>3</v>
      </c>
      <c r="K673" s="4">
        <v>99.686000000000007</v>
      </c>
      <c r="L673" s="4">
        <v>2</v>
      </c>
      <c r="M673" s="4">
        <v>14.74</v>
      </c>
      <c r="N673" s="4">
        <v>177.4</v>
      </c>
      <c r="O673" s="4">
        <v>186.8</v>
      </c>
      <c r="P673" s="4">
        <v>3.8764546470000001</v>
      </c>
      <c r="Q673" s="4">
        <v>99.33</v>
      </c>
      <c r="R673" t="str" cm="1">
        <f t="array" ref="R673">_xlfn.IFS(B673="NY","New York",B673="TX","Texas",B673="CA","California")</f>
        <v>California</v>
      </c>
    </row>
    <row r="674" spans="1:18" x14ac:dyDescent="0.3">
      <c r="A674" t="s">
        <v>3</v>
      </c>
      <c r="B674" t="s">
        <v>8</v>
      </c>
      <c r="C674" s="2">
        <v>43147</v>
      </c>
      <c r="D674" s="11" t="s">
        <v>136</v>
      </c>
      <c r="E674" s="3">
        <f t="shared" ca="1" si="10"/>
        <v>323819952</v>
      </c>
      <c r="F674" t="s">
        <v>11</v>
      </c>
      <c r="G674" t="s">
        <v>15</v>
      </c>
      <c r="H674" s="1" t="s">
        <v>235</v>
      </c>
      <c r="I674" t="s">
        <v>17</v>
      </c>
      <c r="J674" s="4">
        <v>2</v>
      </c>
      <c r="K674" s="4">
        <v>21.91</v>
      </c>
      <c r="L674" s="4">
        <v>3</v>
      </c>
      <c r="M674" s="4">
        <v>51.14</v>
      </c>
      <c r="N674" s="4">
        <v>115.7</v>
      </c>
      <c r="O674" s="4">
        <v>220.23</v>
      </c>
      <c r="P674" s="4">
        <v>3.8764546470000001</v>
      </c>
      <c r="Q674" s="4">
        <v>44.35</v>
      </c>
      <c r="R674" t="str" cm="1">
        <f t="array" ref="R674">_xlfn.IFS(B674="NY","New York",B674="TX","Texas",B674="CA","California")</f>
        <v>California</v>
      </c>
    </row>
    <row r="675" spans="1:18" x14ac:dyDescent="0.3">
      <c r="A675" t="s">
        <v>2</v>
      </c>
      <c r="B675" t="s">
        <v>7</v>
      </c>
      <c r="C675" s="2">
        <v>43421</v>
      </c>
      <c r="D675" s="11" t="s">
        <v>35</v>
      </c>
      <c r="E675" s="3">
        <f t="shared" ca="1" si="10"/>
        <v>232048384</v>
      </c>
      <c r="F675" t="s">
        <v>12</v>
      </c>
      <c r="G675" t="s">
        <v>15</v>
      </c>
      <c r="H675" s="1" t="s">
        <v>237</v>
      </c>
      <c r="I675" t="s">
        <v>17</v>
      </c>
      <c r="J675" s="4">
        <v>6</v>
      </c>
      <c r="K675" s="4">
        <v>35.085000000000001</v>
      </c>
      <c r="L675" s="4">
        <v>8</v>
      </c>
      <c r="M675" s="4">
        <v>28.95</v>
      </c>
      <c r="N675" s="4">
        <v>176</v>
      </c>
      <c r="O675" s="4">
        <v>269.12</v>
      </c>
      <c r="P675" s="4">
        <v>3.8764546470000001</v>
      </c>
      <c r="Q675" s="4">
        <v>13.76</v>
      </c>
      <c r="R675" t="str" cm="1">
        <f t="array" ref="R675">_xlfn.IFS(B675="NY","New York",B675="TX","Texas",B675="CA","California")</f>
        <v>Texas</v>
      </c>
    </row>
    <row r="676" spans="1:18" x14ac:dyDescent="0.3">
      <c r="A676" t="s">
        <v>1</v>
      </c>
      <c r="B676" t="s">
        <v>6</v>
      </c>
      <c r="C676" s="2">
        <v>43396</v>
      </c>
      <c r="D676" s="11" t="s">
        <v>39</v>
      </c>
      <c r="E676" s="3">
        <f t="shared" ca="1" si="10"/>
        <v>364356042</v>
      </c>
      <c r="F676" t="s">
        <v>11</v>
      </c>
      <c r="G676" t="s">
        <v>15</v>
      </c>
      <c r="H676" s="1" t="s">
        <v>237</v>
      </c>
      <c r="I676" t="s">
        <v>18</v>
      </c>
      <c r="J676" s="4">
        <v>3.5</v>
      </c>
      <c r="K676" s="4">
        <v>35.14</v>
      </c>
      <c r="L676" s="4">
        <v>10</v>
      </c>
      <c r="M676" s="4">
        <v>40.94</v>
      </c>
      <c r="N676" s="4">
        <v>174.9</v>
      </c>
      <c r="O676" s="4">
        <v>454.8</v>
      </c>
      <c r="P676" s="4">
        <v>3.8764546470000001</v>
      </c>
      <c r="Q676" s="4">
        <v>14.2</v>
      </c>
      <c r="R676" t="str" cm="1">
        <f t="array" ref="R676">_xlfn.IFS(B676="NY","New York",B676="TX","Texas",B676="CA","California")</f>
        <v>New York</v>
      </c>
    </row>
    <row r="677" spans="1:18" x14ac:dyDescent="0.3">
      <c r="A677" t="s">
        <v>3</v>
      </c>
      <c r="B677" t="s">
        <v>8</v>
      </c>
      <c r="C677" s="2">
        <v>42846</v>
      </c>
      <c r="D677" s="11" t="s">
        <v>141</v>
      </c>
      <c r="E677" s="3">
        <f t="shared" ca="1" si="10"/>
        <v>637600448</v>
      </c>
      <c r="F677" t="s">
        <v>12</v>
      </c>
      <c r="G677" t="s">
        <v>14</v>
      </c>
      <c r="H677" s="1" t="s">
        <v>236</v>
      </c>
      <c r="I677" t="s">
        <v>22</v>
      </c>
      <c r="J677" s="4">
        <v>5.5</v>
      </c>
      <c r="K677" s="4">
        <v>23.602</v>
      </c>
      <c r="L677" s="4">
        <v>2</v>
      </c>
      <c r="M677" s="4">
        <v>23.14</v>
      </c>
      <c r="N677" s="4">
        <v>176.0566</v>
      </c>
      <c r="O677" s="4">
        <v>167.54</v>
      </c>
      <c r="P677" s="4">
        <v>3.8764546470000001</v>
      </c>
      <c r="Q677" s="4">
        <v>90.457999999999998</v>
      </c>
      <c r="R677" t="str" cm="1">
        <f t="array" ref="R677">_xlfn.IFS(B677="NY","New York",B677="TX","Texas",B677="CA","California")</f>
        <v>California</v>
      </c>
    </row>
    <row r="678" spans="1:18" x14ac:dyDescent="0.3">
      <c r="A678" t="s">
        <v>3</v>
      </c>
      <c r="B678" t="s">
        <v>8</v>
      </c>
      <c r="C678" s="2">
        <v>42961</v>
      </c>
      <c r="D678" s="11" t="s">
        <v>229</v>
      </c>
      <c r="E678" s="3">
        <f t="shared" ca="1" si="10"/>
        <v>985677431</v>
      </c>
      <c r="F678" t="s">
        <v>11</v>
      </c>
      <c r="G678" t="s">
        <v>14</v>
      </c>
      <c r="H678" s="1" t="s">
        <v>237</v>
      </c>
      <c r="I678" t="s">
        <v>20</v>
      </c>
      <c r="J678" s="4">
        <v>4.8</v>
      </c>
      <c r="K678" s="4">
        <v>68.08</v>
      </c>
      <c r="L678" s="4">
        <v>7</v>
      </c>
      <c r="M678" s="4">
        <v>56.71</v>
      </c>
      <c r="N678" s="4">
        <v>147.3074</v>
      </c>
      <c r="O678" s="4">
        <v>448.56</v>
      </c>
      <c r="P678" s="4">
        <v>3.8764546470000001</v>
      </c>
      <c r="Q678" s="4">
        <v>50.274000000000001</v>
      </c>
      <c r="R678" t="str" cm="1">
        <f t="array" ref="R678">_xlfn.IFS(B678="NY","New York",B678="TX","Texas",B678="CA","California")</f>
        <v>California</v>
      </c>
    </row>
    <row r="679" spans="1:18" x14ac:dyDescent="0.3">
      <c r="A679" t="s">
        <v>1</v>
      </c>
      <c r="B679" t="s">
        <v>6</v>
      </c>
      <c r="C679" s="2">
        <v>43438</v>
      </c>
      <c r="D679" s="11" t="s">
        <v>111</v>
      </c>
      <c r="E679" s="3">
        <f t="shared" ca="1" si="10"/>
        <v>229875293</v>
      </c>
      <c r="F679" t="s">
        <v>11</v>
      </c>
      <c r="G679" t="s">
        <v>14</v>
      </c>
      <c r="H679" s="1" t="s">
        <v>236</v>
      </c>
      <c r="I679" t="s">
        <v>21</v>
      </c>
      <c r="J679" s="4">
        <v>10</v>
      </c>
      <c r="K679" s="4">
        <v>40.404000000000003</v>
      </c>
      <c r="L679" s="4">
        <v>4</v>
      </c>
      <c r="M679" s="4">
        <v>29.27</v>
      </c>
      <c r="N679" s="4">
        <v>113.1639</v>
      </c>
      <c r="O679" s="4">
        <v>293.88</v>
      </c>
      <c r="P679" s="4">
        <v>3.8764546470000001</v>
      </c>
      <c r="Q679" s="4">
        <v>26.952999999999999</v>
      </c>
      <c r="R679" t="str" cm="1">
        <f t="array" ref="R679">_xlfn.IFS(B679="NY","New York",B679="TX","Texas",B679="CA","California")</f>
        <v>New York</v>
      </c>
    </row>
    <row r="680" spans="1:18" x14ac:dyDescent="0.3">
      <c r="A680" t="s">
        <v>2</v>
      </c>
      <c r="B680" t="s">
        <v>7</v>
      </c>
      <c r="C680" s="2">
        <v>42822</v>
      </c>
      <c r="D680" s="11" t="s">
        <v>108</v>
      </c>
      <c r="E680" s="3">
        <f t="shared" ca="1" si="10"/>
        <v>674573980</v>
      </c>
      <c r="F680" t="s">
        <v>12</v>
      </c>
      <c r="G680" t="s">
        <v>15</v>
      </c>
      <c r="H680" s="1" t="s">
        <v>235</v>
      </c>
      <c r="I680" t="s">
        <v>17</v>
      </c>
      <c r="J680" s="4">
        <v>5</v>
      </c>
      <c r="K680" s="4">
        <v>37.270000000000003</v>
      </c>
      <c r="L680" s="4">
        <v>10</v>
      </c>
      <c r="M680" s="4">
        <v>46.52</v>
      </c>
      <c r="N680" s="4">
        <v>110.4372</v>
      </c>
      <c r="O680" s="4">
        <v>589.5</v>
      </c>
      <c r="P680" s="4">
        <v>3.8764546470000001</v>
      </c>
      <c r="Q680" s="4">
        <v>30.210999999999999</v>
      </c>
      <c r="R680" t="str" cm="1">
        <f t="array" ref="R680">_xlfn.IFS(B680="NY","New York",B680="TX","Texas",B680="CA","California")</f>
        <v>Texas</v>
      </c>
    </row>
    <row r="681" spans="1:18" x14ac:dyDescent="0.3">
      <c r="A681" t="s">
        <v>1</v>
      </c>
      <c r="B681" t="s">
        <v>6</v>
      </c>
      <c r="C681" s="2">
        <v>42871</v>
      </c>
      <c r="D681" s="11" t="s">
        <v>230</v>
      </c>
      <c r="E681" s="3">
        <f t="shared" ca="1" si="10"/>
        <v>843338692</v>
      </c>
      <c r="F681" t="s">
        <v>12</v>
      </c>
      <c r="G681" t="s">
        <v>14</v>
      </c>
      <c r="H681" s="1" t="s">
        <v>235</v>
      </c>
      <c r="I681" t="s">
        <v>21</v>
      </c>
      <c r="J681" s="4">
        <v>6</v>
      </c>
      <c r="K681" s="4">
        <v>92.14</v>
      </c>
      <c r="L681" s="4">
        <v>6</v>
      </c>
      <c r="M681" s="4">
        <v>83.3</v>
      </c>
      <c r="N681" s="4">
        <v>165.28630000000001</v>
      </c>
      <c r="O681" s="4">
        <v>291</v>
      </c>
      <c r="P681" s="4">
        <v>3.8764546470000001</v>
      </c>
      <c r="Q681" s="4">
        <v>38.953000000000003</v>
      </c>
      <c r="R681" t="str" cm="1">
        <f t="array" ref="R681">_xlfn.IFS(B681="NY","New York",B681="TX","Texas",B681="CA","California")</f>
        <v>New York</v>
      </c>
    </row>
    <row r="682" spans="1:18" x14ac:dyDescent="0.3">
      <c r="A682" t="s">
        <v>3</v>
      </c>
      <c r="B682" t="s">
        <v>8</v>
      </c>
      <c r="C682" s="2">
        <v>43360</v>
      </c>
      <c r="D682" s="11" t="s">
        <v>184</v>
      </c>
      <c r="E682" s="3">
        <f t="shared" ca="1" si="10"/>
        <v>997500495</v>
      </c>
      <c r="F682" t="s">
        <v>11</v>
      </c>
      <c r="G682" t="s">
        <v>14</v>
      </c>
      <c r="H682" s="1" t="s">
        <v>236</v>
      </c>
      <c r="I682" t="s">
        <v>18</v>
      </c>
      <c r="J682" s="4">
        <v>9</v>
      </c>
      <c r="K682" s="4">
        <v>12.529</v>
      </c>
      <c r="L682" s="4">
        <v>1</v>
      </c>
      <c r="M682" s="4">
        <v>98.72</v>
      </c>
      <c r="N682" s="4">
        <v>151.79480000000001</v>
      </c>
      <c r="O682" s="4">
        <v>39.479999999999997</v>
      </c>
      <c r="P682" s="4">
        <v>3.8764546470000001</v>
      </c>
      <c r="Q682" s="4">
        <v>61.256999999999998</v>
      </c>
      <c r="R682" t="str" cm="1">
        <f t="array" ref="R682">_xlfn.IFS(B682="NY","New York",B682="TX","Texas",B682="CA","California")</f>
        <v>California</v>
      </c>
    </row>
    <row r="683" spans="1:18" x14ac:dyDescent="0.3">
      <c r="A683" t="s">
        <v>3</v>
      </c>
      <c r="B683" t="s">
        <v>8</v>
      </c>
      <c r="C683" s="2">
        <v>43027</v>
      </c>
      <c r="D683" s="11" t="s">
        <v>67</v>
      </c>
      <c r="E683" s="3">
        <f t="shared" ca="1" si="10"/>
        <v>821006779</v>
      </c>
      <c r="F683" t="s">
        <v>11</v>
      </c>
      <c r="G683" t="s">
        <v>15</v>
      </c>
      <c r="H683" s="1" t="s">
        <v>237</v>
      </c>
      <c r="I683" t="s">
        <v>20</v>
      </c>
      <c r="J683" s="4">
        <v>4</v>
      </c>
      <c r="K683" s="4">
        <v>39.014000000000003</v>
      </c>
      <c r="L683" s="4">
        <v>1</v>
      </c>
      <c r="M683" s="4">
        <v>77.58</v>
      </c>
      <c r="N683" s="4">
        <v>158.0265</v>
      </c>
      <c r="O683" s="4">
        <v>34.81</v>
      </c>
      <c r="P683" s="4">
        <v>3.8764546470000001</v>
      </c>
      <c r="Q683" s="4">
        <v>84.102999999999994</v>
      </c>
      <c r="R683" t="str" cm="1">
        <f t="array" ref="R683">_xlfn.IFS(B683="NY","New York",B683="TX","Texas",B683="CA","California")</f>
        <v>California</v>
      </c>
    </row>
    <row r="684" spans="1:18" x14ac:dyDescent="0.3">
      <c r="A684" t="s">
        <v>2</v>
      </c>
      <c r="B684" t="s">
        <v>7</v>
      </c>
      <c r="C684" s="2">
        <v>43443</v>
      </c>
      <c r="D684" s="11" t="s">
        <v>76</v>
      </c>
      <c r="E684" s="3">
        <f t="shared" ca="1" si="10"/>
        <v>296350846</v>
      </c>
      <c r="F684" t="s">
        <v>11</v>
      </c>
      <c r="G684" t="s">
        <v>15</v>
      </c>
      <c r="H684" s="1" t="s">
        <v>235</v>
      </c>
      <c r="I684" t="s">
        <v>22</v>
      </c>
      <c r="J684" s="4">
        <v>7.4</v>
      </c>
      <c r="K684" s="4">
        <v>24.286999999999999</v>
      </c>
      <c r="L684" s="4">
        <v>6</v>
      </c>
      <c r="M684" s="4">
        <v>38.42</v>
      </c>
      <c r="N684" s="4">
        <v>113.2664</v>
      </c>
      <c r="O684" s="4">
        <v>295.92</v>
      </c>
      <c r="P684" s="4">
        <v>3.8764546470000001</v>
      </c>
      <c r="Q684" s="4">
        <v>24.006</v>
      </c>
      <c r="R684" t="str" cm="1">
        <f t="array" ref="R684">_xlfn.IFS(B684="NY","New York",B684="TX","Texas",B684="CA","California")</f>
        <v>Texas</v>
      </c>
    </row>
    <row r="685" spans="1:18" x14ac:dyDescent="0.3">
      <c r="A685" t="s">
        <v>1</v>
      </c>
      <c r="B685" t="s">
        <v>6</v>
      </c>
      <c r="C685" s="2">
        <v>42866</v>
      </c>
      <c r="D685" s="11" t="s">
        <v>177</v>
      </c>
      <c r="E685" s="3">
        <f t="shared" ca="1" si="10"/>
        <v>537837058</v>
      </c>
      <c r="F685" t="s">
        <v>12</v>
      </c>
      <c r="G685" t="s">
        <v>14</v>
      </c>
      <c r="H685" s="1" t="s">
        <v>235</v>
      </c>
      <c r="I685" t="s">
        <v>22</v>
      </c>
      <c r="J685" s="4">
        <v>4.9000000000000004</v>
      </c>
      <c r="K685" s="4">
        <v>96.53</v>
      </c>
      <c r="L685" s="4">
        <v>2</v>
      </c>
      <c r="M685" s="4">
        <v>92.34</v>
      </c>
      <c r="N685" s="4">
        <v>103.13930000000001</v>
      </c>
      <c r="O685" s="4">
        <v>42.96</v>
      </c>
      <c r="P685" s="4">
        <v>3.8764546470000001</v>
      </c>
      <c r="Q685" s="4">
        <v>32.716999999999999</v>
      </c>
      <c r="R685" t="str" cm="1">
        <f t="array" ref="R685">_xlfn.IFS(B685="NY","New York",B685="TX","Texas",B685="CA","California")</f>
        <v>New York</v>
      </c>
    </row>
    <row r="686" spans="1:18" x14ac:dyDescent="0.3">
      <c r="A686" t="s">
        <v>3</v>
      </c>
      <c r="B686" t="s">
        <v>8</v>
      </c>
      <c r="C686" s="2">
        <v>43126</v>
      </c>
      <c r="D686" s="11" t="s">
        <v>147</v>
      </c>
      <c r="E686" s="3">
        <f t="shared" ca="1" si="10"/>
        <v>780472379</v>
      </c>
      <c r="F686" t="s">
        <v>11</v>
      </c>
      <c r="G686" t="s">
        <v>14</v>
      </c>
      <c r="H686" s="1" t="s">
        <v>235</v>
      </c>
      <c r="I686" t="s">
        <v>20</v>
      </c>
      <c r="J686" s="4">
        <v>5</v>
      </c>
      <c r="K686" s="4">
        <v>40.481999999999999</v>
      </c>
      <c r="L686" s="4">
        <v>6</v>
      </c>
      <c r="M686" s="4">
        <v>68.72</v>
      </c>
      <c r="N686" s="4">
        <v>176.17429999999999</v>
      </c>
      <c r="O686" s="4">
        <v>138.47999999999999</v>
      </c>
      <c r="P686" s="4">
        <v>3.8764546470000001</v>
      </c>
      <c r="Q686" s="4">
        <v>50.741999999999997</v>
      </c>
      <c r="R686" t="str" cm="1">
        <f t="array" ref="R686">_xlfn.IFS(B686="NY","New York",B686="TX","Texas",B686="CA","California")</f>
        <v>California</v>
      </c>
    </row>
    <row r="687" spans="1:18" x14ac:dyDescent="0.3">
      <c r="A687" t="s">
        <v>3</v>
      </c>
      <c r="B687" t="s">
        <v>8</v>
      </c>
      <c r="C687" s="2">
        <v>43273</v>
      </c>
      <c r="D687" s="11" t="s">
        <v>109</v>
      </c>
      <c r="E687" s="3">
        <f t="shared" ca="1" si="10"/>
        <v>343258800</v>
      </c>
      <c r="F687" t="s">
        <v>11</v>
      </c>
      <c r="G687" t="s">
        <v>14</v>
      </c>
      <c r="H687" s="1" t="s">
        <v>237</v>
      </c>
      <c r="I687" t="s">
        <v>19</v>
      </c>
      <c r="J687" s="4">
        <v>4</v>
      </c>
      <c r="K687" s="4">
        <v>44.5</v>
      </c>
      <c r="L687" s="4">
        <v>2</v>
      </c>
      <c r="M687" s="4">
        <v>76.66</v>
      </c>
      <c r="N687" s="4">
        <v>184.11850000000001</v>
      </c>
      <c r="O687" s="4">
        <v>98.2</v>
      </c>
      <c r="P687" s="4">
        <v>3.8764546470000001</v>
      </c>
      <c r="Q687" s="4">
        <v>67.834999999999994</v>
      </c>
      <c r="R687" t="str" cm="1">
        <f t="array" ref="R687">_xlfn.IFS(B687="NY","New York",B687="TX","Texas",B687="CA","California")</f>
        <v>California</v>
      </c>
    </row>
    <row r="688" spans="1:18" x14ac:dyDescent="0.3">
      <c r="A688" t="s">
        <v>3</v>
      </c>
      <c r="B688" t="s">
        <v>8</v>
      </c>
      <c r="C688" s="2">
        <v>42874</v>
      </c>
      <c r="D688" s="11" t="s">
        <v>117</v>
      </c>
      <c r="E688" s="3">
        <f t="shared" ca="1" si="10"/>
        <v>909454023</v>
      </c>
      <c r="F688" t="s">
        <v>11</v>
      </c>
      <c r="G688" t="s">
        <v>14</v>
      </c>
      <c r="H688" s="1" t="s">
        <v>237</v>
      </c>
      <c r="I688" t="s">
        <v>20</v>
      </c>
      <c r="J688" s="4">
        <v>1</v>
      </c>
      <c r="K688" s="4">
        <v>35.119999999999997</v>
      </c>
      <c r="L688" s="4">
        <v>2</v>
      </c>
      <c r="M688" s="4">
        <v>29.18</v>
      </c>
      <c r="N688" s="4">
        <v>153.33240000000001</v>
      </c>
      <c r="O688" s="4">
        <v>129.66</v>
      </c>
      <c r="P688" s="4">
        <v>3.8764546470000001</v>
      </c>
      <c r="Q688" s="4">
        <v>23.1</v>
      </c>
      <c r="R688" t="str" cm="1">
        <f t="array" ref="R688">_xlfn.IFS(B688="NY","New York",B688="TX","Texas",B688="CA","California")</f>
        <v>California</v>
      </c>
    </row>
    <row r="689" spans="1:18" x14ac:dyDescent="0.3">
      <c r="A689" t="s">
        <v>1</v>
      </c>
      <c r="B689" t="s">
        <v>6</v>
      </c>
      <c r="C689" s="2">
        <v>42893</v>
      </c>
      <c r="D689" s="11" t="s">
        <v>35</v>
      </c>
      <c r="E689" s="3">
        <f t="shared" ca="1" si="10"/>
        <v>74629283</v>
      </c>
      <c r="F689" t="s">
        <v>12</v>
      </c>
      <c r="G689" t="s">
        <v>14</v>
      </c>
      <c r="H689" s="1" t="s">
        <v>236</v>
      </c>
      <c r="I689" t="s">
        <v>19</v>
      </c>
      <c r="J689" s="4">
        <v>4</v>
      </c>
      <c r="K689" s="4">
        <v>65.59</v>
      </c>
      <c r="L689" s="4">
        <v>10</v>
      </c>
      <c r="M689" s="4">
        <v>34.56</v>
      </c>
      <c r="N689" s="4">
        <v>174.38630000000001</v>
      </c>
      <c r="O689" s="4">
        <v>635.6</v>
      </c>
      <c r="P689" s="4">
        <v>3.8764546470000001</v>
      </c>
      <c r="Q689" s="4">
        <v>85.15</v>
      </c>
      <c r="R689" t="str" cm="1">
        <f t="array" ref="R689">_xlfn.IFS(B689="NY","New York",B689="TX","Texas",B689="CA","California")</f>
        <v>New York</v>
      </c>
    </row>
    <row r="690" spans="1:18" x14ac:dyDescent="0.3">
      <c r="A690" t="s">
        <v>2</v>
      </c>
      <c r="B690" t="s">
        <v>7</v>
      </c>
      <c r="C690" s="2">
        <v>43208</v>
      </c>
      <c r="D690" s="11" t="s">
        <v>197</v>
      </c>
      <c r="E690" s="3">
        <f t="shared" ca="1" si="10"/>
        <v>229854542</v>
      </c>
      <c r="F690" t="s">
        <v>12</v>
      </c>
      <c r="G690" t="s">
        <v>14</v>
      </c>
      <c r="H690" s="1" t="s">
        <v>236</v>
      </c>
      <c r="I690" t="s">
        <v>20</v>
      </c>
      <c r="J690" s="4">
        <v>4</v>
      </c>
      <c r="K690" s="4">
        <v>72.42</v>
      </c>
      <c r="L690" s="4">
        <v>2</v>
      </c>
      <c r="M690" s="4">
        <v>64.25</v>
      </c>
      <c r="N690" s="4">
        <v>114.3686</v>
      </c>
      <c r="O690" s="4">
        <v>145.76</v>
      </c>
      <c r="P690" s="4">
        <v>3.8764546470000001</v>
      </c>
      <c r="Q690" s="4">
        <v>19.420000000000002</v>
      </c>
      <c r="R690" t="str" cm="1">
        <f t="array" ref="R690">_xlfn.IFS(B690="NY","New York",B690="TX","Texas",B690="CA","California")</f>
        <v>Texas</v>
      </c>
    </row>
    <row r="691" spans="1:18" x14ac:dyDescent="0.3">
      <c r="A691" t="s">
        <v>1</v>
      </c>
      <c r="B691" t="s">
        <v>6</v>
      </c>
      <c r="C691" s="2">
        <v>43019</v>
      </c>
      <c r="D691" s="11" t="s">
        <v>215</v>
      </c>
      <c r="E691" s="3">
        <f t="shared" ca="1" si="10"/>
        <v>493848455</v>
      </c>
      <c r="F691" t="s">
        <v>11</v>
      </c>
      <c r="G691" t="s">
        <v>15</v>
      </c>
      <c r="H691" s="1" t="s">
        <v>236</v>
      </c>
      <c r="I691" t="s">
        <v>21</v>
      </c>
      <c r="J691" s="4">
        <v>5.0999999999999996</v>
      </c>
      <c r="K691" s="4">
        <v>72.010000000000005</v>
      </c>
      <c r="L691" s="4">
        <v>3</v>
      </c>
      <c r="M691" s="4">
        <v>89.71</v>
      </c>
      <c r="N691" s="4">
        <v>181.42519999999999</v>
      </c>
      <c r="O691" s="4">
        <v>201.3</v>
      </c>
      <c r="P691" s="4">
        <v>3.8764546470000001</v>
      </c>
      <c r="Q691" s="4">
        <v>48.27</v>
      </c>
      <c r="R691" t="str" cm="1">
        <f t="array" ref="R691">_xlfn.IFS(B691="NY","New York",B691="TX","Texas",B691="CA","California")</f>
        <v>New York</v>
      </c>
    </row>
    <row r="692" spans="1:18" x14ac:dyDescent="0.3">
      <c r="A692" t="s">
        <v>2</v>
      </c>
      <c r="B692" t="s">
        <v>7</v>
      </c>
      <c r="C692" s="2">
        <v>43446</v>
      </c>
      <c r="D692" s="11" t="s">
        <v>32</v>
      </c>
      <c r="E692" s="3">
        <f t="shared" ca="1" si="10"/>
        <v>223199697</v>
      </c>
      <c r="F692" t="s">
        <v>11</v>
      </c>
      <c r="G692" t="s">
        <v>14</v>
      </c>
      <c r="H692" s="1" t="s">
        <v>236</v>
      </c>
      <c r="I692" t="s">
        <v>20</v>
      </c>
      <c r="J692" s="4">
        <v>2</v>
      </c>
      <c r="K692" s="4">
        <v>42.82</v>
      </c>
      <c r="L692" s="4">
        <v>9</v>
      </c>
      <c r="M692" s="4">
        <v>63.01</v>
      </c>
      <c r="N692" s="4">
        <v>189.9494</v>
      </c>
      <c r="O692" s="4">
        <v>631.71</v>
      </c>
      <c r="P692" s="4">
        <v>3.8764546470000001</v>
      </c>
      <c r="Q692" s="4">
        <v>42.85</v>
      </c>
      <c r="R692" t="str" cm="1">
        <f t="array" ref="R692">_xlfn.IFS(B692="NY","New York",B692="TX","Texas",B692="CA","California")</f>
        <v>Texas</v>
      </c>
    </row>
    <row r="693" spans="1:18" x14ac:dyDescent="0.3">
      <c r="A693" t="s">
        <v>2</v>
      </c>
      <c r="B693" t="s">
        <v>7</v>
      </c>
      <c r="C693" s="2">
        <v>43317</v>
      </c>
      <c r="D693" s="11" t="s">
        <v>194</v>
      </c>
      <c r="E693" s="3">
        <f t="shared" ca="1" si="10"/>
        <v>659691346</v>
      </c>
      <c r="F693" t="s">
        <v>12</v>
      </c>
      <c r="G693" t="s">
        <v>14</v>
      </c>
      <c r="H693" s="1" t="s">
        <v>235</v>
      </c>
      <c r="I693" t="s">
        <v>21</v>
      </c>
      <c r="J693" s="4">
        <v>7.3</v>
      </c>
      <c r="K693" s="4">
        <v>18.18</v>
      </c>
      <c r="L693" s="4">
        <v>7</v>
      </c>
      <c r="M693" s="4">
        <v>98.01</v>
      </c>
      <c r="N693" s="4">
        <v>164.4</v>
      </c>
      <c r="O693" s="4">
        <v>385.28</v>
      </c>
      <c r="P693" s="4">
        <v>3.8764546470000001</v>
      </c>
      <c r="Q693" s="4">
        <v>62.212000000000003</v>
      </c>
      <c r="R693" t="str" cm="1">
        <f t="array" ref="R693">_xlfn.IFS(B693="NY","New York",B693="TX","Texas",B693="CA","California")</f>
        <v>Texas</v>
      </c>
    </row>
    <row r="694" spans="1:18" x14ac:dyDescent="0.3">
      <c r="A694" t="s">
        <v>1</v>
      </c>
      <c r="B694" t="s">
        <v>6</v>
      </c>
      <c r="C694" s="2">
        <v>43042</v>
      </c>
      <c r="D694" s="11" t="s">
        <v>218</v>
      </c>
      <c r="E694" s="3">
        <f t="shared" ca="1" si="10"/>
        <v>169826615</v>
      </c>
      <c r="F694" t="s">
        <v>12</v>
      </c>
      <c r="G694" t="s">
        <v>14</v>
      </c>
      <c r="H694" s="1" t="s">
        <v>236</v>
      </c>
      <c r="I694" t="s">
        <v>17</v>
      </c>
      <c r="J694" s="4">
        <v>6.1</v>
      </c>
      <c r="K694" s="4">
        <v>21.012</v>
      </c>
      <c r="L694" s="4">
        <v>10</v>
      </c>
      <c r="M694" s="4">
        <v>35</v>
      </c>
      <c r="N694" s="4">
        <v>107</v>
      </c>
      <c r="O694" s="4">
        <v>486.3</v>
      </c>
      <c r="P694" s="4">
        <v>3.8764546470000001</v>
      </c>
      <c r="Q694" s="4">
        <v>49.238</v>
      </c>
      <c r="R694" t="str" cm="1">
        <f t="array" ref="R694">_xlfn.IFS(B694="NY","New York",B694="TX","Texas",B694="CA","California")</f>
        <v>New York</v>
      </c>
    </row>
    <row r="695" spans="1:18" x14ac:dyDescent="0.3">
      <c r="A695" t="s">
        <v>2</v>
      </c>
      <c r="B695" t="s">
        <v>7</v>
      </c>
      <c r="C695" s="2">
        <v>42978</v>
      </c>
      <c r="D695" s="11" t="s">
        <v>129</v>
      </c>
      <c r="E695" s="3">
        <f t="shared" ca="1" si="10"/>
        <v>112495055</v>
      </c>
      <c r="F695" t="s">
        <v>11</v>
      </c>
      <c r="G695" t="s">
        <v>14</v>
      </c>
      <c r="H695" s="1" t="s">
        <v>236</v>
      </c>
      <c r="I695" t="s">
        <v>22</v>
      </c>
      <c r="J695" s="4">
        <v>3.8</v>
      </c>
      <c r="K695" s="4">
        <v>85.86</v>
      </c>
      <c r="L695" s="4">
        <v>7</v>
      </c>
      <c r="M695" s="4">
        <v>55.21</v>
      </c>
      <c r="N695" s="4">
        <v>180.7577</v>
      </c>
      <c r="O695" s="4">
        <v>513.66</v>
      </c>
      <c r="P695" s="4">
        <v>3.8764546470000001</v>
      </c>
      <c r="Q695" s="4">
        <v>73.06</v>
      </c>
      <c r="R695" t="str" cm="1">
        <f t="array" ref="R695">_xlfn.IFS(B695="NY","New York",B695="TX","Texas",B695="CA","California")</f>
        <v>Texas</v>
      </c>
    </row>
    <row r="696" spans="1:18" x14ac:dyDescent="0.3">
      <c r="A696" t="s">
        <v>2</v>
      </c>
      <c r="B696" t="s">
        <v>7</v>
      </c>
      <c r="C696" s="2">
        <v>42865</v>
      </c>
      <c r="D696" s="11" t="s">
        <v>144</v>
      </c>
      <c r="E696" s="3">
        <f t="shared" ca="1" si="10"/>
        <v>597294074</v>
      </c>
      <c r="F696" t="s">
        <v>11</v>
      </c>
      <c r="G696" t="s">
        <v>15</v>
      </c>
      <c r="H696" s="1" t="s">
        <v>236</v>
      </c>
      <c r="I696" t="s">
        <v>21</v>
      </c>
      <c r="J696" s="4">
        <v>2</v>
      </c>
      <c r="K696" s="4">
        <v>79.709999999999994</v>
      </c>
      <c r="L696" s="4">
        <v>9</v>
      </c>
      <c r="M696" s="4">
        <v>49</v>
      </c>
      <c r="N696" s="4">
        <v>186.61709999999999</v>
      </c>
      <c r="O696" s="4">
        <v>473.4</v>
      </c>
      <c r="P696" s="4">
        <v>3.8764546470000001</v>
      </c>
      <c r="Q696" s="4">
        <v>70.72</v>
      </c>
      <c r="R696" t="str" cm="1">
        <f t="array" ref="R696">_xlfn.IFS(B696="NY","New York",B696="TX","Texas",B696="CA","California")</f>
        <v>Texas</v>
      </c>
    </row>
    <row r="697" spans="1:18" x14ac:dyDescent="0.3">
      <c r="A697" t="s">
        <v>1</v>
      </c>
      <c r="B697" t="s">
        <v>6</v>
      </c>
      <c r="C697" s="2">
        <v>43025</v>
      </c>
      <c r="D697" s="11" t="s">
        <v>211</v>
      </c>
      <c r="E697" s="3">
        <f t="shared" ca="1" si="10"/>
        <v>172867286</v>
      </c>
      <c r="F697" t="s">
        <v>11</v>
      </c>
      <c r="G697" t="s">
        <v>14</v>
      </c>
      <c r="H697" s="1" t="s">
        <v>236</v>
      </c>
      <c r="I697" t="s">
        <v>19</v>
      </c>
      <c r="J697" s="4">
        <v>2</v>
      </c>
      <c r="K697" s="4">
        <v>23.71</v>
      </c>
      <c r="L697" s="4">
        <v>5</v>
      </c>
      <c r="M697" s="4">
        <v>47.6</v>
      </c>
      <c r="N697" s="4">
        <v>107.312</v>
      </c>
      <c r="O697" s="4">
        <v>436.85</v>
      </c>
      <c r="P697" s="4">
        <v>3.8764546470000001</v>
      </c>
      <c r="Q697" s="4">
        <v>51.83</v>
      </c>
      <c r="R697" t="str" cm="1">
        <f t="array" ref="R697">_xlfn.IFS(B697="NY","New York",B697="TX","Texas",B697="CA","California")</f>
        <v>New York</v>
      </c>
    </row>
    <row r="698" spans="1:18" x14ac:dyDescent="0.3">
      <c r="A698" t="s">
        <v>1</v>
      </c>
      <c r="B698" t="s">
        <v>6</v>
      </c>
      <c r="C698" s="2">
        <v>43192</v>
      </c>
      <c r="D698" s="11" t="s">
        <v>106</v>
      </c>
      <c r="E698" s="3">
        <f t="shared" ca="1" si="10"/>
        <v>226194410</v>
      </c>
      <c r="F698" t="s">
        <v>11</v>
      </c>
      <c r="G698" t="s">
        <v>14</v>
      </c>
      <c r="H698" s="1" t="s">
        <v>235</v>
      </c>
      <c r="I698" t="s">
        <v>20</v>
      </c>
      <c r="J698" s="4">
        <v>2</v>
      </c>
      <c r="K698" s="4">
        <v>78.72</v>
      </c>
      <c r="L698" s="4">
        <v>4</v>
      </c>
      <c r="M698" s="4">
        <v>39.619999999999997</v>
      </c>
      <c r="N698" s="4">
        <v>151.90469999999999</v>
      </c>
      <c r="O698" s="4">
        <v>108.16</v>
      </c>
      <c r="P698" s="4">
        <v>3.8764546470000001</v>
      </c>
      <c r="Q698" s="4">
        <v>65.819999999999993</v>
      </c>
      <c r="R698" t="str" cm="1">
        <f t="array" ref="R698">_xlfn.IFS(B698="NY","New York",B698="TX","Texas",B698="CA","California")</f>
        <v>New York</v>
      </c>
    </row>
    <row r="699" spans="1:18" x14ac:dyDescent="0.3">
      <c r="A699" t="s">
        <v>3</v>
      </c>
      <c r="B699" t="s">
        <v>8</v>
      </c>
      <c r="C699" s="2">
        <v>43277</v>
      </c>
      <c r="D699" s="11" t="s">
        <v>91</v>
      </c>
      <c r="E699" s="3">
        <f t="shared" ca="1" si="10"/>
        <v>150328750</v>
      </c>
      <c r="F699" t="s">
        <v>12</v>
      </c>
      <c r="G699" t="s">
        <v>15</v>
      </c>
      <c r="H699" s="1" t="s">
        <v>235</v>
      </c>
      <c r="I699" t="s">
        <v>19</v>
      </c>
      <c r="J699" s="4">
        <v>3</v>
      </c>
      <c r="K699" s="4">
        <v>29.475000000000001</v>
      </c>
      <c r="L699" s="4">
        <v>4</v>
      </c>
      <c r="M699" s="4">
        <v>38.25</v>
      </c>
      <c r="N699" s="4">
        <v>103.149</v>
      </c>
      <c r="O699" s="4">
        <v>248.76</v>
      </c>
      <c r="P699" s="4">
        <v>3.8764546470000001</v>
      </c>
      <c r="Q699" s="4">
        <v>36.130000000000003</v>
      </c>
      <c r="R699" t="str" cm="1">
        <f t="array" ref="R699">_xlfn.IFS(B699="NY","New York",B699="TX","Texas",B699="CA","California")</f>
        <v>California</v>
      </c>
    </row>
    <row r="700" spans="1:18" x14ac:dyDescent="0.3">
      <c r="A700" t="s">
        <v>1</v>
      </c>
      <c r="B700" t="s">
        <v>6</v>
      </c>
      <c r="C700" s="2">
        <v>43308</v>
      </c>
      <c r="D700" s="11" t="s">
        <v>60</v>
      </c>
      <c r="E700" s="3">
        <f t="shared" ca="1" si="10"/>
        <v>163227294</v>
      </c>
      <c r="F700" t="s">
        <v>12</v>
      </c>
      <c r="G700" t="s">
        <v>14</v>
      </c>
      <c r="H700" s="1" t="s">
        <v>237</v>
      </c>
      <c r="I700" t="s">
        <v>18</v>
      </c>
      <c r="J700" s="4">
        <v>7</v>
      </c>
      <c r="K700" s="4">
        <v>14.98</v>
      </c>
      <c r="L700" s="4">
        <v>9</v>
      </c>
      <c r="M700" s="4">
        <v>11.79</v>
      </c>
      <c r="N700" s="4">
        <v>186.2372</v>
      </c>
      <c r="O700" s="4">
        <v>626.22</v>
      </c>
      <c r="P700" s="4">
        <v>3.8764546470000001</v>
      </c>
      <c r="Q700" s="4">
        <v>29.44</v>
      </c>
      <c r="R700" t="str" cm="1">
        <f t="array" ref="R700">_xlfn.IFS(B700="NY","New York",B700="TX","Texas",B700="CA","California")</f>
        <v>New York</v>
      </c>
    </row>
    <row r="701" spans="1:18" x14ac:dyDescent="0.3">
      <c r="A701" t="s">
        <v>2</v>
      </c>
      <c r="B701" t="s">
        <v>7</v>
      </c>
      <c r="C701" s="2">
        <v>43453</v>
      </c>
      <c r="D701" s="11" t="s">
        <v>150</v>
      </c>
      <c r="E701" s="3">
        <f t="shared" ca="1" si="10"/>
        <v>898300634</v>
      </c>
      <c r="F701" t="s">
        <v>12</v>
      </c>
      <c r="G701" t="s">
        <v>15</v>
      </c>
      <c r="H701" s="1" t="s">
        <v>235</v>
      </c>
      <c r="I701" t="s">
        <v>19</v>
      </c>
      <c r="J701" s="4">
        <v>6</v>
      </c>
      <c r="K701" s="4">
        <v>48.7</v>
      </c>
      <c r="L701" s="4">
        <v>10</v>
      </c>
      <c r="M701" s="4">
        <v>52.7</v>
      </c>
      <c r="N701" s="4">
        <v>109.56100000000001</v>
      </c>
      <c r="O701" s="4">
        <v>975</v>
      </c>
      <c r="P701" s="4">
        <v>3.8764546470000001</v>
      </c>
      <c r="Q701" s="4">
        <v>84.3</v>
      </c>
      <c r="R701" t="str" cm="1">
        <f t="array" ref="R701">_xlfn.IFS(B701="NY","New York",B701="TX","Texas",B701="CA","California")</f>
        <v>Texas</v>
      </c>
    </row>
    <row r="702" spans="1:18" x14ac:dyDescent="0.3">
      <c r="A702" t="s">
        <v>2</v>
      </c>
      <c r="B702" t="s">
        <v>7</v>
      </c>
      <c r="C702" s="2">
        <v>43262</v>
      </c>
      <c r="D702" s="11" t="s">
        <v>131</v>
      </c>
      <c r="E702" s="3">
        <f t="shared" ca="1" si="10"/>
        <v>110940274</v>
      </c>
      <c r="F702" t="s">
        <v>11</v>
      </c>
      <c r="G702" t="s">
        <v>15</v>
      </c>
      <c r="H702" s="1" t="s">
        <v>235</v>
      </c>
      <c r="I702" t="s">
        <v>22</v>
      </c>
      <c r="J702" s="4">
        <v>3</v>
      </c>
      <c r="K702" s="4">
        <v>31.38</v>
      </c>
      <c r="L702" s="4">
        <v>8</v>
      </c>
      <c r="M702" s="4">
        <v>49.99</v>
      </c>
      <c r="N702" s="4">
        <v>159.49039999999999</v>
      </c>
      <c r="O702" s="4">
        <v>483.28</v>
      </c>
      <c r="P702" s="4">
        <v>3.8764546470000001</v>
      </c>
      <c r="Q702" s="4">
        <v>65.16</v>
      </c>
      <c r="R702" t="str" cm="1">
        <f t="array" ref="R702">_xlfn.IFS(B702="NY","New York",B702="TX","Texas",B702="CA","California")</f>
        <v>Texas</v>
      </c>
    </row>
    <row r="703" spans="1:18" x14ac:dyDescent="0.3">
      <c r="A703" t="s">
        <v>3</v>
      </c>
      <c r="B703" t="s">
        <v>8</v>
      </c>
      <c r="C703" s="2">
        <v>43161</v>
      </c>
      <c r="D703" s="11" t="s">
        <v>155</v>
      </c>
      <c r="E703" s="3">
        <f t="shared" ca="1" si="10"/>
        <v>963140134</v>
      </c>
      <c r="F703" t="s">
        <v>12</v>
      </c>
      <c r="G703" t="s">
        <v>15</v>
      </c>
      <c r="H703" s="1" t="s">
        <v>237</v>
      </c>
      <c r="I703" t="s">
        <v>21</v>
      </c>
      <c r="J703" s="4">
        <v>5</v>
      </c>
      <c r="K703" s="4">
        <v>30.082000000000001</v>
      </c>
      <c r="L703" s="4">
        <v>3</v>
      </c>
      <c r="M703" s="4">
        <v>86.04</v>
      </c>
      <c r="N703" s="4">
        <v>153.54769999999999</v>
      </c>
      <c r="O703" s="4">
        <v>96.96</v>
      </c>
      <c r="P703" s="4">
        <v>3.8764546470000001</v>
      </c>
      <c r="Q703" s="4">
        <v>27.16</v>
      </c>
      <c r="R703" t="str" cm="1">
        <f t="array" ref="R703">_xlfn.IFS(B703="NY","New York",B703="TX","Texas",B703="CA","California")</f>
        <v>California</v>
      </c>
    </row>
    <row r="704" spans="1:18" x14ac:dyDescent="0.3">
      <c r="A704" t="s">
        <v>3</v>
      </c>
      <c r="B704" t="s">
        <v>8</v>
      </c>
      <c r="C704" s="2">
        <v>42933</v>
      </c>
      <c r="D704" s="11" t="s">
        <v>200</v>
      </c>
      <c r="E704" s="3">
        <f t="shared" ca="1" si="10"/>
        <v>117337667</v>
      </c>
      <c r="F704" t="s">
        <v>11</v>
      </c>
      <c r="G704" t="s">
        <v>14</v>
      </c>
      <c r="H704" s="1" t="s">
        <v>237</v>
      </c>
      <c r="I704" t="s">
        <v>22</v>
      </c>
      <c r="J704" s="4">
        <v>8.6999999999999993</v>
      </c>
      <c r="K704" s="4">
        <v>22.71</v>
      </c>
      <c r="L704" s="4">
        <v>10</v>
      </c>
      <c r="M704" s="4">
        <v>13.64</v>
      </c>
      <c r="N704" s="4">
        <v>116.6729</v>
      </c>
      <c r="O704" s="4">
        <v>197.7</v>
      </c>
      <c r="P704" s="4">
        <v>3.8764546470000001</v>
      </c>
      <c r="Q704" s="4">
        <v>69.319000000000003</v>
      </c>
      <c r="R704" t="str" cm="1">
        <f t="array" ref="R704">_xlfn.IFS(B704="NY","New York",B704="TX","Texas",B704="CA","California")</f>
        <v>California</v>
      </c>
    </row>
    <row r="705" spans="1:18" x14ac:dyDescent="0.3">
      <c r="A705" t="s">
        <v>3</v>
      </c>
      <c r="B705" t="s">
        <v>8</v>
      </c>
      <c r="C705" s="2">
        <v>43241</v>
      </c>
      <c r="D705" s="11" t="s">
        <v>84</v>
      </c>
      <c r="E705" s="3">
        <f t="shared" ca="1" si="10"/>
        <v>652906723</v>
      </c>
      <c r="F705" t="s">
        <v>12</v>
      </c>
      <c r="G705" t="s">
        <v>14</v>
      </c>
      <c r="H705" s="1" t="s">
        <v>236</v>
      </c>
      <c r="I705" t="s">
        <v>17</v>
      </c>
      <c r="J705" s="4">
        <v>9</v>
      </c>
      <c r="K705" s="4">
        <v>41.96</v>
      </c>
      <c r="L705" s="4">
        <v>9</v>
      </c>
      <c r="M705" s="4">
        <v>21.11</v>
      </c>
      <c r="N705" s="4">
        <v>134.76849999999999</v>
      </c>
      <c r="O705" s="4">
        <v>724.23</v>
      </c>
      <c r="P705" s="4">
        <v>3.8764546470000001</v>
      </c>
      <c r="Q705" s="4">
        <v>83.643000000000001</v>
      </c>
      <c r="R705" t="str" cm="1">
        <f t="array" ref="R705">_xlfn.IFS(B705="NY","New York",B705="TX","Texas",B705="CA","California")</f>
        <v>California</v>
      </c>
    </row>
    <row r="706" spans="1:18" x14ac:dyDescent="0.3">
      <c r="A706" t="s">
        <v>3</v>
      </c>
      <c r="B706" t="s">
        <v>8</v>
      </c>
      <c r="C706" s="2">
        <v>43342</v>
      </c>
      <c r="D706" s="11" t="s">
        <v>73</v>
      </c>
      <c r="E706" s="3">
        <f t="shared" ca="1" si="10"/>
        <v>683495966</v>
      </c>
      <c r="F706" t="s">
        <v>11</v>
      </c>
      <c r="G706" t="s">
        <v>14</v>
      </c>
      <c r="H706" s="1" t="s">
        <v>236</v>
      </c>
      <c r="I706" t="s">
        <v>19</v>
      </c>
      <c r="J706" s="4">
        <v>4</v>
      </c>
      <c r="K706" s="4">
        <v>75.38</v>
      </c>
      <c r="L706" s="4">
        <v>9</v>
      </c>
      <c r="M706" s="4">
        <v>47.93</v>
      </c>
      <c r="N706" s="4">
        <v>139.50659999999999</v>
      </c>
      <c r="O706" s="4">
        <v>795.51</v>
      </c>
      <c r="P706" s="4">
        <v>3.8764546470000001</v>
      </c>
      <c r="Q706" s="4">
        <v>77.768000000000001</v>
      </c>
      <c r="R706" t="str" cm="1">
        <f t="array" ref="R706">_xlfn.IFS(B706="NY","New York",B706="TX","Texas",B706="CA","California")</f>
        <v>California</v>
      </c>
    </row>
    <row r="707" spans="1:18" x14ac:dyDescent="0.3">
      <c r="A707" t="s">
        <v>3</v>
      </c>
      <c r="B707" t="s">
        <v>8</v>
      </c>
      <c r="C707" s="2">
        <v>42911</v>
      </c>
      <c r="D707" s="11" t="s">
        <v>80</v>
      </c>
      <c r="E707" s="3">
        <f t="shared" ref="E707:E770" ca="1" si="11">RANDBETWEEN(10000000,1000000000)</f>
        <v>134407869</v>
      </c>
      <c r="F707" t="s">
        <v>12</v>
      </c>
      <c r="G707" t="s">
        <v>15</v>
      </c>
      <c r="H707" s="1" t="s">
        <v>236</v>
      </c>
      <c r="I707" t="s">
        <v>17</v>
      </c>
      <c r="J707" s="4">
        <v>2.5</v>
      </c>
      <c r="K707" s="4">
        <v>68.474999999999994</v>
      </c>
      <c r="L707" s="4">
        <v>7</v>
      </c>
      <c r="M707" s="4">
        <v>13.97</v>
      </c>
      <c r="N707" s="4">
        <v>126.063</v>
      </c>
      <c r="O707" s="4">
        <v>502.39</v>
      </c>
      <c r="P707" s="4">
        <v>3.8764546470000001</v>
      </c>
      <c r="Q707" s="4">
        <v>31.129000000000001</v>
      </c>
      <c r="R707" t="str" cm="1">
        <f t="array" ref="R707">_xlfn.IFS(B707="NY","New York",B707="TX","Texas",B707="CA","California")</f>
        <v>California</v>
      </c>
    </row>
    <row r="708" spans="1:18" x14ac:dyDescent="0.3">
      <c r="A708" t="s">
        <v>3</v>
      </c>
      <c r="B708" t="s">
        <v>8</v>
      </c>
      <c r="C708" s="2">
        <v>43367</v>
      </c>
      <c r="D708" s="11" t="s">
        <v>159</v>
      </c>
      <c r="E708" s="3">
        <f t="shared" ca="1" si="11"/>
        <v>58935945</v>
      </c>
      <c r="F708" t="s">
        <v>11</v>
      </c>
      <c r="G708" t="s">
        <v>15</v>
      </c>
      <c r="H708" s="1" t="s">
        <v>235</v>
      </c>
      <c r="I708" t="s">
        <v>18</v>
      </c>
      <c r="J708" s="4">
        <v>3.6</v>
      </c>
      <c r="K708" s="4">
        <v>41.97</v>
      </c>
      <c r="L708" s="4">
        <v>4</v>
      </c>
      <c r="M708" s="4">
        <v>15.57</v>
      </c>
      <c r="N708" s="4">
        <v>148.28129999999999</v>
      </c>
      <c r="O708" s="4">
        <v>172</v>
      </c>
      <c r="P708" s="4">
        <v>3.8764546470000001</v>
      </c>
      <c r="Q708" s="4">
        <v>62.83</v>
      </c>
      <c r="R708" t="str" cm="1">
        <f t="array" ref="R708">_xlfn.IFS(B708="NY","New York",B708="TX","Texas",B708="CA","California")</f>
        <v>California</v>
      </c>
    </row>
    <row r="709" spans="1:18" x14ac:dyDescent="0.3">
      <c r="A709" t="s">
        <v>2</v>
      </c>
      <c r="B709" t="s">
        <v>7</v>
      </c>
      <c r="C709" s="2">
        <v>42999</v>
      </c>
      <c r="D709" s="11" t="s">
        <v>182</v>
      </c>
      <c r="E709" s="3">
        <f t="shared" ca="1" si="11"/>
        <v>515370576</v>
      </c>
      <c r="F709" t="s">
        <v>12</v>
      </c>
      <c r="G709" t="s">
        <v>14</v>
      </c>
      <c r="H709" s="1" t="s">
        <v>236</v>
      </c>
      <c r="I709" t="s">
        <v>21</v>
      </c>
      <c r="J709" s="4">
        <v>3.3</v>
      </c>
      <c r="K709" s="4">
        <v>38.143000000000001</v>
      </c>
      <c r="L709" s="4">
        <v>1</v>
      </c>
      <c r="M709" s="4">
        <v>72.67</v>
      </c>
      <c r="N709" s="4">
        <v>158.60929999999999</v>
      </c>
      <c r="O709" s="4">
        <v>68.98</v>
      </c>
      <c r="P709" s="4">
        <v>3.8764546470000001</v>
      </c>
      <c r="Q709" s="4">
        <v>66.191999999999993</v>
      </c>
      <c r="R709" t="str" cm="1">
        <f t="array" ref="R709">_xlfn.IFS(B709="NY","New York",B709="TX","Texas",B709="CA","California")</f>
        <v>Texas</v>
      </c>
    </row>
    <row r="710" spans="1:18" x14ac:dyDescent="0.3">
      <c r="A710" t="s">
        <v>2</v>
      </c>
      <c r="B710" t="s">
        <v>7</v>
      </c>
      <c r="C710" s="2">
        <v>43008</v>
      </c>
      <c r="D710" s="11" t="s">
        <v>194</v>
      </c>
      <c r="E710" s="3">
        <f t="shared" ca="1" si="11"/>
        <v>698035282</v>
      </c>
      <c r="F710" t="s">
        <v>12</v>
      </c>
      <c r="G710" t="s">
        <v>15</v>
      </c>
      <c r="H710" s="1" t="s">
        <v>235</v>
      </c>
      <c r="I710" t="s">
        <v>22</v>
      </c>
      <c r="J710" s="4">
        <v>4</v>
      </c>
      <c r="K710" s="4">
        <v>49.307000000000002</v>
      </c>
      <c r="L710" s="4">
        <v>8</v>
      </c>
      <c r="M710" s="4">
        <v>37.83</v>
      </c>
      <c r="N710" s="4">
        <v>170.9879</v>
      </c>
      <c r="O710" s="4">
        <v>124.96</v>
      </c>
      <c r="P710" s="4">
        <v>3.8764546470000001</v>
      </c>
      <c r="Q710" s="4">
        <v>62.76</v>
      </c>
      <c r="R710" t="str" cm="1">
        <f t="array" ref="R710">_xlfn.IFS(B710="NY","New York",B710="TX","Texas",B710="CA","California")</f>
        <v>Texas</v>
      </c>
    </row>
    <row r="711" spans="1:18" x14ac:dyDescent="0.3">
      <c r="A711" t="s">
        <v>1</v>
      </c>
      <c r="B711" t="s">
        <v>6</v>
      </c>
      <c r="C711" s="2">
        <v>43151</v>
      </c>
      <c r="D711" s="11" t="s">
        <v>95</v>
      </c>
      <c r="E711" s="3">
        <f t="shared" ca="1" si="11"/>
        <v>831568878</v>
      </c>
      <c r="F711" t="s">
        <v>12</v>
      </c>
      <c r="G711" t="s">
        <v>15</v>
      </c>
      <c r="H711" s="1" t="s">
        <v>235</v>
      </c>
      <c r="I711" t="s">
        <v>20</v>
      </c>
      <c r="J711" s="4">
        <v>4</v>
      </c>
      <c r="K711" s="4">
        <v>42.241</v>
      </c>
      <c r="L711" s="4">
        <v>3</v>
      </c>
      <c r="M711" s="4">
        <v>29.41</v>
      </c>
      <c r="N711" s="4">
        <v>106.7865</v>
      </c>
      <c r="O711" s="4">
        <v>77.099999999999994</v>
      </c>
      <c r="P711" s="4">
        <v>3.8764546470000001</v>
      </c>
      <c r="Q711" s="4">
        <v>28.69</v>
      </c>
      <c r="R711" t="str" cm="1">
        <f t="array" ref="R711">_xlfn.IFS(B711="NY","New York",B711="TX","Texas",B711="CA","California")</f>
        <v>New York</v>
      </c>
    </row>
    <row r="712" spans="1:18" x14ac:dyDescent="0.3">
      <c r="A712" t="s">
        <v>1</v>
      </c>
      <c r="B712" t="s">
        <v>6</v>
      </c>
      <c r="C712" s="2">
        <v>43335</v>
      </c>
      <c r="D712" s="11" t="s">
        <v>52</v>
      </c>
      <c r="E712" s="3">
        <f t="shared" ca="1" si="11"/>
        <v>377010914</v>
      </c>
      <c r="F712" t="s">
        <v>12</v>
      </c>
      <c r="G712" t="s">
        <v>14</v>
      </c>
      <c r="H712" s="1" t="s">
        <v>236</v>
      </c>
      <c r="I712" t="s">
        <v>21</v>
      </c>
      <c r="J712" s="4">
        <v>1.4</v>
      </c>
      <c r="K712" s="4">
        <v>47.948999999999998</v>
      </c>
      <c r="L712" s="4">
        <v>6</v>
      </c>
      <c r="M712" s="4">
        <v>58.84</v>
      </c>
      <c r="N712" s="4">
        <v>128.52279999999999</v>
      </c>
      <c r="O712" s="4">
        <v>483.72</v>
      </c>
      <c r="P712" s="4">
        <v>3.8764546470000001</v>
      </c>
      <c r="Q712" s="4">
        <v>48.338000000000001</v>
      </c>
      <c r="R712" t="str" cm="1">
        <f t="array" ref="R712">_xlfn.IFS(B712="NY","New York",B712="TX","Texas",B712="CA","California")</f>
        <v>New York</v>
      </c>
    </row>
    <row r="713" spans="1:18" x14ac:dyDescent="0.3">
      <c r="A713" t="s">
        <v>2</v>
      </c>
      <c r="B713" t="s">
        <v>7</v>
      </c>
      <c r="C713" s="2">
        <v>43304</v>
      </c>
      <c r="D713" s="11" t="s">
        <v>124</v>
      </c>
      <c r="E713" s="3">
        <f t="shared" ca="1" si="11"/>
        <v>314838836</v>
      </c>
      <c r="F713" t="s">
        <v>11</v>
      </c>
      <c r="G713" t="s">
        <v>14</v>
      </c>
      <c r="H713" s="1" t="s">
        <v>235</v>
      </c>
      <c r="I713" t="s">
        <v>19</v>
      </c>
      <c r="J713" s="4">
        <v>1.5</v>
      </c>
      <c r="K713" s="4">
        <v>91.076999999999998</v>
      </c>
      <c r="L713" s="4">
        <v>4</v>
      </c>
      <c r="M713" s="4">
        <v>97.83</v>
      </c>
      <c r="N713" s="4">
        <v>154.73439999999999</v>
      </c>
      <c r="O713" s="4">
        <v>302.12</v>
      </c>
      <c r="P713" s="4">
        <v>3.8764546470000001</v>
      </c>
      <c r="Q713" s="4">
        <v>44.243000000000002</v>
      </c>
      <c r="R713" t="str" cm="1">
        <f t="array" ref="R713">_xlfn.IFS(B713="NY","New York",B713="TX","Texas",B713="CA","California")</f>
        <v>Texas</v>
      </c>
    </row>
    <row r="714" spans="1:18" x14ac:dyDescent="0.3">
      <c r="A714" t="s">
        <v>2</v>
      </c>
      <c r="B714" t="s">
        <v>7</v>
      </c>
      <c r="C714" s="2">
        <v>43363</v>
      </c>
      <c r="D714" s="11" t="s">
        <v>213</v>
      </c>
      <c r="E714" s="3">
        <f t="shared" ca="1" si="11"/>
        <v>150705375</v>
      </c>
      <c r="F714" t="s">
        <v>11</v>
      </c>
      <c r="G714" t="s">
        <v>15</v>
      </c>
      <c r="H714" s="1" t="s">
        <v>235</v>
      </c>
      <c r="I714" t="s">
        <v>18</v>
      </c>
      <c r="J714" s="4">
        <v>6.2</v>
      </c>
      <c r="K714" s="4">
        <v>26.85</v>
      </c>
      <c r="L714" s="4">
        <v>9</v>
      </c>
      <c r="M714" s="4">
        <v>87.98</v>
      </c>
      <c r="N714" s="4">
        <v>188.3937</v>
      </c>
      <c r="O714" s="4">
        <v>698.67</v>
      </c>
      <c r="P714" s="4">
        <v>3.8764546470000001</v>
      </c>
      <c r="Q714" s="4">
        <v>80.412000000000006</v>
      </c>
      <c r="R714" t="str" cm="1">
        <f t="array" ref="R714">_xlfn.IFS(B714="NY","New York",B714="TX","Texas",B714="CA","California")</f>
        <v>Texas</v>
      </c>
    </row>
    <row r="715" spans="1:18" x14ac:dyDescent="0.3">
      <c r="A715" t="s">
        <v>2</v>
      </c>
      <c r="B715" t="s">
        <v>7</v>
      </c>
      <c r="C715" s="2">
        <v>43377</v>
      </c>
      <c r="D715" s="11" t="s">
        <v>100</v>
      </c>
      <c r="E715" s="3">
        <f t="shared" ca="1" si="11"/>
        <v>893347101</v>
      </c>
      <c r="F715" t="s">
        <v>11</v>
      </c>
      <c r="G715" t="s">
        <v>15</v>
      </c>
      <c r="H715" s="1" t="s">
        <v>235</v>
      </c>
      <c r="I715" t="s">
        <v>17</v>
      </c>
      <c r="J715" s="4">
        <v>9.6</v>
      </c>
      <c r="K715" s="4">
        <v>12.8</v>
      </c>
      <c r="L715" s="4">
        <v>9</v>
      </c>
      <c r="M715" s="4">
        <v>59.16</v>
      </c>
      <c r="N715" s="4">
        <v>169.8569</v>
      </c>
      <c r="O715" s="4">
        <v>124.65</v>
      </c>
      <c r="P715" s="4">
        <v>3.8764546470000001</v>
      </c>
      <c r="Q715" s="4">
        <v>53.802</v>
      </c>
      <c r="R715" t="str" cm="1">
        <f t="array" ref="R715">_xlfn.IFS(B715="NY","New York",B715="TX","Texas",B715="CA","California")</f>
        <v>Texas</v>
      </c>
    </row>
    <row r="716" spans="1:18" x14ac:dyDescent="0.3">
      <c r="A716" t="s">
        <v>2</v>
      </c>
      <c r="B716" t="s">
        <v>7</v>
      </c>
      <c r="C716" s="2">
        <v>42950</v>
      </c>
      <c r="D716" s="11" t="s">
        <v>148</v>
      </c>
      <c r="E716" s="3">
        <f t="shared" ca="1" si="11"/>
        <v>769092179</v>
      </c>
      <c r="F716" t="s">
        <v>12</v>
      </c>
      <c r="G716" t="s">
        <v>14</v>
      </c>
      <c r="H716" s="1" t="s">
        <v>235</v>
      </c>
      <c r="I716" t="s">
        <v>22</v>
      </c>
      <c r="J716" s="4">
        <v>3.7</v>
      </c>
      <c r="K716" s="4">
        <v>43.44</v>
      </c>
      <c r="L716" s="4">
        <v>8</v>
      </c>
      <c r="M716" s="4">
        <v>96.42</v>
      </c>
      <c r="N716" s="4">
        <v>120.28660000000001</v>
      </c>
      <c r="O716" s="4">
        <v>789.6</v>
      </c>
      <c r="P716" s="4">
        <v>3.8764546470000001</v>
      </c>
      <c r="Q716" s="4">
        <v>92.96</v>
      </c>
      <c r="R716" t="str" cm="1">
        <f t="array" ref="R716">_xlfn.IFS(B716="NY","New York",B716="TX","Texas",B716="CA","California")</f>
        <v>Texas</v>
      </c>
    </row>
    <row r="717" spans="1:18" x14ac:dyDescent="0.3">
      <c r="A717" t="s">
        <v>1</v>
      </c>
      <c r="B717" t="s">
        <v>6</v>
      </c>
      <c r="C717" s="2">
        <v>43182</v>
      </c>
      <c r="D717" s="11" t="s">
        <v>188</v>
      </c>
      <c r="E717" s="3">
        <f t="shared" ca="1" si="11"/>
        <v>227477945</v>
      </c>
      <c r="F717" t="s">
        <v>11</v>
      </c>
      <c r="G717" t="s">
        <v>15</v>
      </c>
      <c r="H717" s="1" t="s">
        <v>237</v>
      </c>
      <c r="I717" t="s">
        <v>17</v>
      </c>
      <c r="J717" s="4">
        <v>9</v>
      </c>
      <c r="K717" s="4">
        <v>18.989999999999998</v>
      </c>
      <c r="L717" s="4">
        <v>5</v>
      </c>
      <c r="M717" s="4">
        <v>15.96</v>
      </c>
      <c r="N717" s="4">
        <v>114.4468</v>
      </c>
      <c r="O717" s="4">
        <v>178.4</v>
      </c>
      <c r="P717" s="4">
        <v>3.8764546470000001</v>
      </c>
      <c r="Q717" s="4">
        <v>89.24</v>
      </c>
      <c r="R717" t="str" cm="1">
        <f t="array" ref="R717">_xlfn.IFS(B717="NY","New York",B717="TX","Texas",B717="CA","California")</f>
        <v>New York</v>
      </c>
    </row>
    <row r="718" spans="1:18" x14ac:dyDescent="0.3">
      <c r="A718" t="s">
        <v>1</v>
      </c>
      <c r="B718" t="s">
        <v>6</v>
      </c>
      <c r="C718" s="2">
        <v>42902</v>
      </c>
      <c r="D718" s="11" t="s">
        <v>31</v>
      </c>
      <c r="E718" s="3">
        <f t="shared" ca="1" si="11"/>
        <v>47959726</v>
      </c>
      <c r="F718" t="s">
        <v>11</v>
      </c>
      <c r="G718" t="s">
        <v>14</v>
      </c>
      <c r="H718" s="1" t="s">
        <v>235</v>
      </c>
      <c r="I718" t="s">
        <v>22</v>
      </c>
      <c r="J718" s="4">
        <v>9.1</v>
      </c>
      <c r="K718" s="4">
        <v>36.75</v>
      </c>
      <c r="L718" s="4">
        <v>7</v>
      </c>
      <c r="M718" s="4">
        <v>26.31</v>
      </c>
      <c r="N718" s="4">
        <v>153.1688</v>
      </c>
      <c r="O718" s="4">
        <v>500.22</v>
      </c>
      <c r="P718" s="4">
        <v>3.8764546470000001</v>
      </c>
      <c r="Q718" s="4">
        <v>10.039999999999999</v>
      </c>
      <c r="R718" t="str" cm="1">
        <f t="array" ref="R718">_xlfn.IFS(B718="NY","New York",B718="TX","Texas",B718="CA","California")</f>
        <v>New York</v>
      </c>
    </row>
    <row r="719" spans="1:18" x14ac:dyDescent="0.3">
      <c r="A719" t="s">
        <v>1</v>
      </c>
      <c r="B719" t="s">
        <v>6</v>
      </c>
      <c r="C719" s="2">
        <v>43069</v>
      </c>
      <c r="D719" s="11" t="s">
        <v>158</v>
      </c>
      <c r="E719" s="3">
        <f t="shared" ca="1" si="11"/>
        <v>637157515</v>
      </c>
      <c r="F719" t="s">
        <v>12</v>
      </c>
      <c r="G719" t="s">
        <v>14</v>
      </c>
      <c r="H719" s="1" t="s">
        <v>237</v>
      </c>
      <c r="I719" t="s">
        <v>18</v>
      </c>
      <c r="J719" s="4">
        <v>6.6</v>
      </c>
      <c r="K719" s="4">
        <v>93.75</v>
      </c>
      <c r="L719" s="4">
        <v>3</v>
      </c>
      <c r="M719" s="4">
        <v>38.119999999999997</v>
      </c>
      <c r="N719" s="4">
        <v>150.1968</v>
      </c>
      <c r="O719" s="4">
        <v>35.82</v>
      </c>
      <c r="P719" s="4">
        <v>3.8764546470000001</v>
      </c>
      <c r="Q719" s="4">
        <v>82.71</v>
      </c>
      <c r="R719" t="str" cm="1">
        <f t="array" ref="R719">_xlfn.IFS(B719="NY","New York",B719="TX","Texas",B719="CA","California")</f>
        <v>New York</v>
      </c>
    </row>
    <row r="720" spans="1:18" x14ac:dyDescent="0.3">
      <c r="A720" t="s">
        <v>1</v>
      </c>
      <c r="B720" t="s">
        <v>6</v>
      </c>
      <c r="C720" s="2">
        <v>43122</v>
      </c>
      <c r="D720" s="11" t="s">
        <v>150</v>
      </c>
      <c r="E720" s="3">
        <f t="shared" ca="1" si="11"/>
        <v>841216370</v>
      </c>
      <c r="F720" t="s">
        <v>12</v>
      </c>
      <c r="G720" t="s">
        <v>15</v>
      </c>
      <c r="H720" s="1" t="s">
        <v>237</v>
      </c>
      <c r="I720" t="s">
        <v>22</v>
      </c>
      <c r="J720" s="4">
        <v>5.5</v>
      </c>
      <c r="K720" s="4">
        <v>37.4</v>
      </c>
      <c r="L720" s="4">
        <v>3</v>
      </c>
      <c r="M720" s="4">
        <v>17.66</v>
      </c>
      <c r="N720" s="4">
        <v>120.0934</v>
      </c>
      <c r="O720" s="4">
        <v>136.13999999999999</v>
      </c>
      <c r="P720" s="4">
        <v>3.8764546470000001</v>
      </c>
      <c r="Q720" s="4">
        <v>63.19</v>
      </c>
      <c r="R720" t="str" cm="1">
        <f t="array" ref="R720">_xlfn.IFS(B720="NY","New York",B720="TX","Texas",B720="CA","California")</f>
        <v>New York</v>
      </c>
    </row>
    <row r="721" spans="1:18" x14ac:dyDescent="0.3">
      <c r="A721" t="s">
        <v>3</v>
      </c>
      <c r="B721" t="s">
        <v>8</v>
      </c>
      <c r="C721" s="2">
        <v>42973</v>
      </c>
      <c r="D721" s="11" t="s">
        <v>222</v>
      </c>
      <c r="E721" s="3">
        <f t="shared" ca="1" si="11"/>
        <v>475789650</v>
      </c>
      <c r="F721" t="s">
        <v>11</v>
      </c>
      <c r="G721" t="s">
        <v>14</v>
      </c>
      <c r="H721" s="1" t="s">
        <v>237</v>
      </c>
      <c r="I721" t="s">
        <v>22</v>
      </c>
      <c r="J721" s="4">
        <v>3</v>
      </c>
      <c r="K721" s="4">
        <v>40.21</v>
      </c>
      <c r="L721" s="4">
        <v>6</v>
      </c>
      <c r="M721" s="4">
        <v>47.03</v>
      </c>
      <c r="N721" s="4">
        <v>144.80000000000001</v>
      </c>
      <c r="O721" s="4">
        <v>104.88</v>
      </c>
      <c r="P721" s="4">
        <v>3.8764546470000001</v>
      </c>
      <c r="Q721" s="4">
        <v>63.47</v>
      </c>
      <c r="R721" t="str" cm="1">
        <f t="array" ref="R721">_xlfn.IFS(B721="NY","New York",B721="TX","Texas",B721="CA","California")</f>
        <v>California</v>
      </c>
    </row>
    <row r="722" spans="1:18" x14ac:dyDescent="0.3">
      <c r="A722" t="s">
        <v>3</v>
      </c>
      <c r="B722" t="s">
        <v>8</v>
      </c>
      <c r="C722" s="2">
        <v>43077</v>
      </c>
      <c r="D722" s="11" t="s">
        <v>54</v>
      </c>
      <c r="E722" s="3">
        <f t="shared" ca="1" si="11"/>
        <v>35759198</v>
      </c>
      <c r="F722" t="s">
        <v>11</v>
      </c>
      <c r="G722" t="s">
        <v>15</v>
      </c>
      <c r="H722" s="1" t="s">
        <v>236</v>
      </c>
      <c r="I722" t="s">
        <v>22</v>
      </c>
      <c r="J722" s="4">
        <v>2</v>
      </c>
      <c r="K722" s="4">
        <v>23.884</v>
      </c>
      <c r="L722" s="4">
        <v>7</v>
      </c>
      <c r="M722" s="4">
        <v>80.19</v>
      </c>
      <c r="N722" s="4">
        <v>120.4</v>
      </c>
      <c r="O722" s="4">
        <v>178.92</v>
      </c>
      <c r="P722" s="4">
        <v>3.8764546470000001</v>
      </c>
      <c r="Q722" s="4">
        <v>40.72</v>
      </c>
      <c r="R722" t="str" cm="1">
        <f t="array" ref="R722">_xlfn.IFS(B722="NY","New York",B722="TX","Texas",B722="CA","California")</f>
        <v>California</v>
      </c>
    </row>
    <row r="723" spans="1:18" x14ac:dyDescent="0.3">
      <c r="A723" t="s">
        <v>2</v>
      </c>
      <c r="B723" t="s">
        <v>7</v>
      </c>
      <c r="C723" s="2">
        <v>43221</v>
      </c>
      <c r="D723" s="11" t="s">
        <v>166</v>
      </c>
      <c r="E723" s="3">
        <f t="shared" ca="1" si="11"/>
        <v>106381481</v>
      </c>
      <c r="F723" t="s">
        <v>11</v>
      </c>
      <c r="G723" t="s">
        <v>14</v>
      </c>
      <c r="H723" s="1" t="s">
        <v>236</v>
      </c>
      <c r="I723" t="s">
        <v>20</v>
      </c>
      <c r="J723" s="4">
        <v>8</v>
      </c>
      <c r="K723" s="4">
        <v>73.62</v>
      </c>
      <c r="L723" s="4">
        <v>9</v>
      </c>
      <c r="M723" s="4">
        <v>37.08</v>
      </c>
      <c r="N723" s="4">
        <v>185.7</v>
      </c>
      <c r="O723" s="4">
        <v>815.67</v>
      </c>
      <c r="P723" s="4">
        <v>3.8764546470000001</v>
      </c>
      <c r="Q723" s="4">
        <v>46.930999999999997</v>
      </c>
      <c r="R723" t="str" cm="1">
        <f t="array" ref="R723">_xlfn.IFS(B723="NY","New York",B723="TX","Texas",B723="CA","California")</f>
        <v>Texas</v>
      </c>
    </row>
    <row r="724" spans="1:18" x14ac:dyDescent="0.3">
      <c r="A724" t="s">
        <v>3</v>
      </c>
      <c r="B724" t="s">
        <v>8</v>
      </c>
      <c r="C724" s="2">
        <v>42976</v>
      </c>
      <c r="D724" s="11" t="s">
        <v>230</v>
      </c>
      <c r="E724" s="3">
        <f t="shared" ca="1" si="11"/>
        <v>739929218</v>
      </c>
      <c r="F724" t="s">
        <v>12</v>
      </c>
      <c r="G724" t="s">
        <v>15</v>
      </c>
      <c r="H724" s="1" t="s">
        <v>237</v>
      </c>
      <c r="I724" t="s">
        <v>19</v>
      </c>
      <c r="J724" s="4">
        <v>8</v>
      </c>
      <c r="K724" s="4">
        <v>51.8</v>
      </c>
      <c r="L724" s="4">
        <v>3</v>
      </c>
      <c r="M724" s="4">
        <v>91.62</v>
      </c>
      <c r="N724" s="4">
        <v>118.9</v>
      </c>
      <c r="O724" s="4">
        <v>132.36000000000001</v>
      </c>
      <c r="P724" s="4">
        <v>3.8764546470000001</v>
      </c>
      <c r="Q724" s="4">
        <v>56.259</v>
      </c>
      <c r="R724" t="str" cm="1">
        <f t="array" ref="R724">_xlfn.IFS(B724="NY","New York",B724="TX","Texas",B724="CA","California")</f>
        <v>California</v>
      </c>
    </row>
    <row r="725" spans="1:18" x14ac:dyDescent="0.3">
      <c r="A725" t="s">
        <v>2</v>
      </c>
      <c r="B725" t="s">
        <v>7</v>
      </c>
      <c r="C725" s="2">
        <v>43154</v>
      </c>
      <c r="D725" s="11" t="s">
        <v>115</v>
      </c>
      <c r="E725" s="3">
        <f t="shared" ca="1" si="11"/>
        <v>317076312</v>
      </c>
      <c r="F725" t="s">
        <v>11</v>
      </c>
      <c r="G725" t="s">
        <v>14</v>
      </c>
      <c r="H725" s="1" t="s">
        <v>236</v>
      </c>
      <c r="I725" t="s">
        <v>21</v>
      </c>
      <c r="J725" s="4">
        <v>7.4</v>
      </c>
      <c r="K725" s="4">
        <v>95.47</v>
      </c>
      <c r="L725" s="4">
        <v>7</v>
      </c>
      <c r="M725" s="4">
        <v>69.63</v>
      </c>
      <c r="N725" s="4">
        <v>152.5</v>
      </c>
      <c r="O725" s="4">
        <v>257.39</v>
      </c>
      <c r="P725" s="4">
        <v>3.8764546470000001</v>
      </c>
      <c r="Q725" s="4">
        <v>93.484999999999999</v>
      </c>
      <c r="R725" t="str" cm="1">
        <f t="array" ref="R725">_xlfn.IFS(B725="NY","New York",B725="TX","Texas",B725="CA","California")</f>
        <v>Texas</v>
      </c>
    </row>
    <row r="726" spans="1:18" x14ac:dyDescent="0.3">
      <c r="A726" t="s">
        <v>3</v>
      </c>
      <c r="B726" t="s">
        <v>8</v>
      </c>
      <c r="C726" s="2">
        <v>43257</v>
      </c>
      <c r="D726" s="11" t="s">
        <v>53</v>
      </c>
      <c r="E726" s="3">
        <f t="shared" ca="1" si="11"/>
        <v>765670795</v>
      </c>
      <c r="F726" t="s">
        <v>12</v>
      </c>
      <c r="G726" t="s">
        <v>14</v>
      </c>
      <c r="H726" s="1" t="s">
        <v>235</v>
      </c>
      <c r="I726" t="s">
        <v>21</v>
      </c>
      <c r="J726" s="4">
        <v>2.9</v>
      </c>
      <c r="K726" s="4">
        <v>44.2</v>
      </c>
      <c r="L726" s="4">
        <v>4</v>
      </c>
      <c r="M726" s="4">
        <v>20.95</v>
      </c>
      <c r="N726" s="4">
        <v>118.5</v>
      </c>
      <c r="O726" s="4">
        <v>93.36</v>
      </c>
      <c r="P726" s="4">
        <v>3.8764546470000001</v>
      </c>
      <c r="Q726" s="4">
        <v>65.174000000000007</v>
      </c>
      <c r="R726" t="str" cm="1">
        <f t="array" ref="R726">_xlfn.IFS(B726="NY","New York",B726="TX","Texas",B726="CA","California")</f>
        <v>California</v>
      </c>
    </row>
    <row r="727" spans="1:18" x14ac:dyDescent="0.3">
      <c r="A727" t="s">
        <v>2</v>
      </c>
      <c r="B727" t="s">
        <v>7</v>
      </c>
      <c r="C727" s="2">
        <v>42892</v>
      </c>
      <c r="D727" s="11" t="s">
        <v>206</v>
      </c>
      <c r="E727" s="3">
        <f t="shared" ca="1" si="11"/>
        <v>674812815</v>
      </c>
      <c r="F727" t="s">
        <v>11</v>
      </c>
      <c r="G727" t="s">
        <v>14</v>
      </c>
      <c r="H727" s="1" t="s">
        <v>236</v>
      </c>
      <c r="I727" t="s">
        <v>17</v>
      </c>
      <c r="J727" s="4">
        <v>4.4000000000000004</v>
      </c>
      <c r="K727" s="4">
        <v>11.3</v>
      </c>
      <c r="L727" s="4">
        <v>8</v>
      </c>
      <c r="M727" s="4">
        <v>12.25</v>
      </c>
      <c r="N727" s="4">
        <v>142.40020000000001</v>
      </c>
      <c r="O727" s="4">
        <v>228</v>
      </c>
      <c r="P727" s="4">
        <v>3.8764546470000001</v>
      </c>
      <c r="Q727" s="4">
        <v>93.409000000000006</v>
      </c>
      <c r="R727" t="str" cm="1">
        <f t="array" ref="R727">_xlfn.IFS(B727="NY","New York",B727="TX","Texas",B727="CA","California")</f>
        <v>Texas</v>
      </c>
    </row>
    <row r="728" spans="1:18" x14ac:dyDescent="0.3">
      <c r="A728" t="s">
        <v>2</v>
      </c>
      <c r="B728" t="s">
        <v>7</v>
      </c>
      <c r="C728" s="2">
        <v>43268</v>
      </c>
      <c r="D728" s="11" t="s">
        <v>114</v>
      </c>
      <c r="E728" s="3">
        <f t="shared" ca="1" si="11"/>
        <v>796801516</v>
      </c>
      <c r="F728" t="s">
        <v>12</v>
      </c>
      <c r="G728" t="s">
        <v>14</v>
      </c>
      <c r="H728" s="1" t="s">
        <v>237</v>
      </c>
      <c r="I728" t="s">
        <v>19</v>
      </c>
      <c r="J728" s="4">
        <v>8.1</v>
      </c>
      <c r="K728" s="4">
        <v>88.92</v>
      </c>
      <c r="L728" s="4">
        <v>3</v>
      </c>
      <c r="M728" s="4">
        <v>96.53</v>
      </c>
      <c r="N728" s="4">
        <v>173.9539</v>
      </c>
      <c r="O728" s="4">
        <v>166.71</v>
      </c>
      <c r="P728" s="4">
        <v>3.8764546470000001</v>
      </c>
      <c r="Q728" s="4">
        <v>77.8</v>
      </c>
      <c r="R728" t="str" cm="1">
        <f t="array" ref="R728">_xlfn.IFS(B728="NY","New York",B728="TX","Texas",B728="CA","California")</f>
        <v>Texas</v>
      </c>
    </row>
    <row r="729" spans="1:18" x14ac:dyDescent="0.3">
      <c r="A729" t="s">
        <v>3</v>
      </c>
      <c r="B729" t="s">
        <v>8</v>
      </c>
      <c r="C729" s="2">
        <v>43143</v>
      </c>
      <c r="D729" s="11" t="s">
        <v>167</v>
      </c>
      <c r="E729" s="3">
        <f t="shared" ca="1" si="11"/>
        <v>509666230</v>
      </c>
      <c r="F729" t="s">
        <v>12</v>
      </c>
      <c r="G729" t="s">
        <v>15</v>
      </c>
      <c r="H729" s="1" t="s">
        <v>237</v>
      </c>
      <c r="I729" t="s">
        <v>20</v>
      </c>
      <c r="J729" s="4">
        <v>6.6</v>
      </c>
      <c r="K729" s="4">
        <v>87.27</v>
      </c>
      <c r="L729" s="4">
        <v>10</v>
      </c>
      <c r="M729" s="4">
        <v>99.06</v>
      </c>
      <c r="N729" s="4">
        <v>161.51650000000001</v>
      </c>
      <c r="O729" s="4">
        <v>697.4</v>
      </c>
      <c r="P729" s="4">
        <v>3.8764546470000001</v>
      </c>
      <c r="Q729" s="4">
        <v>25.710999999999999</v>
      </c>
      <c r="R729" t="str" cm="1">
        <f t="array" ref="R729">_xlfn.IFS(B729="NY","New York",B729="TX","Texas",B729="CA","California")</f>
        <v>California</v>
      </c>
    </row>
    <row r="730" spans="1:18" x14ac:dyDescent="0.3">
      <c r="A730" t="s">
        <v>2</v>
      </c>
      <c r="B730" t="s">
        <v>7</v>
      </c>
      <c r="C730" s="2">
        <v>43327</v>
      </c>
      <c r="D730" s="11" t="s">
        <v>222</v>
      </c>
      <c r="E730" s="3">
        <f t="shared" ca="1" si="11"/>
        <v>420996970</v>
      </c>
      <c r="F730" t="s">
        <v>12</v>
      </c>
      <c r="G730" t="s">
        <v>15</v>
      </c>
      <c r="H730" s="1" t="s">
        <v>235</v>
      </c>
      <c r="I730" t="s">
        <v>22</v>
      </c>
      <c r="J730" s="4">
        <v>9.1</v>
      </c>
      <c r="K730" s="4">
        <v>64.180000000000007</v>
      </c>
      <c r="L730" s="4">
        <v>4</v>
      </c>
      <c r="M730" s="4">
        <v>68.540000000000006</v>
      </c>
      <c r="N730" s="4">
        <v>120.1776</v>
      </c>
      <c r="O730" s="4">
        <v>389.04</v>
      </c>
      <c r="P730" s="4">
        <v>3.8764546470000001</v>
      </c>
      <c r="Q730" s="4">
        <v>63.634</v>
      </c>
      <c r="R730" t="str" cm="1">
        <f t="array" ref="R730">_xlfn.IFS(B730="NY","New York",B730="TX","Texas",B730="CA","California")</f>
        <v>Texas</v>
      </c>
    </row>
    <row r="731" spans="1:18" x14ac:dyDescent="0.3">
      <c r="A731" t="s">
        <v>3</v>
      </c>
      <c r="B731" t="s">
        <v>8</v>
      </c>
      <c r="C731" s="2">
        <v>43027</v>
      </c>
      <c r="D731" s="11" t="s">
        <v>224</v>
      </c>
      <c r="E731" s="3">
        <f t="shared" ca="1" si="11"/>
        <v>375606420</v>
      </c>
      <c r="F731" t="s">
        <v>11</v>
      </c>
      <c r="G731" t="s">
        <v>14</v>
      </c>
      <c r="H731" s="1" t="s">
        <v>236</v>
      </c>
      <c r="I731" t="s">
        <v>19</v>
      </c>
      <c r="J731" s="4">
        <v>4.0999999999999996</v>
      </c>
      <c r="K731" s="4">
        <v>73.837999999999994</v>
      </c>
      <c r="L731" s="4">
        <v>7</v>
      </c>
      <c r="M731" s="4">
        <v>82.14</v>
      </c>
      <c r="N731" s="4">
        <v>189.45840000000001</v>
      </c>
      <c r="O731" s="4">
        <v>365.26</v>
      </c>
      <c r="P731" s="4">
        <v>3.8764546470000001</v>
      </c>
      <c r="Q731" s="4">
        <v>98.292000000000002</v>
      </c>
      <c r="R731" t="str" cm="1">
        <f t="array" ref="R731">_xlfn.IFS(B731="NY","New York",B731="TX","Texas",B731="CA","California")</f>
        <v>California</v>
      </c>
    </row>
    <row r="732" spans="1:18" x14ac:dyDescent="0.3">
      <c r="A732" t="s">
        <v>1</v>
      </c>
      <c r="B732" t="s">
        <v>6</v>
      </c>
      <c r="C732" s="2">
        <v>42960</v>
      </c>
      <c r="D732" s="11" t="s">
        <v>136</v>
      </c>
      <c r="E732" s="3">
        <f t="shared" ca="1" si="11"/>
        <v>513519987</v>
      </c>
      <c r="F732" t="s">
        <v>11</v>
      </c>
      <c r="G732" t="s">
        <v>14</v>
      </c>
      <c r="H732" s="1" t="s">
        <v>237</v>
      </c>
      <c r="I732" t="s">
        <v>22</v>
      </c>
      <c r="J732" s="4">
        <v>5.9</v>
      </c>
      <c r="K732" s="4">
        <v>66.14</v>
      </c>
      <c r="L732" s="4">
        <v>4</v>
      </c>
      <c r="M732" s="4">
        <v>40.64</v>
      </c>
      <c r="N732" s="4">
        <v>100.4727</v>
      </c>
      <c r="O732" s="4">
        <v>89.28</v>
      </c>
      <c r="P732" s="4">
        <v>3.8764546470000001</v>
      </c>
      <c r="Q732" s="4">
        <v>28.4</v>
      </c>
      <c r="R732" t="str" cm="1">
        <f t="array" ref="R732">_xlfn.IFS(B732="NY","New York",B732="TX","Texas",B732="CA","California")</f>
        <v>New York</v>
      </c>
    </row>
    <row r="733" spans="1:18" x14ac:dyDescent="0.3">
      <c r="A733" t="s">
        <v>1</v>
      </c>
      <c r="B733" t="s">
        <v>6</v>
      </c>
      <c r="C733" s="2">
        <v>43067</v>
      </c>
      <c r="D733" s="11" t="s">
        <v>128</v>
      </c>
      <c r="E733" s="3">
        <f t="shared" ca="1" si="11"/>
        <v>959621983</v>
      </c>
      <c r="F733" t="s">
        <v>12</v>
      </c>
      <c r="G733" t="s">
        <v>15</v>
      </c>
      <c r="H733" s="1" t="s">
        <v>235</v>
      </c>
      <c r="I733" t="s">
        <v>17</v>
      </c>
      <c r="J733" s="4">
        <v>6.6</v>
      </c>
      <c r="K733" s="4">
        <v>57.7</v>
      </c>
      <c r="L733" s="4">
        <v>3</v>
      </c>
      <c r="M733" s="4">
        <v>30.59</v>
      </c>
      <c r="N733" s="4">
        <v>111.94159999999999</v>
      </c>
      <c r="O733" s="4">
        <v>168</v>
      </c>
      <c r="P733" s="4">
        <v>3.8764546470000001</v>
      </c>
      <c r="Q733" s="4">
        <v>89.867000000000004</v>
      </c>
      <c r="R733" t="str" cm="1">
        <f t="array" ref="R733">_xlfn.IFS(B733="NY","New York",B733="TX","Texas",B733="CA","California")</f>
        <v>New York</v>
      </c>
    </row>
    <row r="734" spans="1:18" x14ac:dyDescent="0.3">
      <c r="A734" t="s">
        <v>1</v>
      </c>
      <c r="B734" t="s">
        <v>6</v>
      </c>
      <c r="C734" s="2">
        <v>43105</v>
      </c>
      <c r="D734" s="11" t="s">
        <v>201</v>
      </c>
      <c r="E734" s="3">
        <f t="shared" ca="1" si="11"/>
        <v>511050431</v>
      </c>
      <c r="F734" t="s">
        <v>12</v>
      </c>
      <c r="G734" t="s">
        <v>14</v>
      </c>
      <c r="H734" s="1" t="s">
        <v>235</v>
      </c>
      <c r="I734" t="s">
        <v>22</v>
      </c>
      <c r="J734" s="4">
        <v>2.2999999999999998</v>
      </c>
      <c r="K734" s="4">
        <v>17.850000000000001</v>
      </c>
      <c r="L734" s="4">
        <v>1</v>
      </c>
      <c r="M734" s="4">
        <v>22.83</v>
      </c>
      <c r="N734" s="4">
        <v>150.423</v>
      </c>
      <c r="O734" s="4">
        <v>19.7</v>
      </c>
      <c r="P734" s="4">
        <v>3.8764546470000001</v>
      </c>
      <c r="Q734" s="4">
        <v>88.185000000000002</v>
      </c>
      <c r="R734" t="str" cm="1">
        <f t="array" ref="R734">_xlfn.IFS(B734="NY","New York",B734="TX","Texas",B734="CA","California")</f>
        <v>New York</v>
      </c>
    </row>
    <row r="735" spans="1:18" x14ac:dyDescent="0.3">
      <c r="A735" t="s">
        <v>3</v>
      </c>
      <c r="B735" t="s">
        <v>8</v>
      </c>
      <c r="C735" s="2">
        <v>43151</v>
      </c>
      <c r="D735" s="11" t="s">
        <v>178</v>
      </c>
      <c r="E735" s="3">
        <f t="shared" ca="1" si="11"/>
        <v>833175334</v>
      </c>
      <c r="F735" t="s">
        <v>12</v>
      </c>
      <c r="G735" t="s">
        <v>15</v>
      </c>
      <c r="H735" s="1" t="s">
        <v>235</v>
      </c>
      <c r="I735" t="s">
        <v>18</v>
      </c>
      <c r="J735" s="4">
        <v>7</v>
      </c>
      <c r="K735" s="4">
        <v>51.49</v>
      </c>
      <c r="L735" s="4">
        <v>7</v>
      </c>
      <c r="M735" s="4">
        <v>87.49</v>
      </c>
      <c r="N735" s="4">
        <v>114.23350000000001</v>
      </c>
      <c r="O735" s="4">
        <v>531.16</v>
      </c>
      <c r="P735" s="4">
        <v>3.8764546470000001</v>
      </c>
      <c r="Q735" s="4">
        <v>54.17</v>
      </c>
      <c r="R735" t="str" cm="1">
        <f t="array" ref="R735">_xlfn.IFS(B735="NY","New York",B735="TX","Texas",B735="CA","California")</f>
        <v>California</v>
      </c>
    </row>
    <row r="736" spans="1:18" x14ac:dyDescent="0.3">
      <c r="A736" t="s">
        <v>3</v>
      </c>
      <c r="B736" t="s">
        <v>8</v>
      </c>
      <c r="C736" s="2">
        <v>43248</v>
      </c>
      <c r="D736" s="11" t="s">
        <v>128</v>
      </c>
      <c r="E736" s="3">
        <f t="shared" ca="1" si="11"/>
        <v>296047440</v>
      </c>
      <c r="F736" t="s">
        <v>12</v>
      </c>
      <c r="G736" t="s">
        <v>14</v>
      </c>
      <c r="H736" s="1" t="s">
        <v>235</v>
      </c>
      <c r="I736" t="s">
        <v>21</v>
      </c>
      <c r="J736" s="4">
        <v>9</v>
      </c>
      <c r="K736" s="4">
        <v>76.930000000000007</v>
      </c>
      <c r="L736" s="4">
        <v>1</v>
      </c>
      <c r="M736" s="4">
        <v>51.21</v>
      </c>
      <c r="N736" s="4">
        <v>184.62799999999999</v>
      </c>
      <c r="O736" s="4">
        <v>53.72</v>
      </c>
      <c r="P736" s="4">
        <v>3.8764546470000001</v>
      </c>
      <c r="Q736" s="4">
        <v>99.522999999999996</v>
      </c>
      <c r="R736" t="str" cm="1">
        <f t="array" ref="R736">_xlfn.IFS(B736="NY","New York",B736="TX","Texas",B736="CA","California")</f>
        <v>California</v>
      </c>
    </row>
    <row r="737" spans="1:18" x14ac:dyDescent="0.3">
      <c r="A737" t="s">
        <v>2</v>
      </c>
      <c r="B737" t="s">
        <v>7</v>
      </c>
      <c r="C737" s="2">
        <v>43372</v>
      </c>
      <c r="D737" s="11" t="s">
        <v>62</v>
      </c>
      <c r="E737" s="3">
        <f t="shared" ca="1" si="11"/>
        <v>100593274</v>
      </c>
      <c r="F737" t="s">
        <v>12</v>
      </c>
      <c r="G737" t="s">
        <v>14</v>
      </c>
      <c r="H737" s="1" t="s">
        <v>237</v>
      </c>
      <c r="I737" t="s">
        <v>17</v>
      </c>
      <c r="J737" s="4">
        <v>7</v>
      </c>
      <c r="K737" s="4">
        <v>73.745999999999995</v>
      </c>
      <c r="L737" s="4">
        <v>10</v>
      </c>
      <c r="M737" s="4">
        <v>98.76</v>
      </c>
      <c r="N737" s="4">
        <v>169.28469999999999</v>
      </c>
      <c r="O737" s="4">
        <v>819.5</v>
      </c>
      <c r="P737" s="4">
        <v>3.8764546470000001</v>
      </c>
      <c r="Q737" s="4">
        <v>11.068</v>
      </c>
      <c r="R737" t="str" cm="1">
        <f t="array" ref="R737">_xlfn.IFS(B737="NY","New York",B737="TX","Texas",B737="CA","California")</f>
        <v>Texas</v>
      </c>
    </row>
    <row r="738" spans="1:18" x14ac:dyDescent="0.3">
      <c r="A738" t="s">
        <v>2</v>
      </c>
      <c r="B738" t="s">
        <v>7</v>
      </c>
      <c r="C738" s="2">
        <v>43247</v>
      </c>
      <c r="D738" s="11" t="s">
        <v>73</v>
      </c>
      <c r="E738" s="3">
        <f t="shared" ca="1" si="11"/>
        <v>710055554</v>
      </c>
      <c r="F738" t="s">
        <v>11</v>
      </c>
      <c r="G738" t="s">
        <v>14</v>
      </c>
      <c r="H738" s="1" t="s">
        <v>237</v>
      </c>
      <c r="I738" t="s">
        <v>19</v>
      </c>
      <c r="J738" s="4">
        <v>4</v>
      </c>
      <c r="K738" s="4">
        <v>67.319999999999993</v>
      </c>
      <c r="L738" s="4">
        <v>7</v>
      </c>
      <c r="M738" s="4">
        <v>80.2</v>
      </c>
      <c r="N738" s="4">
        <v>165.9</v>
      </c>
      <c r="O738" s="4">
        <v>568.4</v>
      </c>
      <c r="P738" s="4">
        <v>3.8764546470000001</v>
      </c>
      <c r="Q738" s="4">
        <v>94.277000000000001</v>
      </c>
      <c r="R738" t="str" cm="1">
        <f t="array" ref="R738">_xlfn.IFS(B738="NY","New York",B738="TX","Texas",B738="CA","California")</f>
        <v>Texas</v>
      </c>
    </row>
    <row r="739" spans="1:18" x14ac:dyDescent="0.3">
      <c r="A739" t="s">
        <v>2</v>
      </c>
      <c r="B739" t="s">
        <v>7</v>
      </c>
      <c r="C739" s="2">
        <v>43283</v>
      </c>
      <c r="D739" s="11" t="s">
        <v>231</v>
      </c>
      <c r="E739" s="3">
        <f t="shared" ca="1" si="11"/>
        <v>72809724</v>
      </c>
      <c r="F739" t="s">
        <v>12</v>
      </c>
      <c r="G739" t="s">
        <v>15</v>
      </c>
      <c r="H739" s="1" t="s">
        <v>235</v>
      </c>
      <c r="I739" t="s">
        <v>18</v>
      </c>
      <c r="J739" s="4">
        <v>5</v>
      </c>
      <c r="K739" s="4">
        <v>96.43</v>
      </c>
      <c r="L739" s="4">
        <v>10</v>
      </c>
      <c r="M739" s="4">
        <v>83.99</v>
      </c>
      <c r="N739" s="4">
        <v>173.1473</v>
      </c>
      <c r="O739" s="4">
        <v>587.6</v>
      </c>
      <c r="P739" s="4">
        <v>3.8764546470000001</v>
      </c>
      <c r="Q739" s="4">
        <v>99.397999999999996</v>
      </c>
      <c r="R739" t="str" cm="1">
        <f t="array" ref="R739">_xlfn.IFS(B739="NY","New York",B739="TX","Texas",B739="CA","California")</f>
        <v>Texas</v>
      </c>
    </row>
    <row r="740" spans="1:18" x14ac:dyDescent="0.3">
      <c r="A740" t="s">
        <v>3</v>
      </c>
      <c r="B740" t="s">
        <v>8</v>
      </c>
      <c r="C740" s="2">
        <v>43033</v>
      </c>
      <c r="D740" s="11" t="s">
        <v>145</v>
      </c>
      <c r="E740" s="3">
        <f t="shared" ca="1" si="11"/>
        <v>115608050</v>
      </c>
      <c r="F740" t="s">
        <v>12</v>
      </c>
      <c r="G740" t="s">
        <v>14</v>
      </c>
      <c r="H740" s="1" t="s">
        <v>235</v>
      </c>
      <c r="I740" t="s">
        <v>18</v>
      </c>
      <c r="J740" s="4">
        <v>9</v>
      </c>
      <c r="K740" s="4">
        <v>18.940000000000001</v>
      </c>
      <c r="L740" s="4">
        <v>8</v>
      </c>
      <c r="M740" s="4">
        <v>51.91</v>
      </c>
      <c r="N740" s="4">
        <v>162.857</v>
      </c>
      <c r="O740" s="4">
        <v>732.48</v>
      </c>
      <c r="P740" s="4">
        <v>3.8764546470000001</v>
      </c>
      <c r="Q740" s="4">
        <v>69.234999999999999</v>
      </c>
      <c r="R740" t="str" cm="1">
        <f t="array" ref="R740">_xlfn.IFS(B740="NY","New York",B740="TX","Texas",B740="CA","California")</f>
        <v>California</v>
      </c>
    </row>
    <row r="741" spans="1:18" x14ac:dyDescent="0.3">
      <c r="A741" t="s">
        <v>1</v>
      </c>
      <c r="B741" t="s">
        <v>6</v>
      </c>
      <c r="C741" s="2">
        <v>42825</v>
      </c>
      <c r="D741" s="11" t="s">
        <v>144</v>
      </c>
      <c r="E741" s="3">
        <f t="shared" ca="1" si="11"/>
        <v>631139916</v>
      </c>
      <c r="F741" t="s">
        <v>12</v>
      </c>
      <c r="G741" t="s">
        <v>15</v>
      </c>
      <c r="H741" s="1" t="s">
        <v>236</v>
      </c>
      <c r="I741" t="s">
        <v>19</v>
      </c>
      <c r="J741" s="4">
        <v>5</v>
      </c>
      <c r="K741" s="4">
        <v>49.4</v>
      </c>
      <c r="L741" s="4">
        <v>9</v>
      </c>
      <c r="M741" s="4">
        <v>96.68</v>
      </c>
      <c r="N741" s="4">
        <v>120.7032</v>
      </c>
      <c r="O741" s="4">
        <v>845.64</v>
      </c>
      <c r="P741" s="4">
        <v>3.8764546470000001</v>
      </c>
      <c r="Q741" s="4">
        <v>35.237000000000002</v>
      </c>
      <c r="R741" t="str" cm="1">
        <f t="array" ref="R741">_xlfn.IFS(B741="NY","New York",B741="TX","Texas",B741="CA","California")</f>
        <v>New York</v>
      </c>
    </row>
    <row r="742" spans="1:18" x14ac:dyDescent="0.3">
      <c r="A742" t="s">
        <v>2</v>
      </c>
      <c r="B742" t="s">
        <v>7</v>
      </c>
      <c r="C742" s="2">
        <v>43199</v>
      </c>
      <c r="D742" s="11" t="s">
        <v>225</v>
      </c>
      <c r="E742" s="3">
        <f t="shared" ca="1" si="11"/>
        <v>243994770</v>
      </c>
      <c r="F742" t="s">
        <v>12</v>
      </c>
      <c r="G742" t="s">
        <v>15</v>
      </c>
      <c r="H742" s="1" t="s">
        <v>236</v>
      </c>
      <c r="I742" t="s">
        <v>19</v>
      </c>
      <c r="J742" s="4">
        <v>4</v>
      </c>
      <c r="K742" s="4">
        <v>57.82</v>
      </c>
      <c r="L742" s="4">
        <v>7</v>
      </c>
      <c r="M742" s="4">
        <v>74.14</v>
      </c>
      <c r="N742" s="4">
        <v>160.5</v>
      </c>
      <c r="O742" s="4">
        <v>389.27</v>
      </c>
      <c r="P742" s="4">
        <v>3.8764546470000001</v>
      </c>
      <c r="Q742" s="4">
        <v>53.39</v>
      </c>
      <c r="R742" t="str" cm="1">
        <f t="array" ref="R742">_xlfn.IFS(B742="NY","New York",B742="TX","Texas",B742="CA","California")</f>
        <v>Texas</v>
      </c>
    </row>
    <row r="743" spans="1:18" x14ac:dyDescent="0.3">
      <c r="A743" t="s">
        <v>2</v>
      </c>
      <c r="B743" t="s">
        <v>7</v>
      </c>
      <c r="C743" s="2">
        <v>42983</v>
      </c>
      <c r="D743" s="11" t="s">
        <v>35</v>
      </c>
      <c r="E743" s="3">
        <f t="shared" ca="1" si="11"/>
        <v>404435437</v>
      </c>
      <c r="F743" t="s">
        <v>12</v>
      </c>
      <c r="G743" t="s">
        <v>15</v>
      </c>
      <c r="H743" s="1" t="s">
        <v>235</v>
      </c>
      <c r="I743" t="s">
        <v>21</v>
      </c>
      <c r="J743" s="4">
        <v>1.2</v>
      </c>
      <c r="K743" s="4">
        <v>11.81</v>
      </c>
      <c r="L743" s="4">
        <v>1</v>
      </c>
      <c r="M743" s="4">
        <v>59.46</v>
      </c>
      <c r="N743" s="4">
        <v>166.6396</v>
      </c>
      <c r="O743" s="4">
        <v>84.83</v>
      </c>
      <c r="P743" s="4">
        <v>3.8764546470000001</v>
      </c>
      <c r="Q743" s="4">
        <v>81.5</v>
      </c>
      <c r="R743" t="str" cm="1">
        <f t="array" ref="R743">_xlfn.IFS(B743="NY","New York",B743="TX","Texas",B743="CA","California")</f>
        <v>Texas</v>
      </c>
    </row>
    <row r="744" spans="1:18" x14ac:dyDescent="0.3">
      <c r="A744" t="s">
        <v>1</v>
      </c>
      <c r="B744" t="s">
        <v>6</v>
      </c>
      <c r="C744" s="2">
        <v>43249</v>
      </c>
      <c r="D744" s="11" t="s">
        <v>188</v>
      </c>
      <c r="E744" s="3">
        <f t="shared" ca="1" si="11"/>
        <v>948653941</v>
      </c>
      <c r="F744" t="s">
        <v>11</v>
      </c>
      <c r="G744" t="s">
        <v>14</v>
      </c>
      <c r="H744" s="1" t="s">
        <v>235</v>
      </c>
      <c r="I744" t="s">
        <v>20</v>
      </c>
      <c r="J744" s="4">
        <v>4.5</v>
      </c>
      <c r="K744" s="4">
        <v>98.8</v>
      </c>
      <c r="L744" s="4">
        <v>2</v>
      </c>
      <c r="M744" s="4">
        <v>31.94</v>
      </c>
      <c r="N744" s="4">
        <v>124.25839999999999</v>
      </c>
      <c r="O744" s="4">
        <v>143.26</v>
      </c>
      <c r="P744" s="4">
        <v>3.8764546470000001</v>
      </c>
      <c r="Q744" s="4">
        <v>56.77</v>
      </c>
      <c r="R744" t="str" cm="1">
        <f t="array" ref="R744">_xlfn.IFS(B744="NY","New York",B744="TX","Texas",B744="CA","California")</f>
        <v>New York</v>
      </c>
    </row>
    <row r="745" spans="1:18" x14ac:dyDescent="0.3">
      <c r="A745" t="s">
        <v>1</v>
      </c>
      <c r="B745" t="s">
        <v>6</v>
      </c>
      <c r="C745" s="2">
        <v>42817</v>
      </c>
      <c r="D745" s="11" t="s">
        <v>53</v>
      </c>
      <c r="E745" s="3">
        <f t="shared" ca="1" si="11"/>
        <v>279036896</v>
      </c>
      <c r="F745" t="s">
        <v>12</v>
      </c>
      <c r="G745" t="s">
        <v>14</v>
      </c>
      <c r="H745" s="1" t="s">
        <v>235</v>
      </c>
      <c r="I745" t="s">
        <v>19</v>
      </c>
      <c r="J745" s="4">
        <v>3</v>
      </c>
      <c r="K745" s="4">
        <v>25.946999999999999</v>
      </c>
      <c r="L745" s="4">
        <v>2</v>
      </c>
      <c r="M745" s="4">
        <v>84.76</v>
      </c>
      <c r="N745" s="4">
        <v>168.37739999999999</v>
      </c>
      <c r="O745" s="4">
        <v>75.38</v>
      </c>
      <c r="P745" s="4">
        <v>3.8764546470000001</v>
      </c>
      <c r="Q745" s="4">
        <v>89.27</v>
      </c>
      <c r="R745" t="str" cm="1">
        <f t="array" ref="R745">_xlfn.IFS(B745="NY","New York",B745="TX","Texas",B745="CA","California")</f>
        <v>New York</v>
      </c>
    </row>
    <row r="746" spans="1:18" x14ac:dyDescent="0.3">
      <c r="A746" t="s">
        <v>2</v>
      </c>
      <c r="B746" t="s">
        <v>7</v>
      </c>
      <c r="C746" s="2">
        <v>43234</v>
      </c>
      <c r="D746" s="11" t="s">
        <v>167</v>
      </c>
      <c r="E746" s="3">
        <f t="shared" ca="1" si="11"/>
        <v>303355651</v>
      </c>
      <c r="F746" t="s">
        <v>11</v>
      </c>
      <c r="G746" t="s">
        <v>14</v>
      </c>
      <c r="H746" s="1" t="s">
        <v>237</v>
      </c>
      <c r="I746" t="s">
        <v>20</v>
      </c>
      <c r="J746" s="4">
        <v>1.3</v>
      </c>
      <c r="K746" s="4">
        <v>95.68</v>
      </c>
      <c r="L746" s="4">
        <v>8</v>
      </c>
      <c r="M746" s="4">
        <v>56.47</v>
      </c>
      <c r="N746" s="4">
        <v>138.49690000000001</v>
      </c>
      <c r="O746" s="4">
        <v>253.36</v>
      </c>
      <c r="P746" s="4">
        <v>3.8764546470000001</v>
      </c>
      <c r="Q746" s="4">
        <v>65.450999999999993</v>
      </c>
      <c r="R746" t="str" cm="1">
        <f t="array" ref="R746">_xlfn.IFS(B746="NY","New York",B746="TX","Texas",B746="CA","California")</f>
        <v>Texas</v>
      </c>
    </row>
    <row r="747" spans="1:18" x14ac:dyDescent="0.3">
      <c r="A747" t="s">
        <v>2</v>
      </c>
      <c r="B747" t="s">
        <v>7</v>
      </c>
      <c r="C747" s="2">
        <v>43225</v>
      </c>
      <c r="D747" s="11" t="s">
        <v>138</v>
      </c>
      <c r="E747" s="3">
        <f t="shared" ca="1" si="11"/>
        <v>254181956</v>
      </c>
      <c r="F747" t="s">
        <v>11</v>
      </c>
      <c r="G747" t="s">
        <v>14</v>
      </c>
      <c r="H747" s="1" t="s">
        <v>236</v>
      </c>
      <c r="I747" t="s">
        <v>21</v>
      </c>
      <c r="J747" s="4">
        <v>9.9</v>
      </c>
      <c r="K747" s="4">
        <v>77.39</v>
      </c>
      <c r="L747" s="4">
        <v>1</v>
      </c>
      <c r="M747" s="4">
        <v>69.84</v>
      </c>
      <c r="N747" s="4">
        <v>118.6514</v>
      </c>
      <c r="O747" s="4">
        <v>38.42</v>
      </c>
      <c r="P747" s="4">
        <v>3.8764546470000001</v>
      </c>
      <c r="Q747" s="4">
        <v>26.132999999999999</v>
      </c>
      <c r="R747" t="str" cm="1">
        <f t="array" ref="R747">_xlfn.IFS(B747="NY","New York",B747="TX","Texas",B747="CA","California")</f>
        <v>Texas</v>
      </c>
    </row>
    <row r="748" spans="1:18" x14ac:dyDescent="0.3">
      <c r="A748" t="s">
        <v>3</v>
      </c>
      <c r="B748" t="s">
        <v>8</v>
      </c>
      <c r="C748" s="2">
        <v>43100</v>
      </c>
      <c r="D748" s="11" t="s">
        <v>156</v>
      </c>
      <c r="E748" s="3">
        <f t="shared" ca="1" si="11"/>
        <v>114899619</v>
      </c>
      <c r="F748" t="s">
        <v>12</v>
      </c>
      <c r="G748" t="s">
        <v>14</v>
      </c>
      <c r="H748" s="1" t="s">
        <v>237</v>
      </c>
      <c r="I748" t="s">
        <v>22</v>
      </c>
      <c r="J748" s="4">
        <v>1.4</v>
      </c>
      <c r="K748" s="4">
        <v>32.576000000000001</v>
      </c>
      <c r="L748" s="4">
        <v>10</v>
      </c>
      <c r="M748" s="4">
        <v>85.75</v>
      </c>
      <c r="N748" s="4">
        <v>140.31110000000001</v>
      </c>
      <c r="O748" s="4">
        <v>652.29999999999995</v>
      </c>
      <c r="P748" s="4">
        <v>3.8764546470000001</v>
      </c>
      <c r="Q748" s="4">
        <v>92.206999999999994</v>
      </c>
      <c r="R748" t="str" cm="1">
        <f t="array" ref="R748">_xlfn.IFS(B748="NY","New York",B748="TX","Texas",B748="CA","California")</f>
        <v>California</v>
      </c>
    </row>
    <row r="749" spans="1:18" x14ac:dyDescent="0.3">
      <c r="A749" t="s">
        <v>2</v>
      </c>
      <c r="B749" t="s">
        <v>7</v>
      </c>
      <c r="C749" s="2">
        <v>43465</v>
      </c>
      <c r="D749" s="11" t="s">
        <v>173</v>
      </c>
      <c r="E749" s="3">
        <f t="shared" ca="1" si="11"/>
        <v>158770518</v>
      </c>
      <c r="F749" t="s">
        <v>11</v>
      </c>
      <c r="G749" t="s">
        <v>14</v>
      </c>
      <c r="H749" s="1" t="s">
        <v>237</v>
      </c>
      <c r="I749" t="s">
        <v>19</v>
      </c>
      <c r="J749" s="4">
        <v>5.8</v>
      </c>
      <c r="K749" s="4">
        <v>10.6</v>
      </c>
      <c r="L749" s="4">
        <v>5</v>
      </c>
      <c r="M749" s="4">
        <v>22.69</v>
      </c>
      <c r="N749" s="4">
        <v>122.4119</v>
      </c>
      <c r="O749" s="4">
        <v>52.65</v>
      </c>
      <c r="P749" s="4">
        <v>3.8764546470000001</v>
      </c>
      <c r="Q749" s="4">
        <v>47.018000000000001</v>
      </c>
      <c r="R749" t="str" cm="1">
        <f t="array" ref="R749">_xlfn.IFS(B749="NY","New York",B749="TX","Texas",B749="CA","California")</f>
        <v>Texas</v>
      </c>
    </row>
    <row r="750" spans="1:18" x14ac:dyDescent="0.3">
      <c r="A750" t="s">
        <v>3</v>
      </c>
      <c r="B750" t="s">
        <v>8</v>
      </c>
      <c r="C750" s="2">
        <v>42886</v>
      </c>
      <c r="D750" s="11" t="s">
        <v>62</v>
      </c>
      <c r="E750" s="3">
        <f t="shared" ca="1" si="11"/>
        <v>775091790</v>
      </c>
      <c r="F750" t="s">
        <v>11</v>
      </c>
      <c r="G750" t="s">
        <v>14</v>
      </c>
      <c r="H750" s="1" t="s">
        <v>237</v>
      </c>
      <c r="I750" t="s">
        <v>19</v>
      </c>
      <c r="J750" s="4">
        <v>9.1</v>
      </c>
      <c r="K750" s="4">
        <v>87.2</v>
      </c>
      <c r="L750" s="4">
        <v>9</v>
      </c>
      <c r="M750" s="4">
        <v>44.33</v>
      </c>
      <c r="N750" s="4">
        <v>119.4606</v>
      </c>
      <c r="O750" s="4">
        <v>110.61</v>
      </c>
      <c r="P750" s="4">
        <v>3.8764546470000001</v>
      </c>
      <c r="Q750" s="4">
        <v>39.56</v>
      </c>
      <c r="R750" t="str" cm="1">
        <f t="array" ref="R750">_xlfn.IFS(B750="NY","New York",B750="TX","Texas",B750="CA","California")</f>
        <v>California</v>
      </c>
    </row>
    <row r="751" spans="1:18" x14ac:dyDescent="0.3">
      <c r="A751" t="s">
        <v>2</v>
      </c>
      <c r="B751" t="s">
        <v>7</v>
      </c>
      <c r="C751" s="2">
        <v>43014</v>
      </c>
      <c r="D751" s="11" t="s">
        <v>133</v>
      </c>
      <c r="E751" s="3">
        <f t="shared" ca="1" si="11"/>
        <v>456956152</v>
      </c>
      <c r="F751" t="s">
        <v>12</v>
      </c>
      <c r="G751" t="s">
        <v>14</v>
      </c>
      <c r="H751" s="1" t="s">
        <v>236</v>
      </c>
      <c r="I751" t="s">
        <v>17</v>
      </c>
      <c r="J751" s="4">
        <v>7.3</v>
      </c>
      <c r="K751" s="4">
        <v>17.93</v>
      </c>
      <c r="L751" s="4">
        <v>7</v>
      </c>
      <c r="M751" s="4">
        <v>44.59</v>
      </c>
      <c r="N751" s="4">
        <v>139.88720000000001</v>
      </c>
      <c r="O751" s="4">
        <v>568.61</v>
      </c>
      <c r="P751" s="4">
        <v>3.8764546470000001</v>
      </c>
      <c r="Q751" s="4">
        <v>90.296999999999997</v>
      </c>
      <c r="R751" t="str" cm="1">
        <f t="array" ref="R751">_xlfn.IFS(B751="NY","New York",B751="TX","Texas",B751="CA","California")</f>
        <v>Texas</v>
      </c>
    </row>
    <row r="752" spans="1:18" x14ac:dyDescent="0.3">
      <c r="A752" t="s">
        <v>3</v>
      </c>
      <c r="B752" t="s">
        <v>8</v>
      </c>
      <c r="C752" s="2">
        <v>43392</v>
      </c>
      <c r="D752" s="11" t="s">
        <v>150</v>
      </c>
      <c r="E752" s="3">
        <f t="shared" ca="1" si="11"/>
        <v>396260914</v>
      </c>
      <c r="F752" t="s">
        <v>11</v>
      </c>
      <c r="G752" t="s">
        <v>14</v>
      </c>
      <c r="H752" s="1" t="s">
        <v>235</v>
      </c>
      <c r="I752" t="s">
        <v>22</v>
      </c>
      <c r="J752" s="4">
        <v>2.4</v>
      </c>
      <c r="K752" s="4">
        <v>99.66</v>
      </c>
      <c r="L752" s="4">
        <v>4</v>
      </c>
      <c r="M752" s="4">
        <v>96.9</v>
      </c>
      <c r="N752" s="4">
        <v>135.7396</v>
      </c>
      <c r="O752" s="4">
        <v>89.28</v>
      </c>
      <c r="P752" s="4">
        <v>3.8764546470000001</v>
      </c>
      <c r="Q752" s="4">
        <v>71.239999999999995</v>
      </c>
      <c r="R752" t="str" cm="1">
        <f t="array" ref="R752">_xlfn.IFS(B752="NY","New York",B752="TX","Texas",B752="CA","California")</f>
        <v>California</v>
      </c>
    </row>
    <row r="753" spans="1:18" x14ac:dyDescent="0.3">
      <c r="A753" t="s">
        <v>1</v>
      </c>
      <c r="B753" t="s">
        <v>6</v>
      </c>
      <c r="C753" s="2">
        <v>43104</v>
      </c>
      <c r="D753" s="11" t="s">
        <v>178</v>
      </c>
      <c r="E753" s="3">
        <f t="shared" ca="1" si="11"/>
        <v>959974155</v>
      </c>
      <c r="F753" t="s">
        <v>11</v>
      </c>
      <c r="G753" t="s">
        <v>15</v>
      </c>
      <c r="H753" s="1" t="s">
        <v>237</v>
      </c>
      <c r="I753" t="s">
        <v>21</v>
      </c>
      <c r="J753" s="4">
        <v>6.5</v>
      </c>
      <c r="K753" s="4">
        <v>96.53</v>
      </c>
      <c r="L753" s="4">
        <v>5</v>
      </c>
      <c r="M753" s="4">
        <v>17.559999999999999</v>
      </c>
      <c r="N753" s="4">
        <v>163.36510000000001</v>
      </c>
      <c r="O753" s="4">
        <v>136.4</v>
      </c>
      <c r="P753" s="4">
        <v>3.8764546470000001</v>
      </c>
      <c r="Q753" s="4">
        <v>36.222999999999999</v>
      </c>
      <c r="R753" t="str" cm="1">
        <f t="array" ref="R753">_xlfn.IFS(B753="NY","New York",B753="TX","Texas",B753="CA","California")</f>
        <v>New York</v>
      </c>
    </row>
    <row r="754" spans="1:18" x14ac:dyDescent="0.3">
      <c r="A754" t="s">
        <v>1</v>
      </c>
      <c r="B754" t="s">
        <v>6</v>
      </c>
      <c r="C754" s="2">
        <v>43140</v>
      </c>
      <c r="D754" s="11" t="s">
        <v>159</v>
      </c>
      <c r="E754" s="3">
        <f t="shared" ca="1" si="11"/>
        <v>223477499</v>
      </c>
      <c r="F754" t="s">
        <v>11</v>
      </c>
      <c r="G754" t="s">
        <v>14</v>
      </c>
      <c r="H754" s="1" t="s">
        <v>235</v>
      </c>
      <c r="I754" t="s">
        <v>18</v>
      </c>
      <c r="J754" s="4">
        <v>2.6</v>
      </c>
      <c r="K754" s="4">
        <v>46.904000000000003</v>
      </c>
      <c r="L754" s="4">
        <v>10</v>
      </c>
      <c r="M754" s="4">
        <v>27.48</v>
      </c>
      <c r="N754" s="4">
        <v>167.56710000000001</v>
      </c>
      <c r="O754" s="4">
        <v>174.2</v>
      </c>
      <c r="P754" s="4">
        <v>3.8764546470000001</v>
      </c>
      <c r="Q754" s="4">
        <v>53.192</v>
      </c>
      <c r="R754" t="str" cm="1">
        <f t="array" ref="R754">_xlfn.IFS(B754="NY","New York",B754="TX","Texas",B754="CA","California")</f>
        <v>New York</v>
      </c>
    </row>
    <row r="755" spans="1:18" x14ac:dyDescent="0.3">
      <c r="A755" t="s">
        <v>3</v>
      </c>
      <c r="B755" t="s">
        <v>8</v>
      </c>
      <c r="C755" s="2">
        <v>43081</v>
      </c>
      <c r="D755" s="11" t="s">
        <v>184</v>
      </c>
      <c r="E755" s="3">
        <f t="shared" ca="1" si="11"/>
        <v>204214056</v>
      </c>
      <c r="F755" t="s">
        <v>12</v>
      </c>
      <c r="G755" t="s">
        <v>15</v>
      </c>
      <c r="H755" s="1" t="s">
        <v>235</v>
      </c>
      <c r="I755" t="s">
        <v>19</v>
      </c>
      <c r="J755" s="4">
        <v>4.9000000000000004</v>
      </c>
      <c r="K755" s="4">
        <v>30.4</v>
      </c>
      <c r="L755" s="4">
        <v>5</v>
      </c>
      <c r="M755" s="4">
        <v>23.99</v>
      </c>
      <c r="N755" s="4">
        <v>106.3506</v>
      </c>
      <c r="O755" s="4">
        <v>366.4</v>
      </c>
      <c r="P755" s="4">
        <v>3.8764546470000001</v>
      </c>
      <c r="Q755" s="4">
        <v>42.21</v>
      </c>
      <c r="R755" t="str" cm="1">
        <f t="array" ref="R755">_xlfn.IFS(B755="NY","New York",B755="TX","Texas",B755="CA","California")</f>
        <v>California</v>
      </c>
    </row>
    <row r="756" spans="1:18" x14ac:dyDescent="0.3">
      <c r="A756" t="s">
        <v>2</v>
      </c>
      <c r="B756" t="s">
        <v>7</v>
      </c>
      <c r="C756" s="2">
        <v>43091</v>
      </c>
      <c r="D756" s="11" t="s">
        <v>58</v>
      </c>
      <c r="E756" s="3">
        <f t="shared" ca="1" si="11"/>
        <v>362717774</v>
      </c>
      <c r="F756" t="s">
        <v>11</v>
      </c>
      <c r="G756" t="s">
        <v>14</v>
      </c>
      <c r="H756" s="1" t="s">
        <v>235</v>
      </c>
      <c r="I756" t="s">
        <v>22</v>
      </c>
      <c r="J756" s="4">
        <v>1.4</v>
      </c>
      <c r="K756" s="4">
        <v>39.32</v>
      </c>
      <c r="L756" s="4">
        <v>3</v>
      </c>
      <c r="M756" s="4">
        <v>87.43</v>
      </c>
      <c r="N756" s="4">
        <v>139.899</v>
      </c>
      <c r="O756" s="4">
        <v>254.61</v>
      </c>
      <c r="P756" s="4">
        <v>3.8764546470000001</v>
      </c>
      <c r="Q756" s="4">
        <v>90.358999999999995</v>
      </c>
      <c r="R756" t="str" cm="1">
        <f t="array" ref="R756">_xlfn.IFS(B756="NY","New York",B756="TX","Texas",B756="CA","California")</f>
        <v>Texas</v>
      </c>
    </row>
    <row r="757" spans="1:18" x14ac:dyDescent="0.3">
      <c r="A757" t="s">
        <v>1</v>
      </c>
      <c r="B757" t="s">
        <v>6</v>
      </c>
      <c r="C757" s="2">
        <v>43046</v>
      </c>
      <c r="D757" s="11" t="s">
        <v>110</v>
      </c>
      <c r="E757" s="3">
        <f t="shared" ca="1" si="11"/>
        <v>553303447</v>
      </c>
      <c r="F757" t="s">
        <v>11</v>
      </c>
      <c r="G757" t="s">
        <v>15</v>
      </c>
      <c r="H757" s="1" t="s">
        <v>237</v>
      </c>
      <c r="I757" t="s">
        <v>22</v>
      </c>
      <c r="J757" s="4">
        <v>5.0999999999999996</v>
      </c>
      <c r="K757" s="4">
        <v>96.897999999999996</v>
      </c>
      <c r="L757" s="4">
        <v>8</v>
      </c>
      <c r="M757" s="4">
        <v>26.74</v>
      </c>
      <c r="N757" s="4">
        <v>140.4</v>
      </c>
      <c r="O757" s="4">
        <v>778.32</v>
      </c>
      <c r="P757" s="4">
        <v>3.8764546470000001</v>
      </c>
      <c r="Q757" s="4">
        <v>36.893000000000001</v>
      </c>
      <c r="R757" t="str" cm="1">
        <f t="array" ref="R757">_xlfn.IFS(B757="NY","New York",B757="TX","Texas",B757="CA","California")</f>
        <v>New York</v>
      </c>
    </row>
    <row r="758" spans="1:18" x14ac:dyDescent="0.3">
      <c r="A758" t="s">
        <v>3</v>
      </c>
      <c r="B758" t="s">
        <v>8</v>
      </c>
      <c r="C758" s="2">
        <v>43181</v>
      </c>
      <c r="D758" s="11" t="s">
        <v>124</v>
      </c>
      <c r="E758" s="3">
        <f t="shared" ca="1" si="11"/>
        <v>359524475</v>
      </c>
      <c r="F758" t="s">
        <v>11</v>
      </c>
      <c r="G758" t="s">
        <v>14</v>
      </c>
      <c r="H758" s="1" t="s">
        <v>235</v>
      </c>
      <c r="I758" t="s">
        <v>18</v>
      </c>
      <c r="J758" s="4">
        <v>10</v>
      </c>
      <c r="K758" s="4">
        <v>14.86</v>
      </c>
      <c r="L758" s="4">
        <v>8</v>
      </c>
      <c r="M758" s="4">
        <v>47.56</v>
      </c>
      <c r="N758" s="4">
        <v>149.30000000000001</v>
      </c>
      <c r="O758" s="4">
        <v>285.92</v>
      </c>
      <c r="P758" s="4">
        <v>3.8764546470000001</v>
      </c>
      <c r="Q758" s="4">
        <v>14.343</v>
      </c>
      <c r="R758" t="str" cm="1">
        <f t="array" ref="R758">_xlfn.IFS(B758="NY","New York",B758="TX","Texas",B758="CA","California")</f>
        <v>California</v>
      </c>
    </row>
    <row r="759" spans="1:18" x14ac:dyDescent="0.3">
      <c r="A759" t="s">
        <v>1</v>
      </c>
      <c r="B759" t="s">
        <v>6</v>
      </c>
      <c r="C759" s="2">
        <v>42985</v>
      </c>
      <c r="D759" s="11" t="s">
        <v>29</v>
      </c>
      <c r="E759" s="3">
        <f t="shared" ca="1" si="11"/>
        <v>973282849</v>
      </c>
      <c r="F759" t="s">
        <v>11</v>
      </c>
      <c r="G759" t="s">
        <v>15</v>
      </c>
      <c r="H759" s="1" t="s">
        <v>236</v>
      </c>
      <c r="I759" t="s">
        <v>19</v>
      </c>
      <c r="J759" s="4">
        <v>7</v>
      </c>
      <c r="K759" s="4">
        <v>23.84</v>
      </c>
      <c r="L759" s="4">
        <v>6</v>
      </c>
      <c r="M759" s="4">
        <v>39.15</v>
      </c>
      <c r="N759" s="4">
        <v>128.19999999999999</v>
      </c>
      <c r="O759" s="4">
        <v>579.12</v>
      </c>
      <c r="P759" s="4">
        <v>3.8764546470000001</v>
      </c>
      <c r="Q759" s="4">
        <v>54.267000000000003</v>
      </c>
      <c r="R759" t="str" cm="1">
        <f t="array" ref="R759">_xlfn.IFS(B759="NY","New York",B759="TX","Texas",B759="CA","California")</f>
        <v>New York</v>
      </c>
    </row>
    <row r="760" spans="1:18" x14ac:dyDescent="0.3">
      <c r="A760" t="s">
        <v>1</v>
      </c>
      <c r="B760" t="s">
        <v>6</v>
      </c>
      <c r="C760" s="2">
        <v>43023</v>
      </c>
      <c r="D760" s="11" t="s">
        <v>176</v>
      </c>
      <c r="E760" s="3">
        <f t="shared" ca="1" si="11"/>
        <v>22598672</v>
      </c>
      <c r="F760" t="s">
        <v>12</v>
      </c>
      <c r="G760" t="s">
        <v>14</v>
      </c>
      <c r="H760" s="1" t="s">
        <v>235</v>
      </c>
      <c r="I760" t="s">
        <v>21</v>
      </c>
      <c r="J760" s="4">
        <v>6</v>
      </c>
      <c r="K760" s="4">
        <v>17.193000000000001</v>
      </c>
      <c r="L760" s="4">
        <v>10</v>
      </c>
      <c r="M760" s="4">
        <v>13.78</v>
      </c>
      <c r="N760" s="4">
        <v>113.7</v>
      </c>
      <c r="O760" s="4">
        <v>188.5</v>
      </c>
      <c r="P760" s="4">
        <v>3.8764546470000001</v>
      </c>
      <c r="Q760" s="4">
        <v>83.492999999999995</v>
      </c>
      <c r="R760" t="str" cm="1">
        <f t="array" ref="R760">_xlfn.IFS(B760="NY","New York",B760="TX","Texas",B760="CA","California")</f>
        <v>New York</v>
      </c>
    </row>
    <row r="761" spans="1:18" x14ac:dyDescent="0.3">
      <c r="A761" t="s">
        <v>1</v>
      </c>
      <c r="B761" t="s">
        <v>6</v>
      </c>
      <c r="C761" s="2">
        <v>43052</v>
      </c>
      <c r="D761" s="11" t="s">
        <v>108</v>
      </c>
      <c r="E761" s="3">
        <f t="shared" ca="1" si="11"/>
        <v>696995056</v>
      </c>
      <c r="F761" t="s">
        <v>11</v>
      </c>
      <c r="G761" t="s">
        <v>15</v>
      </c>
      <c r="H761" s="1" t="s">
        <v>235</v>
      </c>
      <c r="I761" t="s">
        <v>21</v>
      </c>
      <c r="J761" s="4">
        <v>5</v>
      </c>
      <c r="K761" s="4">
        <v>15.83</v>
      </c>
      <c r="L761" s="4">
        <v>4</v>
      </c>
      <c r="M761" s="4">
        <v>91.72</v>
      </c>
      <c r="N761" s="4">
        <v>124.5</v>
      </c>
      <c r="O761" s="4">
        <v>221.56</v>
      </c>
      <c r="P761" s="4">
        <v>3.8764546470000001</v>
      </c>
      <c r="Q761" s="4">
        <v>85.07</v>
      </c>
      <c r="R761" t="str" cm="1">
        <f t="array" ref="R761">_xlfn.IFS(B761="NY","New York",B761="TX","Texas",B761="CA","California")</f>
        <v>New York</v>
      </c>
    </row>
    <row r="762" spans="1:18" x14ac:dyDescent="0.3">
      <c r="A762" t="s">
        <v>3</v>
      </c>
      <c r="B762" t="s">
        <v>8</v>
      </c>
      <c r="C762" s="2">
        <v>42946</v>
      </c>
      <c r="D762" s="11" t="s">
        <v>38</v>
      </c>
      <c r="E762" s="3">
        <f t="shared" ca="1" si="11"/>
        <v>93629719</v>
      </c>
      <c r="F762" t="s">
        <v>11</v>
      </c>
      <c r="G762" t="s">
        <v>14</v>
      </c>
      <c r="H762" s="1" t="s">
        <v>237</v>
      </c>
      <c r="I762" t="s">
        <v>21</v>
      </c>
      <c r="J762" s="4">
        <v>9</v>
      </c>
      <c r="K762" s="4">
        <v>50.88</v>
      </c>
      <c r="L762" s="4">
        <v>10</v>
      </c>
      <c r="M762" s="4">
        <v>59.83</v>
      </c>
      <c r="N762" s="4">
        <v>158.1</v>
      </c>
      <c r="O762" s="4">
        <v>772</v>
      </c>
      <c r="P762" s="4">
        <v>3.8764546470000001</v>
      </c>
      <c r="Q762" s="4">
        <v>55.36</v>
      </c>
      <c r="R762" t="str" cm="1">
        <f t="array" ref="R762">_xlfn.IFS(B762="NY","New York",B762="TX","Texas",B762="CA","California")</f>
        <v>California</v>
      </c>
    </row>
    <row r="763" spans="1:18" x14ac:dyDescent="0.3">
      <c r="A763" t="s">
        <v>3</v>
      </c>
      <c r="B763" t="s">
        <v>8</v>
      </c>
      <c r="C763" s="2">
        <v>42902</v>
      </c>
      <c r="D763" s="11" t="s">
        <v>214</v>
      </c>
      <c r="E763" s="3">
        <f t="shared" ca="1" si="11"/>
        <v>220523746</v>
      </c>
      <c r="F763" t="s">
        <v>12</v>
      </c>
      <c r="G763" t="s">
        <v>15</v>
      </c>
      <c r="H763" s="1" t="s">
        <v>237</v>
      </c>
      <c r="I763" t="s">
        <v>18</v>
      </c>
      <c r="J763" s="4">
        <v>6</v>
      </c>
      <c r="K763" s="4">
        <v>20.12</v>
      </c>
      <c r="L763" s="4">
        <v>10</v>
      </c>
      <c r="M763" s="4">
        <v>84.98</v>
      </c>
      <c r="N763" s="4">
        <v>163.6</v>
      </c>
      <c r="O763" s="4">
        <v>721.3</v>
      </c>
      <c r="P763" s="4">
        <v>3.8764546470000001</v>
      </c>
      <c r="Q763" s="4">
        <v>93.52</v>
      </c>
      <c r="R763" t="str" cm="1">
        <f t="array" ref="R763">_xlfn.IFS(B763="NY","New York",B763="TX","Texas",B763="CA","California")</f>
        <v>California</v>
      </c>
    </row>
    <row r="764" spans="1:18" x14ac:dyDescent="0.3">
      <c r="A764" t="s">
        <v>1</v>
      </c>
      <c r="B764" t="s">
        <v>6</v>
      </c>
      <c r="C764" s="2">
        <v>43220</v>
      </c>
      <c r="D764" s="11" t="s">
        <v>59</v>
      </c>
      <c r="E764" s="3">
        <f t="shared" ca="1" si="11"/>
        <v>568444093</v>
      </c>
      <c r="F764" t="s">
        <v>11</v>
      </c>
      <c r="G764" t="s">
        <v>14</v>
      </c>
      <c r="H764" s="1" t="s">
        <v>235</v>
      </c>
      <c r="I764" t="s">
        <v>22</v>
      </c>
      <c r="J764" s="4">
        <v>1.7</v>
      </c>
      <c r="K764" s="4">
        <v>18.835999999999999</v>
      </c>
      <c r="L764" s="4">
        <v>8</v>
      </c>
      <c r="M764" s="4">
        <v>61.82</v>
      </c>
      <c r="N764" s="4">
        <v>153.1</v>
      </c>
      <c r="O764" s="4">
        <v>511.04</v>
      </c>
      <c r="P764" s="4">
        <v>3.8764546470000001</v>
      </c>
      <c r="Q764" s="4">
        <v>38.97</v>
      </c>
      <c r="R764" t="str" cm="1">
        <f t="array" ref="R764">_xlfn.IFS(B764="NY","New York",B764="TX","Texas",B764="CA","California")</f>
        <v>New York</v>
      </c>
    </row>
    <row r="765" spans="1:18" x14ac:dyDescent="0.3">
      <c r="A765" t="s">
        <v>1</v>
      </c>
      <c r="B765" t="s">
        <v>6</v>
      </c>
      <c r="C765" s="2">
        <v>43400</v>
      </c>
      <c r="D765" s="11" t="s">
        <v>183</v>
      </c>
      <c r="E765" s="3">
        <f t="shared" ca="1" si="11"/>
        <v>560239464</v>
      </c>
      <c r="F765" t="s">
        <v>11</v>
      </c>
      <c r="G765" t="s">
        <v>14</v>
      </c>
      <c r="H765" s="1" t="s">
        <v>235</v>
      </c>
      <c r="I765" t="s">
        <v>17</v>
      </c>
      <c r="J765" s="4">
        <v>9.1</v>
      </c>
      <c r="K765" s="4">
        <v>93.78</v>
      </c>
      <c r="L765" s="4">
        <v>5</v>
      </c>
      <c r="M765" s="4">
        <v>57.62</v>
      </c>
      <c r="N765" s="4">
        <v>120.3</v>
      </c>
      <c r="O765" s="4">
        <v>53.45</v>
      </c>
      <c r="P765" s="4">
        <v>3.8764546470000001</v>
      </c>
      <c r="Q765" s="4">
        <v>84.07</v>
      </c>
      <c r="R765" t="str" cm="1">
        <f t="array" ref="R765">_xlfn.IFS(B765="NY","New York",B765="TX","Texas",B765="CA","California")</f>
        <v>New York</v>
      </c>
    </row>
    <row r="766" spans="1:18" x14ac:dyDescent="0.3">
      <c r="A766" t="s">
        <v>1</v>
      </c>
      <c r="B766" t="s">
        <v>6</v>
      </c>
      <c r="C766" s="2">
        <v>43018</v>
      </c>
      <c r="D766" s="11" t="s">
        <v>179</v>
      </c>
      <c r="E766" s="3">
        <f t="shared" ca="1" si="11"/>
        <v>116411441</v>
      </c>
      <c r="F766" t="s">
        <v>12</v>
      </c>
      <c r="G766" t="s">
        <v>14</v>
      </c>
      <c r="H766" s="1" t="s">
        <v>237</v>
      </c>
      <c r="I766" t="s">
        <v>17</v>
      </c>
      <c r="J766" s="4">
        <v>4.0999999999999996</v>
      </c>
      <c r="K766" s="4">
        <v>34.82</v>
      </c>
      <c r="L766" s="4">
        <v>4</v>
      </c>
      <c r="M766" s="4">
        <v>15.57</v>
      </c>
      <c r="N766" s="4">
        <v>139</v>
      </c>
      <c r="O766" s="4">
        <v>222</v>
      </c>
      <c r="P766" s="4">
        <v>3.8764546470000001</v>
      </c>
      <c r="Q766" s="4">
        <v>38.527999999999999</v>
      </c>
      <c r="R766" t="str" cm="1">
        <f t="array" ref="R766">_xlfn.IFS(B766="NY","New York",B766="TX","Texas",B766="CA","California")</f>
        <v>New York</v>
      </c>
    </row>
    <row r="767" spans="1:18" x14ac:dyDescent="0.3">
      <c r="A767" t="s">
        <v>3</v>
      </c>
      <c r="B767" t="s">
        <v>8</v>
      </c>
      <c r="C767" s="2">
        <v>43354</v>
      </c>
      <c r="D767" s="11" t="s">
        <v>231</v>
      </c>
      <c r="E767" s="3">
        <f t="shared" ca="1" si="11"/>
        <v>788865427</v>
      </c>
      <c r="F767" t="s">
        <v>11</v>
      </c>
      <c r="G767" t="s">
        <v>15</v>
      </c>
      <c r="H767" s="1" t="s">
        <v>235</v>
      </c>
      <c r="I767" t="s">
        <v>19</v>
      </c>
      <c r="J767" s="4">
        <v>2.6</v>
      </c>
      <c r="K767" s="4">
        <v>97.016000000000005</v>
      </c>
      <c r="L767" s="4">
        <v>8</v>
      </c>
      <c r="M767" s="4">
        <v>68.37</v>
      </c>
      <c r="N767" s="4">
        <v>125.3</v>
      </c>
      <c r="O767" s="4">
        <v>763.68</v>
      </c>
      <c r="P767" s="4">
        <v>3.8764546470000001</v>
      </c>
      <c r="Q767" s="4">
        <v>66.061999999999998</v>
      </c>
      <c r="R767" t="str" cm="1">
        <f t="array" ref="R767">_xlfn.IFS(B767="NY","New York",B767="TX","Texas",B767="CA","California")</f>
        <v>California</v>
      </c>
    </row>
    <row r="768" spans="1:18" x14ac:dyDescent="0.3">
      <c r="A768" t="s">
        <v>2</v>
      </c>
      <c r="B768" t="s">
        <v>7</v>
      </c>
      <c r="C768" s="2">
        <v>43246</v>
      </c>
      <c r="D768" s="11" t="s">
        <v>191</v>
      </c>
      <c r="E768" s="3">
        <f t="shared" ca="1" si="11"/>
        <v>41624222</v>
      </c>
      <c r="F768" t="s">
        <v>11</v>
      </c>
      <c r="G768" t="s">
        <v>15</v>
      </c>
      <c r="H768" s="1" t="s">
        <v>237</v>
      </c>
      <c r="I768" t="s">
        <v>22</v>
      </c>
      <c r="J768" s="4">
        <v>5</v>
      </c>
      <c r="K768" s="4">
        <v>56.087000000000003</v>
      </c>
      <c r="L768" s="4">
        <v>3</v>
      </c>
      <c r="M768" s="4">
        <v>39.86</v>
      </c>
      <c r="N768" s="4">
        <v>146.80000000000001</v>
      </c>
      <c r="O768" s="4">
        <v>228.18</v>
      </c>
      <c r="P768" s="4">
        <v>3.8764546470000001</v>
      </c>
      <c r="Q768" s="4">
        <v>60.600999999999999</v>
      </c>
      <c r="R768" t="str" cm="1">
        <f t="array" ref="R768">_xlfn.IFS(B768="NY","New York",B768="TX","Texas",B768="CA","California")</f>
        <v>Texas</v>
      </c>
    </row>
    <row r="769" spans="1:18" x14ac:dyDescent="0.3">
      <c r="A769" t="s">
        <v>3</v>
      </c>
      <c r="B769" t="s">
        <v>8</v>
      </c>
      <c r="C769" s="2">
        <v>43255</v>
      </c>
      <c r="D769" s="11" t="s">
        <v>89</v>
      </c>
      <c r="E769" s="3">
        <f t="shared" ca="1" si="11"/>
        <v>78184339</v>
      </c>
      <c r="F769" t="s">
        <v>12</v>
      </c>
      <c r="G769" t="s">
        <v>15</v>
      </c>
      <c r="H769" s="1" t="s">
        <v>236</v>
      </c>
      <c r="I769" t="s">
        <v>20</v>
      </c>
      <c r="J769" s="4">
        <v>6</v>
      </c>
      <c r="K769" s="4">
        <v>10.66</v>
      </c>
      <c r="L769" s="4">
        <v>6</v>
      </c>
      <c r="M769" s="4">
        <v>12.11</v>
      </c>
      <c r="N769" s="4">
        <v>104.8</v>
      </c>
      <c r="O769" s="4">
        <v>82.14</v>
      </c>
      <c r="P769" s="4">
        <v>3.8764546470000001</v>
      </c>
      <c r="Q769" s="4">
        <v>17.616</v>
      </c>
      <c r="R769" t="str" cm="1">
        <f t="array" ref="R769">_xlfn.IFS(B769="NY","New York",B769="TX","Texas",B769="CA","California")</f>
        <v>California</v>
      </c>
    </row>
    <row r="770" spans="1:18" x14ac:dyDescent="0.3">
      <c r="A770" t="s">
        <v>3</v>
      </c>
      <c r="B770" t="s">
        <v>8</v>
      </c>
      <c r="C770" s="2">
        <v>43465</v>
      </c>
      <c r="D770" s="11" t="s">
        <v>39</v>
      </c>
      <c r="E770" s="3">
        <f t="shared" ca="1" si="11"/>
        <v>198102866</v>
      </c>
      <c r="F770" t="s">
        <v>11</v>
      </c>
      <c r="G770" t="s">
        <v>15</v>
      </c>
      <c r="H770" s="1" t="s">
        <v>236</v>
      </c>
      <c r="I770" t="s">
        <v>18</v>
      </c>
      <c r="J770" s="4">
        <v>2.1</v>
      </c>
      <c r="K770" s="4">
        <v>63.3</v>
      </c>
      <c r="L770" s="4">
        <v>4</v>
      </c>
      <c r="M770" s="4">
        <v>90.09</v>
      </c>
      <c r="N770" s="4">
        <v>168.55959999999999</v>
      </c>
      <c r="O770" s="4">
        <v>382.56</v>
      </c>
      <c r="P770" s="4">
        <v>3.8764546470000001</v>
      </c>
      <c r="Q770" s="4">
        <v>76.111000000000004</v>
      </c>
      <c r="R770" t="str" cm="1">
        <f t="array" ref="R770">_xlfn.IFS(B770="NY","New York",B770="TX","Texas",B770="CA","California")</f>
        <v>California</v>
      </c>
    </row>
    <row r="771" spans="1:18" x14ac:dyDescent="0.3">
      <c r="A771" t="s">
        <v>1</v>
      </c>
      <c r="B771" t="s">
        <v>6</v>
      </c>
      <c r="C771" s="2">
        <v>42961</v>
      </c>
      <c r="D771" s="11" t="s">
        <v>31</v>
      </c>
      <c r="E771" s="3">
        <f t="shared" ref="E771:E834" ca="1" si="12">RANDBETWEEN(10000000,1000000000)</f>
        <v>855020410</v>
      </c>
      <c r="F771" t="s">
        <v>11</v>
      </c>
      <c r="G771" t="s">
        <v>15</v>
      </c>
      <c r="H771" s="1" t="s">
        <v>236</v>
      </c>
      <c r="I771" t="s">
        <v>19</v>
      </c>
      <c r="J771" s="4">
        <v>5.3</v>
      </c>
      <c r="K771" s="4">
        <v>76.302000000000007</v>
      </c>
      <c r="L771" s="4">
        <v>6</v>
      </c>
      <c r="M771" s="4">
        <v>32.99</v>
      </c>
      <c r="N771" s="4">
        <v>109.80159999999999</v>
      </c>
      <c r="O771" s="4">
        <v>68.58</v>
      </c>
      <c r="P771" s="4">
        <v>3.8764546470000001</v>
      </c>
      <c r="Q771" s="4">
        <v>28.63</v>
      </c>
      <c r="R771" t="str" cm="1">
        <f t="array" ref="R771">_xlfn.IFS(B771="NY","New York",B771="TX","Texas",B771="CA","California")</f>
        <v>New York</v>
      </c>
    </row>
    <row r="772" spans="1:18" x14ac:dyDescent="0.3">
      <c r="A772" t="s">
        <v>3</v>
      </c>
      <c r="B772" t="s">
        <v>8</v>
      </c>
      <c r="C772" s="2">
        <v>43051</v>
      </c>
      <c r="D772" s="11" t="s">
        <v>193</v>
      </c>
      <c r="E772" s="3">
        <f t="shared" ca="1" si="12"/>
        <v>955071456</v>
      </c>
      <c r="F772" t="s">
        <v>11</v>
      </c>
      <c r="G772" t="s">
        <v>14</v>
      </c>
      <c r="H772" s="1" t="s">
        <v>235</v>
      </c>
      <c r="I772" t="s">
        <v>20</v>
      </c>
      <c r="J772" s="4">
        <v>8</v>
      </c>
      <c r="K772" s="4">
        <v>29.47</v>
      </c>
      <c r="L772" s="4">
        <v>4</v>
      </c>
      <c r="M772" s="4">
        <v>64.849999999999994</v>
      </c>
      <c r="N772" s="4">
        <v>150.2004</v>
      </c>
      <c r="O772" s="4">
        <v>382.16</v>
      </c>
      <c r="P772" s="4">
        <v>3.8764546470000001</v>
      </c>
      <c r="Q772" s="4">
        <v>18.09</v>
      </c>
      <c r="R772" t="str" cm="1">
        <f t="array" ref="R772">_xlfn.IFS(B772="NY","New York",B772="TX","Texas",B772="CA","California")</f>
        <v>California</v>
      </c>
    </row>
    <row r="773" spans="1:18" x14ac:dyDescent="0.3">
      <c r="A773" t="s">
        <v>2</v>
      </c>
      <c r="B773" t="s">
        <v>7</v>
      </c>
      <c r="C773" s="2">
        <v>43197</v>
      </c>
      <c r="D773" s="11" t="s">
        <v>121</v>
      </c>
      <c r="E773" s="3">
        <f t="shared" ca="1" si="12"/>
        <v>631206825</v>
      </c>
      <c r="F773" t="s">
        <v>11</v>
      </c>
      <c r="G773" t="s">
        <v>14</v>
      </c>
      <c r="H773" s="1" t="s">
        <v>237</v>
      </c>
      <c r="I773" t="s">
        <v>17</v>
      </c>
      <c r="J773" s="4">
        <v>4.5</v>
      </c>
      <c r="K773" s="4">
        <v>49.366</v>
      </c>
      <c r="L773" s="4">
        <v>7</v>
      </c>
      <c r="M773" s="4">
        <v>60.38</v>
      </c>
      <c r="N773" s="4">
        <v>134.19839999999999</v>
      </c>
      <c r="O773" s="4">
        <v>601.09</v>
      </c>
      <c r="P773" s="4">
        <v>3.8764546470000001</v>
      </c>
      <c r="Q773" s="4">
        <v>35.258000000000003</v>
      </c>
      <c r="R773" t="str" cm="1">
        <f t="array" ref="R773">_xlfn.IFS(B773="NY","New York",B773="TX","Texas",B773="CA","California")</f>
        <v>Texas</v>
      </c>
    </row>
    <row r="774" spans="1:18" x14ac:dyDescent="0.3">
      <c r="A774" t="s">
        <v>2</v>
      </c>
      <c r="B774" t="s">
        <v>7</v>
      </c>
      <c r="C774" s="2">
        <v>43389</v>
      </c>
      <c r="D774" s="11" t="s">
        <v>192</v>
      </c>
      <c r="E774" s="3">
        <f t="shared" ca="1" si="12"/>
        <v>580511443</v>
      </c>
      <c r="F774" t="s">
        <v>11</v>
      </c>
      <c r="G774" t="s">
        <v>14</v>
      </c>
      <c r="H774" s="1" t="s">
        <v>235</v>
      </c>
      <c r="I774" t="s">
        <v>20</v>
      </c>
      <c r="J774" s="4">
        <v>4.2</v>
      </c>
      <c r="K774" s="4">
        <v>97.98</v>
      </c>
      <c r="L774" s="4">
        <v>7</v>
      </c>
      <c r="M774" s="4">
        <v>89.48</v>
      </c>
      <c r="N774" s="4">
        <v>127.1742</v>
      </c>
      <c r="O774" s="4">
        <v>475.93</v>
      </c>
      <c r="P774" s="4">
        <v>3.8764546470000001</v>
      </c>
      <c r="Q774" s="4">
        <v>89.611999999999995</v>
      </c>
      <c r="R774" t="str" cm="1">
        <f t="array" ref="R774">_xlfn.IFS(B774="NY","New York",B774="TX","Texas",B774="CA","California")</f>
        <v>Texas</v>
      </c>
    </row>
    <row r="775" spans="1:18" x14ac:dyDescent="0.3">
      <c r="A775" t="s">
        <v>2</v>
      </c>
      <c r="B775" t="s">
        <v>7</v>
      </c>
      <c r="C775" s="2">
        <v>42876</v>
      </c>
      <c r="D775" s="11" t="s">
        <v>137</v>
      </c>
      <c r="E775" s="3">
        <f t="shared" ca="1" si="12"/>
        <v>539821804</v>
      </c>
      <c r="F775" t="s">
        <v>11</v>
      </c>
      <c r="G775" t="s">
        <v>15</v>
      </c>
      <c r="H775" s="1" t="s">
        <v>237</v>
      </c>
      <c r="I775" t="s">
        <v>21</v>
      </c>
      <c r="J775" s="4">
        <v>6</v>
      </c>
      <c r="K775" s="4">
        <v>24.23</v>
      </c>
      <c r="L775" s="4">
        <v>1</v>
      </c>
      <c r="M775" s="4">
        <v>94.09</v>
      </c>
      <c r="N775" s="4">
        <v>147.29499999999999</v>
      </c>
      <c r="O775" s="4">
        <v>52.42</v>
      </c>
      <c r="P775" s="4">
        <v>3.8764546470000001</v>
      </c>
      <c r="Q775" s="4">
        <v>11.477</v>
      </c>
      <c r="R775" t="str" cm="1">
        <f t="array" ref="R775">_xlfn.IFS(B775="NY","New York",B775="TX","Texas",B775="CA","California")</f>
        <v>Texas</v>
      </c>
    </row>
    <row r="776" spans="1:18" x14ac:dyDescent="0.3">
      <c r="A776" t="s">
        <v>2</v>
      </c>
      <c r="B776" t="s">
        <v>7</v>
      </c>
      <c r="C776" s="2">
        <v>43334</v>
      </c>
      <c r="D776" s="11" t="s">
        <v>183</v>
      </c>
      <c r="E776" s="3">
        <f t="shared" ca="1" si="12"/>
        <v>908509374</v>
      </c>
      <c r="F776" t="s">
        <v>12</v>
      </c>
      <c r="G776" t="s">
        <v>14</v>
      </c>
      <c r="H776" s="1" t="s">
        <v>236</v>
      </c>
      <c r="I776" t="s">
        <v>21</v>
      </c>
      <c r="J776" s="4">
        <v>1</v>
      </c>
      <c r="K776" s="4">
        <v>51.18</v>
      </c>
      <c r="L776" s="4">
        <v>2</v>
      </c>
      <c r="M776" s="4">
        <v>25.45</v>
      </c>
      <c r="N776" s="4">
        <v>117.4633</v>
      </c>
      <c r="O776" s="4">
        <v>131.30000000000001</v>
      </c>
      <c r="P776" s="4">
        <v>3.8764546470000001</v>
      </c>
      <c r="Q776" s="4">
        <v>90.061000000000007</v>
      </c>
      <c r="R776" t="str" cm="1">
        <f t="array" ref="R776">_xlfn.IFS(B776="NY","New York",B776="TX","Texas",B776="CA","California")</f>
        <v>Texas</v>
      </c>
    </row>
    <row r="777" spans="1:18" x14ac:dyDescent="0.3">
      <c r="A777" t="s">
        <v>3</v>
      </c>
      <c r="B777" t="s">
        <v>8</v>
      </c>
      <c r="C777" s="2">
        <v>43009</v>
      </c>
      <c r="D777" s="11" t="s">
        <v>186</v>
      </c>
      <c r="E777" s="3">
        <f t="shared" ca="1" si="12"/>
        <v>357072195</v>
      </c>
      <c r="F777" t="s">
        <v>11</v>
      </c>
      <c r="G777" t="s">
        <v>15</v>
      </c>
      <c r="H777" s="1" t="s">
        <v>237</v>
      </c>
      <c r="I777" t="s">
        <v>21</v>
      </c>
      <c r="J777" s="4">
        <v>8</v>
      </c>
      <c r="K777" s="4">
        <v>12.009</v>
      </c>
      <c r="L777" s="4">
        <v>5</v>
      </c>
      <c r="M777" s="4">
        <v>32.31</v>
      </c>
      <c r="N777" s="4">
        <v>135.58080000000001</v>
      </c>
      <c r="O777" s="4">
        <v>144.30000000000001</v>
      </c>
      <c r="P777" s="4">
        <v>3.8764546470000001</v>
      </c>
      <c r="Q777" s="4">
        <v>60.534999999999997</v>
      </c>
      <c r="R777" t="str" cm="1">
        <f t="array" ref="R777">_xlfn.IFS(B777="NY","New York",B777="TX","Texas",B777="CA","California")</f>
        <v>California</v>
      </c>
    </row>
    <row r="778" spans="1:18" x14ac:dyDescent="0.3">
      <c r="A778" t="s">
        <v>2</v>
      </c>
      <c r="B778" t="s">
        <v>7</v>
      </c>
      <c r="C778" s="2">
        <v>42857</v>
      </c>
      <c r="D778" s="11" t="s">
        <v>210</v>
      </c>
      <c r="E778" s="3">
        <f t="shared" ca="1" si="12"/>
        <v>762955933</v>
      </c>
      <c r="F778" t="s">
        <v>12</v>
      </c>
      <c r="G778" t="s">
        <v>14</v>
      </c>
      <c r="H778" s="1" t="s">
        <v>237</v>
      </c>
      <c r="I778" t="s">
        <v>17</v>
      </c>
      <c r="J778" s="4">
        <v>1</v>
      </c>
      <c r="K778" s="4">
        <v>50.44</v>
      </c>
      <c r="L778" s="4">
        <v>7</v>
      </c>
      <c r="M778" s="4">
        <v>84.82</v>
      </c>
      <c r="N778" s="4">
        <v>155.39279999999999</v>
      </c>
      <c r="O778" s="4">
        <v>457.17</v>
      </c>
      <c r="P778" s="4">
        <v>3.8764546470000001</v>
      </c>
      <c r="Q778" s="4">
        <v>44.957999999999998</v>
      </c>
      <c r="R778" t="str" cm="1">
        <f t="array" ref="R778">_xlfn.IFS(B778="NY","New York",B778="TX","Texas",B778="CA","California")</f>
        <v>Texas</v>
      </c>
    </row>
    <row r="779" spans="1:18" x14ac:dyDescent="0.3">
      <c r="A779" t="s">
        <v>3</v>
      </c>
      <c r="B779" t="s">
        <v>8</v>
      </c>
      <c r="C779" s="2">
        <v>43222</v>
      </c>
      <c r="D779" s="11" t="s">
        <v>188</v>
      </c>
      <c r="E779" s="3">
        <f t="shared" ca="1" si="12"/>
        <v>934127020</v>
      </c>
      <c r="F779" t="s">
        <v>12</v>
      </c>
      <c r="G779" t="s">
        <v>15</v>
      </c>
      <c r="H779" s="1" t="s">
        <v>236</v>
      </c>
      <c r="I779" t="s">
        <v>20</v>
      </c>
      <c r="J779" s="4">
        <v>7</v>
      </c>
      <c r="K779" s="4">
        <v>99.32</v>
      </c>
      <c r="L779" s="4">
        <v>1</v>
      </c>
      <c r="M779" s="4">
        <v>35.090000000000003</v>
      </c>
      <c r="N779" s="4">
        <v>162.57640000000001</v>
      </c>
      <c r="O779" s="4">
        <v>93.38</v>
      </c>
      <c r="P779" s="4">
        <v>3.8764546470000001</v>
      </c>
      <c r="Q779" s="4">
        <v>65.489999999999995</v>
      </c>
      <c r="R779" t="str" cm="1">
        <f t="array" ref="R779">_xlfn.IFS(B779="NY","New York",B779="TX","Texas",B779="CA","California")</f>
        <v>California</v>
      </c>
    </row>
    <row r="780" spans="1:18" x14ac:dyDescent="0.3">
      <c r="A780" t="s">
        <v>2</v>
      </c>
      <c r="B780" t="s">
        <v>7</v>
      </c>
      <c r="C780" s="2">
        <v>43270</v>
      </c>
      <c r="D780" s="11" t="s">
        <v>185</v>
      </c>
      <c r="E780" s="3">
        <f t="shared" ca="1" si="12"/>
        <v>306407134</v>
      </c>
      <c r="F780" t="s">
        <v>12</v>
      </c>
      <c r="G780" t="s">
        <v>14</v>
      </c>
      <c r="H780" s="1" t="s">
        <v>236</v>
      </c>
      <c r="I780" t="s">
        <v>20</v>
      </c>
      <c r="J780" s="4">
        <v>3</v>
      </c>
      <c r="K780" s="4">
        <v>63.74</v>
      </c>
      <c r="L780" s="4">
        <v>5</v>
      </c>
      <c r="M780" s="4">
        <v>61.13</v>
      </c>
      <c r="N780" s="4">
        <v>167.66720000000001</v>
      </c>
      <c r="O780" s="4">
        <v>126.25</v>
      </c>
      <c r="P780" s="4">
        <v>3.8764546470000001</v>
      </c>
      <c r="Q780" s="4">
        <v>71.819999999999993</v>
      </c>
      <c r="R780" t="str" cm="1">
        <f t="array" ref="R780">_xlfn.IFS(B780="NY","New York",B780="TX","Texas",B780="CA","California")</f>
        <v>Texas</v>
      </c>
    </row>
    <row r="781" spans="1:18" x14ac:dyDescent="0.3">
      <c r="A781" t="s">
        <v>3</v>
      </c>
      <c r="B781" t="s">
        <v>8</v>
      </c>
      <c r="C781" s="2">
        <v>43316</v>
      </c>
      <c r="D781" s="11" t="s">
        <v>74</v>
      </c>
      <c r="E781" s="3">
        <f t="shared" ca="1" si="12"/>
        <v>983651912</v>
      </c>
      <c r="F781" t="s">
        <v>12</v>
      </c>
      <c r="G781" t="s">
        <v>14</v>
      </c>
      <c r="H781" s="1" t="s">
        <v>235</v>
      </c>
      <c r="I781" t="s">
        <v>18</v>
      </c>
      <c r="J781" s="4">
        <v>8.1999999999999993</v>
      </c>
      <c r="K781" s="4">
        <v>70.242000000000004</v>
      </c>
      <c r="L781" s="4">
        <v>9</v>
      </c>
      <c r="M781" s="4">
        <v>74.790000000000006</v>
      </c>
      <c r="N781" s="4">
        <v>172.12020000000001</v>
      </c>
      <c r="O781" s="4">
        <v>790.83</v>
      </c>
      <c r="P781" s="4">
        <v>3.8764546470000001</v>
      </c>
      <c r="Q781" s="4">
        <v>62.36</v>
      </c>
      <c r="R781" t="str" cm="1">
        <f t="array" ref="R781">_xlfn.IFS(B781="NY","New York",B781="TX","Texas",B781="CA","California")</f>
        <v>California</v>
      </c>
    </row>
    <row r="782" spans="1:18" x14ac:dyDescent="0.3">
      <c r="A782" t="s">
        <v>2</v>
      </c>
      <c r="B782" t="s">
        <v>7</v>
      </c>
      <c r="C782" s="2">
        <v>42969</v>
      </c>
      <c r="D782" s="11" t="s">
        <v>61</v>
      </c>
      <c r="E782" s="3">
        <f t="shared" ca="1" si="12"/>
        <v>228808381</v>
      </c>
      <c r="F782" t="s">
        <v>12</v>
      </c>
      <c r="G782" t="s">
        <v>15</v>
      </c>
      <c r="H782" s="1" t="s">
        <v>236</v>
      </c>
      <c r="I782" t="s">
        <v>17</v>
      </c>
      <c r="J782" s="4">
        <v>5.4</v>
      </c>
      <c r="K782" s="4">
        <v>31.5</v>
      </c>
      <c r="L782" s="4">
        <v>8</v>
      </c>
      <c r="M782" s="4">
        <v>18.8</v>
      </c>
      <c r="N782" s="4">
        <v>140.5515</v>
      </c>
      <c r="O782" s="4">
        <v>174.4</v>
      </c>
      <c r="P782" s="4">
        <v>3.8764546470000001</v>
      </c>
      <c r="Q782" s="4">
        <v>27.07</v>
      </c>
      <c r="R782" t="str" cm="1">
        <f t="array" ref="R782">_xlfn.IFS(B782="NY","New York",B782="TX","Texas",B782="CA","California")</f>
        <v>Texas</v>
      </c>
    </row>
    <row r="783" spans="1:18" x14ac:dyDescent="0.3">
      <c r="A783" t="s">
        <v>1</v>
      </c>
      <c r="B783" t="s">
        <v>6</v>
      </c>
      <c r="C783" s="2">
        <v>43155</v>
      </c>
      <c r="D783" s="11" t="s">
        <v>47</v>
      </c>
      <c r="E783" s="3">
        <f t="shared" ca="1" si="12"/>
        <v>152375330</v>
      </c>
      <c r="F783" t="s">
        <v>11</v>
      </c>
      <c r="G783" t="s">
        <v>15</v>
      </c>
      <c r="H783" s="1" t="s">
        <v>235</v>
      </c>
      <c r="I783" t="s">
        <v>20</v>
      </c>
      <c r="J783" s="4">
        <v>9.4</v>
      </c>
      <c r="K783" s="4">
        <v>98.01</v>
      </c>
      <c r="L783" s="4">
        <v>4</v>
      </c>
      <c r="M783" s="4">
        <v>31.09</v>
      </c>
      <c r="N783" s="4">
        <v>148.1414</v>
      </c>
      <c r="O783" s="4">
        <v>379.04</v>
      </c>
      <c r="P783" s="4">
        <v>3.8764546470000001</v>
      </c>
      <c r="Q783" s="4">
        <v>58.48</v>
      </c>
      <c r="R783" t="str" cm="1">
        <f t="array" ref="R783">_xlfn.IFS(B783="NY","New York",B783="TX","Texas",B783="CA","California")</f>
        <v>New York</v>
      </c>
    </row>
    <row r="784" spans="1:18" x14ac:dyDescent="0.3">
      <c r="A784" t="s">
        <v>1</v>
      </c>
      <c r="B784" t="s">
        <v>6</v>
      </c>
      <c r="C784" s="2">
        <v>43238</v>
      </c>
      <c r="D784" s="11" t="s">
        <v>164</v>
      </c>
      <c r="E784" s="3">
        <f t="shared" ca="1" si="12"/>
        <v>736949796</v>
      </c>
      <c r="F784" t="s">
        <v>11</v>
      </c>
      <c r="G784" t="s">
        <v>14</v>
      </c>
      <c r="H784" s="1" t="s">
        <v>237</v>
      </c>
      <c r="I784" t="s">
        <v>22</v>
      </c>
      <c r="J784" s="4">
        <v>2</v>
      </c>
      <c r="K784" s="4">
        <v>38.369999999999997</v>
      </c>
      <c r="L784" s="4">
        <v>1</v>
      </c>
      <c r="M784" s="4">
        <v>80.06</v>
      </c>
      <c r="N784" s="4">
        <v>160.4075</v>
      </c>
      <c r="O784" s="4">
        <v>30.62</v>
      </c>
      <c r="P784" s="4">
        <v>3.8764546470000001</v>
      </c>
      <c r="Q784" s="4">
        <v>69.180000000000007</v>
      </c>
      <c r="R784" t="str" cm="1">
        <f t="array" ref="R784">_xlfn.IFS(B784="NY","New York",B784="TX","Texas",B784="CA","California")</f>
        <v>New York</v>
      </c>
    </row>
    <row r="785" spans="1:18" x14ac:dyDescent="0.3">
      <c r="A785" t="s">
        <v>2</v>
      </c>
      <c r="B785" t="s">
        <v>7</v>
      </c>
      <c r="C785" s="2">
        <v>43137</v>
      </c>
      <c r="D785" s="11" t="s">
        <v>104</v>
      </c>
      <c r="E785" s="3">
        <f t="shared" ca="1" si="12"/>
        <v>889973500</v>
      </c>
      <c r="F785" t="s">
        <v>11</v>
      </c>
      <c r="G785" t="s">
        <v>15</v>
      </c>
      <c r="H785" s="1" t="s">
        <v>236</v>
      </c>
      <c r="I785" t="s">
        <v>19</v>
      </c>
      <c r="J785" s="4">
        <v>7.5</v>
      </c>
      <c r="K785" s="4">
        <v>41.417000000000002</v>
      </c>
      <c r="L785" s="4">
        <v>8</v>
      </c>
      <c r="M785" s="4">
        <v>59.53</v>
      </c>
      <c r="N785" s="4">
        <v>173.05289999999999</v>
      </c>
      <c r="O785" s="4">
        <v>352.08</v>
      </c>
      <c r="P785" s="4">
        <v>3.8764546470000001</v>
      </c>
      <c r="Q785" s="4">
        <v>86.855999999999995</v>
      </c>
      <c r="R785" t="str" cm="1">
        <f t="array" ref="R785">_xlfn.IFS(B785="NY","New York",B785="TX","Texas",B785="CA","California")</f>
        <v>Texas</v>
      </c>
    </row>
    <row r="786" spans="1:18" x14ac:dyDescent="0.3">
      <c r="A786" t="s">
        <v>2</v>
      </c>
      <c r="B786" t="s">
        <v>7</v>
      </c>
      <c r="C786" s="2">
        <v>42978</v>
      </c>
      <c r="D786" s="11" t="s">
        <v>86</v>
      </c>
      <c r="E786" s="3">
        <f t="shared" ca="1" si="12"/>
        <v>797700359</v>
      </c>
      <c r="F786" t="s">
        <v>11</v>
      </c>
      <c r="G786" t="s">
        <v>14</v>
      </c>
      <c r="H786" s="1" t="s">
        <v>235</v>
      </c>
      <c r="I786" t="s">
        <v>17</v>
      </c>
      <c r="J786" s="4">
        <v>7.8</v>
      </c>
      <c r="K786" s="4">
        <v>49.16</v>
      </c>
      <c r="L786" s="4">
        <v>5</v>
      </c>
      <c r="M786" s="4">
        <v>67.41</v>
      </c>
      <c r="N786" s="4">
        <v>117.54430000000001</v>
      </c>
      <c r="O786" s="4">
        <v>50.8</v>
      </c>
      <c r="P786" s="4">
        <v>3.8764546470000001</v>
      </c>
      <c r="Q786" s="4">
        <v>43.636000000000003</v>
      </c>
      <c r="R786" t="str" cm="1">
        <f t="array" ref="R786">_xlfn.IFS(B786="NY","New York",B786="TX","Texas",B786="CA","California")</f>
        <v>Texas</v>
      </c>
    </row>
    <row r="787" spans="1:18" x14ac:dyDescent="0.3">
      <c r="A787" t="s">
        <v>1</v>
      </c>
      <c r="B787" t="s">
        <v>6</v>
      </c>
      <c r="C787" s="2">
        <v>43359</v>
      </c>
      <c r="D787" s="11" t="s">
        <v>182</v>
      </c>
      <c r="E787" s="3">
        <f t="shared" ca="1" si="12"/>
        <v>405266354</v>
      </c>
      <c r="F787" t="s">
        <v>12</v>
      </c>
      <c r="G787" t="s">
        <v>15</v>
      </c>
      <c r="H787" s="1" t="s">
        <v>237</v>
      </c>
      <c r="I787" t="s">
        <v>18</v>
      </c>
      <c r="J787" s="4">
        <v>9.6</v>
      </c>
      <c r="K787" s="4">
        <v>24.52</v>
      </c>
      <c r="L787" s="4">
        <v>7</v>
      </c>
      <c r="M787" s="4">
        <v>67.75</v>
      </c>
      <c r="N787" s="4">
        <v>153.5035</v>
      </c>
      <c r="O787" s="4">
        <v>522.05999999999995</v>
      </c>
      <c r="P787" s="4">
        <v>3.8764546470000001</v>
      </c>
      <c r="Q787" s="4">
        <v>62.959000000000003</v>
      </c>
      <c r="R787" t="str" cm="1">
        <f t="array" ref="R787">_xlfn.IFS(B787="NY","New York",B787="TX","Texas",B787="CA","California")</f>
        <v>New York</v>
      </c>
    </row>
    <row r="788" spans="1:18" x14ac:dyDescent="0.3">
      <c r="A788" t="s">
        <v>2</v>
      </c>
      <c r="B788" t="s">
        <v>7</v>
      </c>
      <c r="C788" s="2">
        <v>43269</v>
      </c>
      <c r="D788" s="11" t="s">
        <v>192</v>
      </c>
      <c r="E788" s="3">
        <f t="shared" ca="1" si="12"/>
        <v>250164477</v>
      </c>
      <c r="F788" t="s">
        <v>12</v>
      </c>
      <c r="G788" t="s">
        <v>15</v>
      </c>
      <c r="H788" s="1" t="s">
        <v>235</v>
      </c>
      <c r="I788" t="s">
        <v>18</v>
      </c>
      <c r="J788" s="4">
        <v>5.4</v>
      </c>
      <c r="K788" s="4">
        <v>68.040000000000006</v>
      </c>
      <c r="L788" s="4">
        <v>8</v>
      </c>
      <c r="M788" s="4">
        <v>32.32</v>
      </c>
      <c r="N788" s="4">
        <v>157.80189999999999</v>
      </c>
      <c r="O788" s="4">
        <v>575.12</v>
      </c>
      <c r="P788" s="4">
        <v>3.8764546470000001</v>
      </c>
      <c r="Q788" s="4">
        <v>39.49</v>
      </c>
      <c r="R788" t="str" cm="1">
        <f t="array" ref="R788">_xlfn.IFS(B788="NY","New York",B788="TX","Texas",B788="CA","California")</f>
        <v>Texas</v>
      </c>
    </row>
    <row r="789" spans="1:18" x14ac:dyDescent="0.3">
      <c r="A789" t="s">
        <v>2</v>
      </c>
      <c r="B789" t="s">
        <v>7</v>
      </c>
      <c r="C789" s="2">
        <v>43424</v>
      </c>
      <c r="D789" s="11" t="s">
        <v>115</v>
      </c>
      <c r="E789" s="3">
        <f t="shared" ca="1" si="12"/>
        <v>459219696</v>
      </c>
      <c r="F789" t="s">
        <v>11</v>
      </c>
      <c r="G789" t="s">
        <v>15</v>
      </c>
      <c r="H789" s="1" t="s">
        <v>237</v>
      </c>
      <c r="I789" t="s">
        <v>17</v>
      </c>
      <c r="J789" s="4">
        <v>6.7</v>
      </c>
      <c r="K789" s="4">
        <v>55.95</v>
      </c>
      <c r="L789" s="4">
        <v>5</v>
      </c>
      <c r="M789" s="4">
        <v>10.77</v>
      </c>
      <c r="N789" s="4">
        <v>134.34530000000001</v>
      </c>
      <c r="O789" s="4">
        <v>54.95</v>
      </c>
      <c r="P789" s="4">
        <v>3.8764546470000001</v>
      </c>
      <c r="Q789" s="4">
        <v>85.79</v>
      </c>
      <c r="R789" t="str" cm="1">
        <f t="array" ref="R789">_xlfn.IFS(B789="NY","New York",B789="TX","Texas",B789="CA","California")</f>
        <v>Texas</v>
      </c>
    </row>
    <row r="790" spans="1:18" x14ac:dyDescent="0.3">
      <c r="A790" t="s">
        <v>2</v>
      </c>
      <c r="B790" t="s">
        <v>7</v>
      </c>
      <c r="C790" s="2">
        <v>42859</v>
      </c>
      <c r="D790" s="11" t="s">
        <v>128</v>
      </c>
      <c r="E790" s="3">
        <f t="shared" ca="1" si="12"/>
        <v>956607135</v>
      </c>
      <c r="F790" t="s">
        <v>12</v>
      </c>
      <c r="G790" t="s">
        <v>14</v>
      </c>
      <c r="H790" s="1" t="s">
        <v>237</v>
      </c>
      <c r="I790" t="s">
        <v>17</v>
      </c>
      <c r="J790" s="4">
        <v>1.8</v>
      </c>
      <c r="K790" s="4">
        <v>82.67</v>
      </c>
      <c r="L790" s="4">
        <v>3</v>
      </c>
      <c r="M790" s="4">
        <v>99.65</v>
      </c>
      <c r="N790" s="4">
        <v>120.87090000000001</v>
      </c>
      <c r="O790" s="4">
        <v>181.41</v>
      </c>
      <c r="P790" s="4">
        <v>3.8764546470000001</v>
      </c>
      <c r="Q790" s="4">
        <v>24.26</v>
      </c>
      <c r="R790" t="str" cm="1">
        <f t="array" ref="R790">_xlfn.IFS(B790="NY","New York",B790="TX","Texas",B790="CA","California")</f>
        <v>Texas</v>
      </c>
    </row>
    <row r="791" spans="1:18" x14ac:dyDescent="0.3">
      <c r="A791" t="s">
        <v>1</v>
      </c>
      <c r="B791" t="s">
        <v>6</v>
      </c>
      <c r="C791" s="2">
        <v>42832</v>
      </c>
      <c r="D791" s="11" t="s">
        <v>75</v>
      </c>
      <c r="E791" s="3">
        <f t="shared" ca="1" si="12"/>
        <v>742918176</v>
      </c>
      <c r="F791" t="s">
        <v>12</v>
      </c>
      <c r="G791" t="s">
        <v>15</v>
      </c>
      <c r="H791" s="1" t="s">
        <v>235</v>
      </c>
      <c r="I791" t="s">
        <v>20</v>
      </c>
      <c r="J791" s="4">
        <v>2</v>
      </c>
      <c r="K791" s="4">
        <v>21.934999999999999</v>
      </c>
      <c r="L791" s="4">
        <v>7</v>
      </c>
      <c r="M791" s="4">
        <v>50.89</v>
      </c>
      <c r="N791" s="4">
        <v>119.5193</v>
      </c>
      <c r="O791" s="4">
        <v>412.37</v>
      </c>
      <c r="P791" s="4">
        <v>3.8764546470000001</v>
      </c>
      <c r="Q791" s="4">
        <v>86.65</v>
      </c>
      <c r="R791" t="str" cm="1">
        <f t="array" ref="R791">_xlfn.IFS(B791="NY","New York",B791="TX","Texas",B791="CA","California")</f>
        <v>New York</v>
      </c>
    </row>
    <row r="792" spans="1:18" x14ac:dyDescent="0.3">
      <c r="A792" t="s">
        <v>1</v>
      </c>
      <c r="B792" t="s">
        <v>6</v>
      </c>
      <c r="C792" s="2">
        <v>42914</v>
      </c>
      <c r="D792" s="11" t="s">
        <v>153</v>
      </c>
      <c r="E792" s="3">
        <f t="shared" ca="1" si="12"/>
        <v>464833890</v>
      </c>
      <c r="F792" t="s">
        <v>12</v>
      </c>
      <c r="G792" t="s">
        <v>15</v>
      </c>
      <c r="H792" s="1" t="s">
        <v>237</v>
      </c>
      <c r="I792" t="s">
        <v>22</v>
      </c>
      <c r="J792" s="4">
        <v>2</v>
      </c>
      <c r="K792" s="4">
        <v>27.96</v>
      </c>
      <c r="L792" s="4">
        <v>1</v>
      </c>
      <c r="M792" s="4">
        <v>64.319999999999993</v>
      </c>
      <c r="N792" s="4">
        <v>152.78370000000001</v>
      </c>
      <c r="O792" s="4">
        <v>46.41</v>
      </c>
      <c r="P792" s="4">
        <v>3.8764546470000001</v>
      </c>
      <c r="Q792" s="4">
        <v>71.900000000000006</v>
      </c>
      <c r="R792" t="str" cm="1">
        <f t="array" ref="R792">_xlfn.IFS(B792="NY","New York",B792="TX","Texas",B792="CA","California")</f>
        <v>New York</v>
      </c>
    </row>
    <row r="793" spans="1:18" x14ac:dyDescent="0.3">
      <c r="A793" t="s">
        <v>2</v>
      </c>
      <c r="B793" t="s">
        <v>7</v>
      </c>
      <c r="C793" s="2">
        <v>43424</v>
      </c>
      <c r="D793" s="11" t="s">
        <v>192</v>
      </c>
      <c r="E793" s="3">
        <f t="shared" ca="1" si="12"/>
        <v>714876658</v>
      </c>
      <c r="F793" t="s">
        <v>12</v>
      </c>
      <c r="G793" t="s">
        <v>14</v>
      </c>
      <c r="H793" s="1" t="s">
        <v>237</v>
      </c>
      <c r="I793" t="s">
        <v>17</v>
      </c>
      <c r="J793" s="4">
        <v>7</v>
      </c>
      <c r="K793" s="4">
        <v>39.83</v>
      </c>
      <c r="L793" s="4">
        <v>4</v>
      </c>
      <c r="M793" s="4">
        <v>68.53</v>
      </c>
      <c r="N793" s="4">
        <v>152.63140000000001</v>
      </c>
      <c r="O793" s="4">
        <v>274.2</v>
      </c>
      <c r="P793" s="4">
        <v>3.8764546470000001</v>
      </c>
      <c r="Q793" s="4">
        <v>17.126999999999999</v>
      </c>
      <c r="R793" t="str" cm="1">
        <f t="array" ref="R793">_xlfn.IFS(B793="NY","New York",B793="TX","Texas",B793="CA","California")</f>
        <v>Texas</v>
      </c>
    </row>
    <row r="794" spans="1:18" x14ac:dyDescent="0.3">
      <c r="A794" t="s">
        <v>3</v>
      </c>
      <c r="B794" t="s">
        <v>8</v>
      </c>
      <c r="C794" s="2">
        <v>43190</v>
      </c>
      <c r="D794" s="11" t="s">
        <v>232</v>
      </c>
      <c r="E794" s="3">
        <f t="shared" ca="1" si="12"/>
        <v>726139170</v>
      </c>
      <c r="F794" t="s">
        <v>11</v>
      </c>
      <c r="G794" t="s">
        <v>15</v>
      </c>
      <c r="H794" s="1" t="s">
        <v>237</v>
      </c>
      <c r="I794" t="s">
        <v>19</v>
      </c>
      <c r="J794" s="4">
        <v>9</v>
      </c>
      <c r="K794" s="4">
        <v>90.5</v>
      </c>
      <c r="L794" s="4">
        <v>10</v>
      </c>
      <c r="M794" s="4">
        <v>94.49</v>
      </c>
      <c r="N794" s="4">
        <v>127.45740000000001</v>
      </c>
      <c r="O794" s="4">
        <v>973.7</v>
      </c>
      <c r="P794" s="4">
        <v>3.8764546470000001</v>
      </c>
      <c r="Q794" s="4">
        <v>79.930000000000007</v>
      </c>
      <c r="R794" t="str" cm="1">
        <f t="array" ref="R794">_xlfn.IFS(B794="NY","New York",B794="TX","Texas",B794="CA","California")</f>
        <v>California</v>
      </c>
    </row>
    <row r="795" spans="1:18" x14ac:dyDescent="0.3">
      <c r="A795" t="s">
        <v>1</v>
      </c>
      <c r="B795" t="s">
        <v>6</v>
      </c>
      <c r="C795" s="2">
        <v>43115</v>
      </c>
      <c r="D795" s="11" t="s">
        <v>229</v>
      </c>
      <c r="E795" s="3">
        <f t="shared" ca="1" si="12"/>
        <v>158805835</v>
      </c>
      <c r="F795" t="s">
        <v>12</v>
      </c>
      <c r="G795" t="s">
        <v>14</v>
      </c>
      <c r="H795" s="1" t="s">
        <v>237</v>
      </c>
      <c r="I795" t="s">
        <v>18</v>
      </c>
      <c r="J795" s="4">
        <v>8</v>
      </c>
      <c r="K795" s="4">
        <v>47.19</v>
      </c>
      <c r="L795" s="4">
        <v>7</v>
      </c>
      <c r="M795" s="4">
        <v>64.53</v>
      </c>
      <c r="N795" s="4">
        <v>174.1951</v>
      </c>
      <c r="O795" s="4">
        <v>648.20000000000005</v>
      </c>
      <c r="P795" s="4">
        <v>3.8764546470000001</v>
      </c>
      <c r="Q795" s="4">
        <v>59.786999999999999</v>
      </c>
      <c r="R795" t="str" cm="1">
        <f t="array" ref="R795">_xlfn.IFS(B795="NY","New York",B795="TX","Texas",B795="CA","California")</f>
        <v>New York</v>
      </c>
    </row>
    <row r="796" spans="1:18" x14ac:dyDescent="0.3">
      <c r="A796" t="s">
        <v>1</v>
      </c>
      <c r="B796" t="s">
        <v>6</v>
      </c>
      <c r="C796" s="2">
        <v>43391</v>
      </c>
      <c r="D796" s="11" t="s">
        <v>129</v>
      </c>
      <c r="E796" s="3">
        <f t="shared" ca="1" si="12"/>
        <v>249319967</v>
      </c>
      <c r="F796" t="s">
        <v>11</v>
      </c>
      <c r="G796" t="s">
        <v>15</v>
      </c>
      <c r="H796" s="1" t="s">
        <v>237</v>
      </c>
      <c r="I796" t="s">
        <v>18</v>
      </c>
      <c r="J796" s="4">
        <v>1</v>
      </c>
      <c r="K796" s="4">
        <v>66.831999999999994</v>
      </c>
      <c r="L796" s="4">
        <v>2</v>
      </c>
      <c r="M796" s="4">
        <v>26.4</v>
      </c>
      <c r="N796" s="4">
        <v>136.02109999999999</v>
      </c>
      <c r="O796" s="4">
        <v>93.22</v>
      </c>
      <c r="P796" s="4">
        <v>3.8764546470000001</v>
      </c>
      <c r="Q796" s="4">
        <v>19.527999999999999</v>
      </c>
      <c r="R796" t="str" cm="1">
        <f t="array" ref="R796">_xlfn.IFS(B796="NY","New York",B796="TX","Texas",B796="CA","California")</f>
        <v>New York</v>
      </c>
    </row>
    <row r="797" spans="1:18" x14ac:dyDescent="0.3">
      <c r="A797" t="s">
        <v>3</v>
      </c>
      <c r="B797" t="s">
        <v>8</v>
      </c>
      <c r="C797" s="2">
        <v>42970</v>
      </c>
      <c r="D797" s="11" t="s">
        <v>61</v>
      </c>
      <c r="E797" s="3">
        <f t="shared" ca="1" si="12"/>
        <v>129182854</v>
      </c>
      <c r="F797" t="s">
        <v>12</v>
      </c>
      <c r="G797" t="s">
        <v>15</v>
      </c>
      <c r="H797" s="1" t="s">
        <v>235</v>
      </c>
      <c r="I797" t="s">
        <v>22</v>
      </c>
      <c r="J797" s="4">
        <v>3</v>
      </c>
      <c r="K797" s="4">
        <v>76.510000000000005</v>
      </c>
      <c r="L797" s="4">
        <v>2</v>
      </c>
      <c r="M797" s="4">
        <v>40.15</v>
      </c>
      <c r="N797" s="4">
        <v>139.33189999999999</v>
      </c>
      <c r="O797" s="4">
        <v>54.36</v>
      </c>
      <c r="P797" s="4">
        <v>3.8764546470000001</v>
      </c>
      <c r="Q797" s="4">
        <v>55.256</v>
      </c>
      <c r="R797" t="str" cm="1">
        <f t="array" ref="R797">_xlfn.IFS(B797="NY","New York",B797="TX","Texas",B797="CA","California")</f>
        <v>California</v>
      </c>
    </row>
    <row r="798" spans="1:18" x14ac:dyDescent="0.3">
      <c r="A798" t="s">
        <v>2</v>
      </c>
      <c r="B798" t="s">
        <v>7</v>
      </c>
      <c r="C798" s="2">
        <v>42992</v>
      </c>
      <c r="D798" s="11" t="s">
        <v>92</v>
      </c>
      <c r="E798" s="3">
        <f t="shared" ca="1" si="12"/>
        <v>406868976</v>
      </c>
      <c r="F798" t="s">
        <v>11</v>
      </c>
      <c r="G798" t="s">
        <v>14</v>
      </c>
      <c r="H798" s="1" t="s">
        <v>236</v>
      </c>
      <c r="I798" t="s">
        <v>19</v>
      </c>
      <c r="J798" s="4">
        <v>3</v>
      </c>
      <c r="K798" s="4">
        <v>56.96</v>
      </c>
      <c r="L798" s="4">
        <v>1</v>
      </c>
      <c r="M798" s="4">
        <v>12.4</v>
      </c>
      <c r="N798" s="4">
        <v>176.15299999999999</v>
      </c>
      <c r="O798" s="4">
        <v>60.87</v>
      </c>
      <c r="P798" s="4">
        <v>3.8764546470000001</v>
      </c>
      <c r="Q798" s="4">
        <v>88.138999999999996</v>
      </c>
      <c r="R798" t="str" cm="1">
        <f t="array" ref="R798">_xlfn.IFS(B798="NY","New York",B798="TX","Texas",B798="CA","California")</f>
        <v>Texas</v>
      </c>
    </row>
    <row r="799" spans="1:18" x14ac:dyDescent="0.3">
      <c r="A799" t="s">
        <v>1</v>
      </c>
      <c r="B799" t="s">
        <v>6</v>
      </c>
      <c r="C799" s="2">
        <v>43275</v>
      </c>
      <c r="D799" s="11" t="s">
        <v>204</v>
      </c>
      <c r="E799" s="3">
        <f t="shared" ca="1" si="12"/>
        <v>380804247</v>
      </c>
      <c r="F799" t="s">
        <v>11</v>
      </c>
      <c r="G799" t="s">
        <v>14</v>
      </c>
      <c r="H799" s="1" t="s">
        <v>236</v>
      </c>
      <c r="I799" t="s">
        <v>20</v>
      </c>
      <c r="J799" s="4">
        <v>7</v>
      </c>
      <c r="K799" s="4">
        <v>27.74</v>
      </c>
      <c r="L799" s="4">
        <v>10</v>
      </c>
      <c r="M799" s="4">
        <v>38.869999999999997</v>
      </c>
      <c r="N799" s="4">
        <v>111.3653</v>
      </c>
      <c r="O799" s="4">
        <v>244.9</v>
      </c>
      <c r="P799" s="4">
        <v>3.8764546470000001</v>
      </c>
      <c r="Q799" s="4">
        <v>18.896000000000001</v>
      </c>
      <c r="R799" t="str" cm="1">
        <f t="array" ref="R799">_xlfn.IFS(B799="NY","New York",B799="TX","Texas",B799="CA","California")</f>
        <v>New York</v>
      </c>
    </row>
    <row r="800" spans="1:18" x14ac:dyDescent="0.3">
      <c r="A800" t="s">
        <v>3</v>
      </c>
      <c r="B800" t="s">
        <v>8</v>
      </c>
      <c r="C800" s="2">
        <v>43074</v>
      </c>
      <c r="D800" s="11" t="s">
        <v>42</v>
      </c>
      <c r="E800" s="3">
        <f t="shared" ca="1" si="12"/>
        <v>384619533</v>
      </c>
      <c r="F800" t="s">
        <v>12</v>
      </c>
      <c r="G800" t="s">
        <v>15</v>
      </c>
      <c r="H800" s="1" t="s">
        <v>237</v>
      </c>
      <c r="I800" t="s">
        <v>17</v>
      </c>
      <c r="J800" s="4">
        <v>2.4</v>
      </c>
      <c r="K800" s="4">
        <v>45.18</v>
      </c>
      <c r="L800" s="4">
        <v>1</v>
      </c>
      <c r="M800" s="4">
        <v>67.83</v>
      </c>
      <c r="N800" s="4">
        <v>147.79759999999999</v>
      </c>
      <c r="O800" s="4">
        <v>92.78</v>
      </c>
      <c r="P800" s="4">
        <v>3.8764546470000001</v>
      </c>
      <c r="Q800" s="4">
        <v>86.97</v>
      </c>
      <c r="R800" t="str" cm="1">
        <f t="array" ref="R800">_xlfn.IFS(B800="NY","New York",B800="TX","Texas",B800="CA","California")</f>
        <v>California</v>
      </c>
    </row>
    <row r="801" spans="1:18" x14ac:dyDescent="0.3">
      <c r="A801" t="s">
        <v>2</v>
      </c>
      <c r="B801" t="s">
        <v>7</v>
      </c>
      <c r="C801" s="2">
        <v>42986</v>
      </c>
      <c r="D801" s="11" t="s">
        <v>104</v>
      </c>
      <c r="E801" s="3">
        <f t="shared" ca="1" si="12"/>
        <v>741526780</v>
      </c>
      <c r="F801" t="s">
        <v>12</v>
      </c>
      <c r="G801" t="s">
        <v>14</v>
      </c>
      <c r="H801" s="1" t="s">
        <v>235</v>
      </c>
      <c r="I801" t="s">
        <v>19</v>
      </c>
      <c r="J801" s="4">
        <v>1.4</v>
      </c>
      <c r="K801" s="4">
        <v>65.465000000000003</v>
      </c>
      <c r="L801" s="4">
        <v>5</v>
      </c>
      <c r="M801" s="4">
        <v>58.68</v>
      </c>
      <c r="N801" s="4">
        <v>159.4683</v>
      </c>
      <c r="O801" s="4">
        <v>433.45</v>
      </c>
      <c r="P801" s="4">
        <v>3.8764546470000001</v>
      </c>
      <c r="Q801" s="4">
        <v>13.14</v>
      </c>
      <c r="R801" t="str" cm="1">
        <f t="array" ref="R801">_xlfn.IFS(B801="NY","New York",B801="TX","Texas",B801="CA","California")</f>
        <v>Texas</v>
      </c>
    </row>
    <row r="802" spans="1:18" x14ac:dyDescent="0.3">
      <c r="A802" t="s">
        <v>3</v>
      </c>
      <c r="B802" t="s">
        <v>8</v>
      </c>
      <c r="C802" s="2">
        <v>43031</v>
      </c>
      <c r="D802" s="11" t="s">
        <v>184</v>
      </c>
      <c r="E802" s="3">
        <f t="shared" ca="1" si="12"/>
        <v>255530778</v>
      </c>
      <c r="F802" t="s">
        <v>12</v>
      </c>
      <c r="G802" t="s">
        <v>15</v>
      </c>
      <c r="H802" s="1" t="s">
        <v>235</v>
      </c>
      <c r="I802" t="s">
        <v>20</v>
      </c>
      <c r="J802" s="4">
        <v>2.1</v>
      </c>
      <c r="K802" s="4">
        <v>14.97</v>
      </c>
      <c r="L802" s="4">
        <v>6</v>
      </c>
      <c r="M802" s="4">
        <v>62.11</v>
      </c>
      <c r="N802" s="4">
        <v>155.1936</v>
      </c>
      <c r="O802" s="4">
        <v>138.06</v>
      </c>
      <c r="P802" s="4">
        <v>3.8764546470000001</v>
      </c>
      <c r="Q802" s="4">
        <v>13.85</v>
      </c>
      <c r="R802" t="str" cm="1">
        <f t="array" ref="R802">_xlfn.IFS(B802="NY","New York",B802="TX","Texas",B802="CA","California")</f>
        <v>California</v>
      </c>
    </row>
    <row r="803" spans="1:18" x14ac:dyDescent="0.3">
      <c r="A803" t="s">
        <v>2</v>
      </c>
      <c r="B803" t="s">
        <v>7</v>
      </c>
      <c r="C803" s="2">
        <v>43068</v>
      </c>
      <c r="D803" s="11" t="s">
        <v>49</v>
      </c>
      <c r="E803" s="3">
        <f t="shared" ca="1" si="12"/>
        <v>492981880</v>
      </c>
      <c r="F803" t="s">
        <v>11</v>
      </c>
      <c r="G803" t="s">
        <v>14</v>
      </c>
      <c r="H803" s="1" t="s">
        <v>235</v>
      </c>
      <c r="I803" t="s">
        <v>18</v>
      </c>
      <c r="J803" s="4">
        <v>7.5</v>
      </c>
      <c r="K803" s="4">
        <v>46.1</v>
      </c>
      <c r="L803" s="4">
        <v>8</v>
      </c>
      <c r="M803" s="4">
        <v>90.46</v>
      </c>
      <c r="N803" s="4">
        <v>102.7826</v>
      </c>
      <c r="O803" s="4">
        <v>241.6</v>
      </c>
      <c r="P803" s="4">
        <v>3.8764546470000001</v>
      </c>
      <c r="Q803" s="4">
        <v>87.76</v>
      </c>
      <c r="R803" t="str" cm="1">
        <f t="array" ref="R803">_xlfn.IFS(B803="NY","New York",B803="TX","Texas",B803="CA","California")</f>
        <v>Texas</v>
      </c>
    </row>
    <row r="804" spans="1:18" x14ac:dyDescent="0.3">
      <c r="A804" t="s">
        <v>2</v>
      </c>
      <c r="B804" t="s">
        <v>7</v>
      </c>
      <c r="C804" s="2">
        <v>43414</v>
      </c>
      <c r="D804" s="11" t="s">
        <v>211</v>
      </c>
      <c r="E804" s="3">
        <f t="shared" ca="1" si="12"/>
        <v>46755294</v>
      </c>
      <c r="F804" t="s">
        <v>12</v>
      </c>
      <c r="G804" t="s">
        <v>14</v>
      </c>
      <c r="H804" s="1" t="s">
        <v>235</v>
      </c>
      <c r="I804" t="s">
        <v>22</v>
      </c>
      <c r="J804" s="4">
        <v>2.2999999999999998</v>
      </c>
      <c r="K804" s="4">
        <v>83.64</v>
      </c>
      <c r="L804" s="4">
        <v>7</v>
      </c>
      <c r="M804" s="4">
        <v>85.12</v>
      </c>
      <c r="N804" s="4">
        <v>126.5273</v>
      </c>
      <c r="O804" s="4">
        <v>471.73</v>
      </c>
      <c r="P804" s="4">
        <v>3.8764546470000001</v>
      </c>
      <c r="Q804" s="4">
        <v>28.42</v>
      </c>
      <c r="R804" t="str" cm="1">
        <f t="array" ref="R804">_xlfn.IFS(B804="NY","New York",B804="TX","Texas",B804="CA","California")</f>
        <v>Texas</v>
      </c>
    </row>
    <row r="805" spans="1:18" x14ac:dyDescent="0.3">
      <c r="A805" t="s">
        <v>1</v>
      </c>
      <c r="B805" t="s">
        <v>6</v>
      </c>
      <c r="C805" s="2">
        <v>43384</v>
      </c>
      <c r="D805" s="11" t="s">
        <v>150</v>
      </c>
      <c r="E805" s="3">
        <f t="shared" ca="1" si="12"/>
        <v>376923316</v>
      </c>
      <c r="F805" t="s">
        <v>11</v>
      </c>
      <c r="G805" t="s">
        <v>14</v>
      </c>
      <c r="H805" s="1" t="s">
        <v>236</v>
      </c>
      <c r="I805" t="s">
        <v>22</v>
      </c>
      <c r="J805" s="4">
        <v>3.3</v>
      </c>
      <c r="K805" s="4">
        <v>89.98</v>
      </c>
      <c r="L805" s="4">
        <v>9</v>
      </c>
      <c r="M805" s="4">
        <v>53.09</v>
      </c>
      <c r="N805" s="4">
        <v>127.1</v>
      </c>
      <c r="O805" s="4">
        <v>440.64</v>
      </c>
      <c r="P805" s="4">
        <v>3.8764546470000001</v>
      </c>
      <c r="Q805" s="4">
        <v>71.825999999999993</v>
      </c>
      <c r="R805" t="str" cm="1">
        <f t="array" ref="R805">_xlfn.IFS(B805="NY","New York",B805="TX","Texas",B805="CA","California")</f>
        <v>New York</v>
      </c>
    </row>
    <row r="806" spans="1:18" x14ac:dyDescent="0.3">
      <c r="A806" t="s">
        <v>3</v>
      </c>
      <c r="B806" t="s">
        <v>8</v>
      </c>
      <c r="C806" s="2">
        <v>43312</v>
      </c>
      <c r="D806" s="11" t="s">
        <v>70</v>
      </c>
      <c r="E806" s="3">
        <f t="shared" ca="1" si="12"/>
        <v>822359714</v>
      </c>
      <c r="F806" t="s">
        <v>11</v>
      </c>
      <c r="G806" t="s">
        <v>14</v>
      </c>
      <c r="H806" s="1" t="s">
        <v>236</v>
      </c>
      <c r="I806" t="s">
        <v>18</v>
      </c>
      <c r="J806" s="4">
        <v>6.4</v>
      </c>
      <c r="K806" s="4">
        <v>70.180000000000007</v>
      </c>
      <c r="L806" s="4">
        <v>9</v>
      </c>
      <c r="M806" s="4">
        <v>24.63</v>
      </c>
      <c r="N806" s="4">
        <v>129.5</v>
      </c>
      <c r="O806" s="4">
        <v>680.31</v>
      </c>
      <c r="P806" s="4">
        <v>3.8764546470000001</v>
      </c>
      <c r="Q806" s="4">
        <v>91.570999999999998</v>
      </c>
      <c r="R806" t="str" cm="1">
        <f t="array" ref="R806">_xlfn.IFS(B806="NY","New York",B806="TX","Texas",B806="CA","California")</f>
        <v>California</v>
      </c>
    </row>
    <row r="807" spans="1:18" x14ac:dyDescent="0.3">
      <c r="A807" t="s">
        <v>1</v>
      </c>
      <c r="B807" t="s">
        <v>6</v>
      </c>
      <c r="C807" s="2">
        <v>43450</v>
      </c>
      <c r="D807" s="11" t="s">
        <v>165</v>
      </c>
      <c r="E807" s="3">
        <f t="shared" ca="1" si="12"/>
        <v>568648905</v>
      </c>
      <c r="F807" t="s">
        <v>11</v>
      </c>
      <c r="G807" t="s">
        <v>15</v>
      </c>
      <c r="H807" s="1" t="s">
        <v>236</v>
      </c>
      <c r="I807" t="s">
        <v>19</v>
      </c>
      <c r="J807" s="4">
        <v>2.6</v>
      </c>
      <c r="K807" s="4">
        <v>62.4</v>
      </c>
      <c r="L807" s="4">
        <v>4</v>
      </c>
      <c r="M807" s="4">
        <v>32.25</v>
      </c>
      <c r="N807" s="4">
        <v>126.7</v>
      </c>
      <c r="O807" s="4">
        <v>309.88</v>
      </c>
      <c r="P807" s="4">
        <v>3.8764546470000001</v>
      </c>
      <c r="Q807" s="4">
        <v>45.223999999999997</v>
      </c>
      <c r="R807" t="str" cm="1">
        <f t="array" ref="R807">_xlfn.IFS(B807="NY","New York",B807="TX","Texas",B807="CA","California")</f>
        <v>New York</v>
      </c>
    </row>
    <row r="808" spans="1:18" x14ac:dyDescent="0.3">
      <c r="A808" t="s">
        <v>1</v>
      </c>
      <c r="B808" t="s">
        <v>6</v>
      </c>
      <c r="C808" s="2">
        <v>43390</v>
      </c>
      <c r="D808" s="11" t="s">
        <v>146</v>
      </c>
      <c r="E808" s="3">
        <f t="shared" ca="1" si="12"/>
        <v>261892060</v>
      </c>
      <c r="F808" t="s">
        <v>11</v>
      </c>
      <c r="G808" t="s">
        <v>15</v>
      </c>
      <c r="H808" s="1" t="s">
        <v>237</v>
      </c>
      <c r="I808" t="s">
        <v>20</v>
      </c>
      <c r="J808" s="4">
        <v>4</v>
      </c>
      <c r="K808" s="4">
        <v>44.26</v>
      </c>
      <c r="L808" s="4">
        <v>2</v>
      </c>
      <c r="M808" s="4">
        <v>37.99</v>
      </c>
      <c r="N808" s="4">
        <v>126.6</v>
      </c>
      <c r="O808" s="4">
        <v>186.36</v>
      </c>
      <c r="P808" s="4">
        <v>3.8764546470000001</v>
      </c>
      <c r="Q808" s="4">
        <v>12.59</v>
      </c>
      <c r="R808" t="str" cm="1">
        <f t="array" ref="R808">_xlfn.IFS(B808="NY","New York",B808="TX","Texas",B808="CA","California")</f>
        <v>New York</v>
      </c>
    </row>
    <row r="809" spans="1:18" x14ac:dyDescent="0.3">
      <c r="A809" t="s">
        <v>1</v>
      </c>
      <c r="B809" t="s">
        <v>6</v>
      </c>
      <c r="C809" s="2">
        <v>43081</v>
      </c>
      <c r="D809" s="11" t="s">
        <v>208</v>
      </c>
      <c r="E809" s="3">
        <f t="shared" ca="1" si="12"/>
        <v>193347436</v>
      </c>
      <c r="F809" t="s">
        <v>11</v>
      </c>
      <c r="G809" t="s">
        <v>15</v>
      </c>
      <c r="H809" s="1" t="s">
        <v>236</v>
      </c>
      <c r="I809" t="s">
        <v>18</v>
      </c>
      <c r="J809" s="4">
        <v>1</v>
      </c>
      <c r="K809" s="4">
        <v>96.73</v>
      </c>
      <c r="L809" s="4">
        <v>4</v>
      </c>
      <c r="M809" s="4">
        <v>89.2</v>
      </c>
      <c r="N809" s="4">
        <v>148.54589999999999</v>
      </c>
      <c r="O809" s="4">
        <v>200.92</v>
      </c>
      <c r="P809" s="4">
        <v>3.8764546470000001</v>
      </c>
      <c r="Q809" s="4">
        <v>68.766999999999996</v>
      </c>
      <c r="R809" t="str" cm="1">
        <f t="array" ref="R809">_xlfn.IFS(B809="NY","New York",B809="TX","Texas",B809="CA","California")</f>
        <v>New York</v>
      </c>
    </row>
    <row r="810" spans="1:18" x14ac:dyDescent="0.3">
      <c r="A810" t="s">
        <v>3</v>
      </c>
      <c r="B810" t="s">
        <v>8</v>
      </c>
      <c r="C810" s="2">
        <v>42928</v>
      </c>
      <c r="D810" s="11" t="s">
        <v>42</v>
      </c>
      <c r="E810" s="3">
        <f t="shared" ca="1" si="12"/>
        <v>137796831</v>
      </c>
      <c r="F810" t="s">
        <v>11</v>
      </c>
      <c r="G810" t="s">
        <v>15</v>
      </c>
      <c r="H810" s="1" t="s">
        <v>236</v>
      </c>
      <c r="I810" t="s">
        <v>17</v>
      </c>
      <c r="J810" s="4">
        <v>10</v>
      </c>
      <c r="K810" s="4">
        <v>48.466999999999999</v>
      </c>
      <c r="L810" s="4">
        <v>1</v>
      </c>
      <c r="M810" s="4">
        <v>30.71</v>
      </c>
      <c r="N810" s="4">
        <v>152.83349999999999</v>
      </c>
      <c r="O810" s="4">
        <v>17.75</v>
      </c>
      <c r="P810" s="4">
        <v>3.8764546470000001</v>
      </c>
      <c r="Q810" s="4">
        <v>70.08</v>
      </c>
      <c r="R810" t="str" cm="1">
        <f t="array" ref="R810">_xlfn.IFS(B810="NY","New York",B810="TX","Texas",B810="CA","California")</f>
        <v>California</v>
      </c>
    </row>
    <row r="811" spans="1:18" x14ac:dyDescent="0.3">
      <c r="A811" t="s">
        <v>2</v>
      </c>
      <c r="B811" t="s">
        <v>7</v>
      </c>
      <c r="C811" s="2">
        <v>43115</v>
      </c>
      <c r="D811" s="11" t="s">
        <v>222</v>
      </c>
      <c r="E811" s="3">
        <f t="shared" ca="1" si="12"/>
        <v>892974445</v>
      </c>
      <c r="F811" t="s">
        <v>11</v>
      </c>
      <c r="G811" t="s">
        <v>15</v>
      </c>
      <c r="H811" s="1" t="s">
        <v>235</v>
      </c>
      <c r="I811" t="s">
        <v>22</v>
      </c>
      <c r="J811" s="4">
        <v>9</v>
      </c>
      <c r="K811" s="4">
        <v>34.729999999999997</v>
      </c>
      <c r="L811" s="4">
        <v>10</v>
      </c>
      <c r="M811" s="4">
        <v>33.840000000000003</v>
      </c>
      <c r="N811" s="4">
        <v>126.52209999999999</v>
      </c>
      <c r="O811" s="4">
        <v>621.79999999999995</v>
      </c>
      <c r="P811" s="4">
        <v>3.8764546470000001</v>
      </c>
      <c r="Q811" s="4">
        <v>65.537000000000006</v>
      </c>
      <c r="R811" t="str" cm="1">
        <f t="array" ref="R811">_xlfn.IFS(B811="NY","New York",B811="TX","Texas",B811="CA","California")</f>
        <v>Texas</v>
      </c>
    </row>
    <row r="812" spans="1:18" x14ac:dyDescent="0.3">
      <c r="A812" t="s">
        <v>3</v>
      </c>
      <c r="B812" t="s">
        <v>8</v>
      </c>
      <c r="C812" s="2">
        <v>43462</v>
      </c>
      <c r="D812" s="11" t="s">
        <v>48</v>
      </c>
      <c r="E812" s="3">
        <f t="shared" ca="1" si="12"/>
        <v>695448848</v>
      </c>
      <c r="F812" t="s">
        <v>12</v>
      </c>
      <c r="G812" t="s">
        <v>15</v>
      </c>
      <c r="H812" s="1" t="s">
        <v>235</v>
      </c>
      <c r="I812" t="s">
        <v>17</v>
      </c>
      <c r="J812" s="4">
        <v>2</v>
      </c>
      <c r="K812" s="4">
        <v>89.02</v>
      </c>
      <c r="L812" s="4">
        <v>8</v>
      </c>
      <c r="M812" s="4">
        <v>29.14</v>
      </c>
      <c r="N812" s="4">
        <v>120.44540000000001</v>
      </c>
      <c r="O812" s="4">
        <v>86</v>
      </c>
      <c r="P812" s="4">
        <v>3.8764546470000001</v>
      </c>
      <c r="Q812" s="4">
        <v>82.472999999999999</v>
      </c>
      <c r="R812" t="str" cm="1">
        <f t="array" ref="R812">_xlfn.IFS(B812="NY","New York",B812="TX","Texas",B812="CA","California")</f>
        <v>California</v>
      </c>
    </row>
    <row r="813" spans="1:18" x14ac:dyDescent="0.3">
      <c r="A813" t="s">
        <v>1</v>
      </c>
      <c r="B813" t="s">
        <v>6</v>
      </c>
      <c r="C813" s="2">
        <v>43217</v>
      </c>
      <c r="D813" s="11" t="s">
        <v>158</v>
      </c>
      <c r="E813" s="3">
        <f t="shared" ca="1" si="12"/>
        <v>306401855</v>
      </c>
      <c r="F813" t="s">
        <v>11</v>
      </c>
      <c r="G813" t="s">
        <v>15</v>
      </c>
      <c r="H813" s="1" t="s">
        <v>237</v>
      </c>
      <c r="I813" t="s">
        <v>18</v>
      </c>
      <c r="J813" s="4">
        <v>7</v>
      </c>
      <c r="K813" s="4">
        <v>17.41</v>
      </c>
      <c r="L813" s="4">
        <v>10</v>
      </c>
      <c r="M813" s="4">
        <v>89.7</v>
      </c>
      <c r="N813" s="4">
        <v>159.6</v>
      </c>
      <c r="O813" s="4">
        <v>402.6</v>
      </c>
      <c r="P813" s="4">
        <v>3.8764546470000001</v>
      </c>
      <c r="Q813" s="4">
        <v>51.05</v>
      </c>
      <c r="R813" t="str" cm="1">
        <f t="array" ref="R813">_xlfn.IFS(B813="NY","New York",B813="TX","Texas",B813="CA","California")</f>
        <v>New York</v>
      </c>
    </row>
    <row r="814" spans="1:18" x14ac:dyDescent="0.3">
      <c r="A814" t="s">
        <v>2</v>
      </c>
      <c r="B814" t="s">
        <v>7</v>
      </c>
      <c r="C814" s="2">
        <v>43230</v>
      </c>
      <c r="D814" s="11" t="s">
        <v>172</v>
      </c>
      <c r="E814" s="3">
        <f t="shared" ca="1" si="12"/>
        <v>223545473</v>
      </c>
      <c r="F814" t="s">
        <v>11</v>
      </c>
      <c r="G814" t="s">
        <v>14</v>
      </c>
      <c r="H814" s="1" t="s">
        <v>237</v>
      </c>
      <c r="I814" t="s">
        <v>20</v>
      </c>
      <c r="J814" s="4">
        <v>4</v>
      </c>
      <c r="K814" s="4">
        <v>80.25</v>
      </c>
      <c r="L814" s="4">
        <v>5</v>
      </c>
      <c r="M814" s="4">
        <v>50.93</v>
      </c>
      <c r="N814" s="4">
        <v>184.9</v>
      </c>
      <c r="O814" s="4">
        <v>324.85000000000002</v>
      </c>
      <c r="P814" s="4">
        <v>3.8764546470000001</v>
      </c>
      <c r="Q814" s="4">
        <v>76.3</v>
      </c>
      <c r="R814" t="str" cm="1">
        <f t="array" ref="R814">_xlfn.IFS(B814="NY","New York",B814="TX","Texas",B814="CA","California")</f>
        <v>Texas</v>
      </c>
    </row>
    <row r="815" spans="1:18" x14ac:dyDescent="0.3">
      <c r="A815" t="s">
        <v>1</v>
      </c>
      <c r="B815" t="s">
        <v>6</v>
      </c>
      <c r="C815" s="2">
        <v>42847</v>
      </c>
      <c r="D815" s="11" t="s">
        <v>59</v>
      </c>
      <c r="E815" s="3">
        <f t="shared" ca="1" si="12"/>
        <v>173812184</v>
      </c>
      <c r="F815" t="s">
        <v>12</v>
      </c>
      <c r="G815" t="s">
        <v>15</v>
      </c>
      <c r="H815" s="1" t="s">
        <v>236</v>
      </c>
      <c r="I815" t="s">
        <v>18</v>
      </c>
      <c r="J815" s="4">
        <v>3</v>
      </c>
      <c r="K815" s="4">
        <v>77.989999999999995</v>
      </c>
      <c r="L815" s="4">
        <v>1</v>
      </c>
      <c r="M815" s="4">
        <v>35.5</v>
      </c>
      <c r="N815" s="4">
        <v>169.4</v>
      </c>
      <c r="O815" s="4">
        <v>95.15</v>
      </c>
      <c r="P815" s="4">
        <v>3.8764546470000001</v>
      </c>
      <c r="Q815" s="4">
        <v>18.47</v>
      </c>
      <c r="R815" t="str" cm="1">
        <f t="array" ref="R815">_xlfn.IFS(B815="NY","New York",B815="TX","Texas",B815="CA","California")</f>
        <v>New York</v>
      </c>
    </row>
    <row r="816" spans="1:18" x14ac:dyDescent="0.3">
      <c r="A816" t="s">
        <v>1</v>
      </c>
      <c r="B816" t="s">
        <v>6</v>
      </c>
      <c r="C816" s="2">
        <v>43003</v>
      </c>
      <c r="D816" s="11" t="s">
        <v>233</v>
      </c>
      <c r="E816" s="3">
        <f t="shared" ca="1" si="12"/>
        <v>694474143</v>
      </c>
      <c r="F816" t="s">
        <v>11</v>
      </c>
      <c r="G816" t="s">
        <v>14</v>
      </c>
      <c r="H816" s="1" t="s">
        <v>236</v>
      </c>
      <c r="I816" t="s">
        <v>18</v>
      </c>
      <c r="J816" s="4">
        <v>9</v>
      </c>
      <c r="K816" s="4">
        <v>32.840000000000003</v>
      </c>
      <c r="L816" s="4">
        <v>8</v>
      </c>
      <c r="M816" s="4">
        <v>53.18</v>
      </c>
      <c r="N816" s="4">
        <v>179.1</v>
      </c>
      <c r="O816" s="4">
        <v>388.96</v>
      </c>
      <c r="P816" s="4">
        <v>3.8764546470000001</v>
      </c>
      <c r="Q816" s="4">
        <v>76.75</v>
      </c>
      <c r="R816" t="str" cm="1">
        <f t="array" ref="R816">_xlfn.IFS(B816="NY","New York",B816="TX","Texas",B816="CA","California")</f>
        <v>New York</v>
      </c>
    </row>
    <row r="817" spans="1:18" x14ac:dyDescent="0.3">
      <c r="A817" t="s">
        <v>3</v>
      </c>
      <c r="B817" t="s">
        <v>8</v>
      </c>
      <c r="C817" s="2">
        <v>42951</v>
      </c>
      <c r="D817" s="11" t="s">
        <v>80</v>
      </c>
      <c r="E817" s="3">
        <f t="shared" ca="1" si="12"/>
        <v>86232027</v>
      </c>
      <c r="F817" t="s">
        <v>11</v>
      </c>
      <c r="G817" t="s">
        <v>15</v>
      </c>
      <c r="H817" s="1" t="s">
        <v>235</v>
      </c>
      <c r="I817" t="s">
        <v>21</v>
      </c>
      <c r="J817" s="4">
        <v>2</v>
      </c>
      <c r="K817" s="4">
        <v>49.1</v>
      </c>
      <c r="L817" s="4">
        <v>8</v>
      </c>
      <c r="M817" s="4">
        <v>60.39</v>
      </c>
      <c r="N817" s="4">
        <v>108.9</v>
      </c>
      <c r="O817" s="4">
        <v>425.68</v>
      </c>
      <c r="P817" s="4">
        <v>3.8764546470000001</v>
      </c>
      <c r="Q817" s="4">
        <v>28.02</v>
      </c>
      <c r="R817" t="str" cm="1">
        <f t="array" ref="R817">_xlfn.IFS(B817="NY","New York",B817="TX","Texas",B817="CA","California")</f>
        <v>California</v>
      </c>
    </row>
    <row r="818" spans="1:18" x14ac:dyDescent="0.3">
      <c r="A818" t="s">
        <v>2</v>
      </c>
      <c r="B818" t="s">
        <v>7</v>
      </c>
      <c r="C818" s="2">
        <v>43413</v>
      </c>
      <c r="D818" s="11" t="s">
        <v>52</v>
      </c>
      <c r="E818" s="3">
        <f t="shared" ca="1" si="12"/>
        <v>809996944</v>
      </c>
      <c r="F818" t="s">
        <v>11</v>
      </c>
      <c r="G818" t="s">
        <v>15</v>
      </c>
      <c r="H818" s="1" t="s">
        <v>236</v>
      </c>
      <c r="I818" t="s">
        <v>22</v>
      </c>
      <c r="J818" s="4">
        <v>7</v>
      </c>
      <c r="K818" s="4">
        <v>11.7</v>
      </c>
      <c r="L818" s="4">
        <v>7</v>
      </c>
      <c r="M818" s="4">
        <v>19.510000000000002</v>
      </c>
      <c r="N818" s="4">
        <v>138.131</v>
      </c>
      <c r="O818" s="4">
        <v>318.08</v>
      </c>
      <c r="P818" s="4">
        <v>3.8764546470000001</v>
      </c>
      <c r="Q818" s="4">
        <v>55.14</v>
      </c>
      <c r="R818" t="str" cm="1">
        <f t="array" ref="R818">_xlfn.IFS(B818="NY","New York",B818="TX","Texas",B818="CA","California")</f>
        <v>Texas</v>
      </c>
    </row>
    <row r="819" spans="1:18" x14ac:dyDescent="0.3">
      <c r="A819" t="s">
        <v>1</v>
      </c>
      <c r="B819" t="s">
        <v>6</v>
      </c>
      <c r="C819" s="2">
        <v>42909</v>
      </c>
      <c r="D819" s="11" t="s">
        <v>231</v>
      </c>
      <c r="E819" s="3">
        <f t="shared" ca="1" si="12"/>
        <v>98577930</v>
      </c>
      <c r="F819" t="s">
        <v>12</v>
      </c>
      <c r="G819" t="s">
        <v>15</v>
      </c>
      <c r="H819" s="1" t="s">
        <v>235</v>
      </c>
      <c r="I819" t="s">
        <v>21</v>
      </c>
      <c r="J819" s="4">
        <v>8.1</v>
      </c>
      <c r="K819" s="4">
        <v>68.367999999999995</v>
      </c>
      <c r="L819" s="4">
        <v>8</v>
      </c>
      <c r="M819" s="4">
        <v>17.87</v>
      </c>
      <c r="N819" s="4">
        <v>130.77199999999999</v>
      </c>
      <c r="O819" s="4">
        <v>271.04000000000002</v>
      </c>
      <c r="P819" s="4">
        <v>3.8764546470000001</v>
      </c>
      <c r="Q819" s="4">
        <v>32.840000000000003</v>
      </c>
      <c r="R819" t="str" cm="1">
        <f t="array" ref="R819">_xlfn.IFS(B819="NY","New York",B819="TX","Texas",B819="CA","California")</f>
        <v>New York</v>
      </c>
    </row>
    <row r="820" spans="1:18" x14ac:dyDescent="0.3">
      <c r="A820" t="s">
        <v>3</v>
      </c>
      <c r="B820" t="s">
        <v>8</v>
      </c>
      <c r="C820" s="2">
        <v>43170</v>
      </c>
      <c r="D820" s="11" t="s">
        <v>141</v>
      </c>
      <c r="E820" s="3">
        <f t="shared" ca="1" si="12"/>
        <v>490531314</v>
      </c>
      <c r="F820" t="s">
        <v>12</v>
      </c>
      <c r="G820" t="s">
        <v>14</v>
      </c>
      <c r="H820" s="1" t="s">
        <v>237</v>
      </c>
      <c r="I820" t="s">
        <v>17</v>
      </c>
      <c r="J820" s="4">
        <v>4.5</v>
      </c>
      <c r="K820" s="4">
        <v>95.45</v>
      </c>
      <c r="L820" s="4">
        <v>4</v>
      </c>
      <c r="M820" s="4">
        <v>78.02</v>
      </c>
      <c r="N820" s="4">
        <v>182.2313</v>
      </c>
      <c r="O820" s="4">
        <v>384.64</v>
      </c>
      <c r="P820" s="4">
        <v>3.8764546470000001</v>
      </c>
      <c r="Q820" s="4">
        <v>69.435000000000002</v>
      </c>
      <c r="R820" t="str" cm="1">
        <f t="array" ref="R820">_xlfn.IFS(B820="NY","New York",B820="TX","Texas",B820="CA","California")</f>
        <v>California</v>
      </c>
    </row>
    <row r="821" spans="1:18" x14ac:dyDescent="0.3">
      <c r="A821" t="s">
        <v>3</v>
      </c>
      <c r="B821" t="s">
        <v>8</v>
      </c>
      <c r="C821" s="2">
        <v>43341</v>
      </c>
      <c r="D821" s="11" t="s">
        <v>142</v>
      </c>
      <c r="E821" s="3">
        <f t="shared" ca="1" si="12"/>
        <v>101731325</v>
      </c>
      <c r="F821" t="s">
        <v>12</v>
      </c>
      <c r="G821" t="s">
        <v>14</v>
      </c>
      <c r="H821" s="1" t="s">
        <v>237</v>
      </c>
      <c r="I821" t="s">
        <v>21</v>
      </c>
      <c r="J821" s="4">
        <v>9</v>
      </c>
      <c r="K821" s="4">
        <v>24.18</v>
      </c>
      <c r="L821" s="4">
        <v>5</v>
      </c>
      <c r="M821" s="4">
        <v>12.99</v>
      </c>
      <c r="N821" s="4">
        <v>127.81270000000001</v>
      </c>
      <c r="O821" s="4">
        <v>235.8</v>
      </c>
      <c r="P821" s="4">
        <v>3.8764546470000001</v>
      </c>
      <c r="Q821" s="4">
        <v>55.274999999999999</v>
      </c>
      <c r="R821" t="str" cm="1">
        <f t="array" ref="R821">_xlfn.IFS(B821="NY","New York",B821="TX","Texas",B821="CA","California")</f>
        <v>California</v>
      </c>
    </row>
    <row r="822" spans="1:18" x14ac:dyDescent="0.3">
      <c r="A822" t="s">
        <v>3</v>
      </c>
      <c r="B822" t="s">
        <v>8</v>
      </c>
      <c r="C822" s="2">
        <v>43466</v>
      </c>
      <c r="D822" s="11" t="s">
        <v>87</v>
      </c>
      <c r="E822" s="3">
        <f t="shared" ca="1" si="12"/>
        <v>260733842</v>
      </c>
      <c r="F822" t="s">
        <v>12</v>
      </c>
      <c r="G822" t="s">
        <v>15</v>
      </c>
      <c r="H822" s="1" t="s">
        <v>235</v>
      </c>
      <c r="I822" t="s">
        <v>18</v>
      </c>
      <c r="J822" s="4">
        <v>5.7</v>
      </c>
      <c r="K822" s="4">
        <v>68.45</v>
      </c>
      <c r="L822" s="4">
        <v>4</v>
      </c>
      <c r="M822" s="4">
        <v>22.25</v>
      </c>
      <c r="N822" s="4">
        <v>162.06950000000001</v>
      </c>
      <c r="O822" s="4">
        <v>211.56</v>
      </c>
      <c r="P822" s="4">
        <v>3.8764546470000001</v>
      </c>
      <c r="Q822" s="4">
        <v>67.141000000000005</v>
      </c>
      <c r="R822" t="str" cm="1">
        <f t="array" ref="R822">_xlfn.IFS(B822="NY","New York",B822="TX","Texas",B822="CA","California")</f>
        <v>California</v>
      </c>
    </row>
    <row r="823" spans="1:18" x14ac:dyDescent="0.3">
      <c r="A823" t="s">
        <v>1</v>
      </c>
      <c r="B823" t="s">
        <v>6</v>
      </c>
      <c r="C823" s="2">
        <v>43188</v>
      </c>
      <c r="D823" s="11" t="s">
        <v>162</v>
      </c>
      <c r="E823" s="3">
        <f t="shared" ca="1" si="12"/>
        <v>531316735</v>
      </c>
      <c r="F823" t="s">
        <v>11</v>
      </c>
      <c r="G823" t="s">
        <v>14</v>
      </c>
      <c r="H823" s="1" t="s">
        <v>237</v>
      </c>
      <c r="I823" t="s">
        <v>19</v>
      </c>
      <c r="J823" s="4">
        <v>2.5</v>
      </c>
      <c r="K823" s="4">
        <v>10.66</v>
      </c>
      <c r="L823" s="4">
        <v>2</v>
      </c>
      <c r="M823" s="4">
        <v>72.52</v>
      </c>
      <c r="N823" s="4">
        <v>103.6631</v>
      </c>
      <c r="O823" s="4">
        <v>95.36</v>
      </c>
      <c r="P823" s="4">
        <v>3.8764546470000001</v>
      </c>
      <c r="Q823" s="4">
        <v>56.151000000000003</v>
      </c>
      <c r="R823" t="str" cm="1">
        <f t="array" ref="R823">_xlfn.IFS(B823="NY","New York",B823="TX","Texas",B823="CA","California")</f>
        <v>New York</v>
      </c>
    </row>
    <row r="824" spans="1:18" x14ac:dyDescent="0.3">
      <c r="A824" t="s">
        <v>2</v>
      </c>
      <c r="B824" t="s">
        <v>7</v>
      </c>
      <c r="C824" s="2">
        <v>43091</v>
      </c>
      <c r="D824" s="11" t="s">
        <v>206</v>
      </c>
      <c r="E824" s="3">
        <f t="shared" ca="1" si="12"/>
        <v>47196299</v>
      </c>
      <c r="F824" t="s">
        <v>12</v>
      </c>
      <c r="G824" t="s">
        <v>14</v>
      </c>
      <c r="H824" s="1" t="s">
        <v>236</v>
      </c>
      <c r="I824" t="s">
        <v>20</v>
      </c>
      <c r="J824" s="4">
        <v>2.1</v>
      </c>
      <c r="K824" s="4">
        <v>33.6</v>
      </c>
      <c r="L824" s="4">
        <v>1</v>
      </c>
      <c r="M824" s="4">
        <v>49.76</v>
      </c>
      <c r="N824" s="4">
        <v>100.3</v>
      </c>
      <c r="O824" s="4">
        <v>10.17</v>
      </c>
      <c r="P824" s="4">
        <v>3.8764546470000001</v>
      </c>
      <c r="Q824" s="4">
        <v>16.585999999999999</v>
      </c>
      <c r="R824" t="str" cm="1">
        <f t="array" ref="R824">_xlfn.IFS(B824="NY","New York",B824="TX","Texas",B824="CA","California")</f>
        <v>Texas</v>
      </c>
    </row>
    <row r="825" spans="1:18" x14ac:dyDescent="0.3">
      <c r="A825" t="s">
        <v>1</v>
      </c>
      <c r="B825" t="s">
        <v>6</v>
      </c>
      <c r="C825" s="2">
        <v>43402</v>
      </c>
      <c r="D825" s="11" t="s">
        <v>91</v>
      </c>
      <c r="E825" s="3">
        <f t="shared" ca="1" si="12"/>
        <v>272439299</v>
      </c>
      <c r="F825" t="s">
        <v>11</v>
      </c>
      <c r="G825" t="s">
        <v>15</v>
      </c>
      <c r="H825" s="1" t="s">
        <v>236</v>
      </c>
      <c r="I825" t="s">
        <v>17</v>
      </c>
      <c r="J825" s="4">
        <v>8.6</v>
      </c>
      <c r="K825" s="4">
        <v>90.64</v>
      </c>
      <c r="L825" s="4">
        <v>3</v>
      </c>
      <c r="M825" s="4">
        <v>23.12</v>
      </c>
      <c r="N825" s="4">
        <v>109.1</v>
      </c>
      <c r="O825" s="4">
        <v>206.13</v>
      </c>
      <c r="P825" s="4">
        <v>3.8764546470000001</v>
      </c>
      <c r="Q825" s="4">
        <v>26.27</v>
      </c>
      <c r="R825" t="str" cm="1">
        <f t="array" ref="R825">_xlfn.IFS(B825="NY","New York",B825="TX","Texas",B825="CA","California")</f>
        <v>New York</v>
      </c>
    </row>
    <row r="826" spans="1:18" x14ac:dyDescent="0.3">
      <c r="A826" t="s">
        <v>3</v>
      </c>
      <c r="B826" t="s">
        <v>8</v>
      </c>
      <c r="C826" s="2">
        <v>43077</v>
      </c>
      <c r="D826" s="11" t="s">
        <v>163</v>
      </c>
      <c r="E826" s="3">
        <f t="shared" ca="1" si="12"/>
        <v>450950561</v>
      </c>
      <c r="F826" t="s">
        <v>11</v>
      </c>
      <c r="G826" t="s">
        <v>14</v>
      </c>
      <c r="H826" s="1" t="s">
        <v>237</v>
      </c>
      <c r="I826" t="s">
        <v>20</v>
      </c>
      <c r="J826" s="4">
        <v>8.1999999999999993</v>
      </c>
      <c r="K826" s="4">
        <v>94.350999999999999</v>
      </c>
      <c r="L826" s="4">
        <v>7</v>
      </c>
      <c r="M826" s="4">
        <v>94.46</v>
      </c>
      <c r="N826" s="4">
        <v>126.4</v>
      </c>
      <c r="O826" s="4">
        <v>420.56</v>
      </c>
      <c r="P826" s="4">
        <v>3.8764546470000001</v>
      </c>
      <c r="Q826" s="4">
        <v>71.27</v>
      </c>
      <c r="R826" t="str" cm="1">
        <f t="array" ref="R826">_xlfn.IFS(B826="NY","New York",B826="TX","Texas",B826="CA","California")</f>
        <v>California</v>
      </c>
    </row>
    <row r="827" spans="1:18" x14ac:dyDescent="0.3">
      <c r="A827" t="s">
        <v>1</v>
      </c>
      <c r="B827" t="s">
        <v>6</v>
      </c>
      <c r="C827" s="2">
        <v>43450</v>
      </c>
      <c r="D827" s="11" t="s">
        <v>210</v>
      </c>
      <c r="E827" s="3">
        <f t="shared" ca="1" si="12"/>
        <v>904161758</v>
      </c>
      <c r="F827" t="s">
        <v>11</v>
      </c>
      <c r="G827" t="s">
        <v>14</v>
      </c>
      <c r="H827" s="1" t="s">
        <v>237</v>
      </c>
      <c r="I827" t="s">
        <v>20</v>
      </c>
      <c r="J827" s="4">
        <v>9</v>
      </c>
      <c r="K827" s="4">
        <v>98.98</v>
      </c>
      <c r="L827" s="4">
        <v>4</v>
      </c>
      <c r="M827" s="4">
        <v>15.86</v>
      </c>
      <c r="N827" s="4">
        <v>162.69999999999999</v>
      </c>
      <c r="O827" s="4">
        <v>88.04</v>
      </c>
      <c r="P827" s="4">
        <v>3.8764546470000001</v>
      </c>
      <c r="Q827" s="4">
        <v>70.447999999999993</v>
      </c>
      <c r="R827" t="str" cm="1">
        <f t="array" ref="R827">_xlfn.IFS(B827="NY","New York",B827="TX","Texas",B827="CA","California")</f>
        <v>New York</v>
      </c>
    </row>
    <row r="828" spans="1:18" x14ac:dyDescent="0.3">
      <c r="A828" t="s">
        <v>3</v>
      </c>
      <c r="B828" t="s">
        <v>8</v>
      </c>
      <c r="C828" s="2">
        <v>43196</v>
      </c>
      <c r="D828" s="11" t="s">
        <v>153</v>
      </c>
      <c r="E828" s="3">
        <f t="shared" ca="1" si="12"/>
        <v>554531826</v>
      </c>
      <c r="F828" t="s">
        <v>11</v>
      </c>
      <c r="G828" t="s">
        <v>14</v>
      </c>
      <c r="H828" s="1" t="s">
        <v>237</v>
      </c>
      <c r="I828" t="s">
        <v>17</v>
      </c>
      <c r="J828" s="4">
        <v>3.7</v>
      </c>
      <c r="K828" s="4">
        <v>28.52</v>
      </c>
      <c r="L828" s="4">
        <v>9</v>
      </c>
      <c r="M828" s="4">
        <v>59.15</v>
      </c>
      <c r="N828" s="4">
        <v>160.6</v>
      </c>
      <c r="O828" s="4">
        <v>648.99</v>
      </c>
      <c r="P828" s="4">
        <v>3.8764546470000001</v>
      </c>
      <c r="Q828" s="4">
        <v>94.603999999999999</v>
      </c>
      <c r="R828" t="str" cm="1">
        <f t="array" ref="R828">_xlfn.IFS(B828="NY","New York",B828="TX","Texas",B828="CA","California")</f>
        <v>California</v>
      </c>
    </row>
    <row r="829" spans="1:18" x14ac:dyDescent="0.3">
      <c r="A829" t="s">
        <v>1</v>
      </c>
      <c r="B829" t="s">
        <v>6</v>
      </c>
      <c r="C829" s="2">
        <v>42797</v>
      </c>
      <c r="D829" s="11" t="s">
        <v>169</v>
      </c>
      <c r="E829" s="3">
        <f t="shared" ca="1" si="12"/>
        <v>160278982</v>
      </c>
      <c r="F829" t="s">
        <v>12</v>
      </c>
      <c r="G829" t="s">
        <v>14</v>
      </c>
      <c r="H829" s="1" t="s">
        <v>237</v>
      </c>
      <c r="I829" t="s">
        <v>22</v>
      </c>
      <c r="J829" s="4">
        <v>3.5</v>
      </c>
      <c r="K829" s="4">
        <v>74.89</v>
      </c>
      <c r="L829" s="4">
        <v>3</v>
      </c>
      <c r="M829" s="4">
        <v>61.86</v>
      </c>
      <c r="N829" s="4">
        <v>103.77379999999999</v>
      </c>
      <c r="O829" s="4">
        <v>123.84</v>
      </c>
      <c r="P829" s="4">
        <v>3.8764546470000001</v>
      </c>
      <c r="Q829" s="4">
        <v>59.631999999999998</v>
      </c>
      <c r="R829" t="str" cm="1">
        <f t="array" ref="R829">_xlfn.IFS(B829="NY","New York",B829="TX","Texas",B829="CA","California")</f>
        <v>New York</v>
      </c>
    </row>
    <row r="830" spans="1:18" x14ac:dyDescent="0.3">
      <c r="A830" t="s">
        <v>2</v>
      </c>
      <c r="B830" t="s">
        <v>7</v>
      </c>
      <c r="C830" s="2">
        <v>42848</v>
      </c>
      <c r="D830" s="11" t="s">
        <v>191</v>
      </c>
      <c r="E830" s="3">
        <f t="shared" ca="1" si="12"/>
        <v>714970146</v>
      </c>
      <c r="F830" t="s">
        <v>12</v>
      </c>
      <c r="G830" t="s">
        <v>15</v>
      </c>
      <c r="H830" s="1" t="s">
        <v>236</v>
      </c>
      <c r="I830" t="s">
        <v>18</v>
      </c>
      <c r="J830" s="4">
        <v>5.7</v>
      </c>
      <c r="K830" s="4">
        <v>12.08</v>
      </c>
      <c r="L830" s="4">
        <v>10</v>
      </c>
      <c r="M830" s="4">
        <v>86.41</v>
      </c>
      <c r="N830" s="4">
        <v>162.19839999999999</v>
      </c>
      <c r="O830" s="4">
        <v>649.5</v>
      </c>
      <c r="P830" s="4">
        <v>3.8764546470000001</v>
      </c>
      <c r="Q830" s="4">
        <v>43.11</v>
      </c>
      <c r="R830" t="str" cm="1">
        <f t="array" ref="R830">_xlfn.IFS(B830="NY","New York",B830="TX","Texas",B830="CA","California")</f>
        <v>Texas</v>
      </c>
    </row>
    <row r="831" spans="1:18" x14ac:dyDescent="0.3">
      <c r="A831" t="s">
        <v>1</v>
      </c>
      <c r="B831" t="s">
        <v>6</v>
      </c>
      <c r="C831" s="2">
        <v>43114</v>
      </c>
      <c r="D831" s="11" t="s">
        <v>88</v>
      </c>
      <c r="E831" s="3">
        <f t="shared" ca="1" si="12"/>
        <v>452216491</v>
      </c>
      <c r="F831" t="s">
        <v>11</v>
      </c>
      <c r="G831" t="s">
        <v>14</v>
      </c>
      <c r="H831" s="1" t="s">
        <v>237</v>
      </c>
      <c r="I831" t="s">
        <v>18</v>
      </c>
      <c r="J831" s="4">
        <v>1.3</v>
      </c>
      <c r="K831" s="4">
        <v>93.98</v>
      </c>
      <c r="L831" s="4">
        <v>10</v>
      </c>
      <c r="M831" s="4">
        <v>51.59</v>
      </c>
      <c r="N831" s="4">
        <v>169.77359999999999</v>
      </c>
      <c r="O831" s="4">
        <v>742.2</v>
      </c>
      <c r="P831" s="4">
        <v>3.8764546470000001</v>
      </c>
      <c r="Q831" s="4">
        <v>20.58</v>
      </c>
      <c r="R831" t="str" cm="1">
        <f t="array" ref="R831">_xlfn.IFS(B831="NY","New York",B831="TX","Texas",B831="CA","California")</f>
        <v>New York</v>
      </c>
    </row>
    <row r="832" spans="1:18" x14ac:dyDescent="0.3">
      <c r="A832" t="s">
        <v>1</v>
      </c>
      <c r="B832" t="s">
        <v>6</v>
      </c>
      <c r="C832" s="2">
        <v>43459</v>
      </c>
      <c r="D832" s="11" t="s">
        <v>118</v>
      </c>
      <c r="E832" s="3">
        <f t="shared" ca="1" si="12"/>
        <v>172795506</v>
      </c>
      <c r="F832" t="s">
        <v>12</v>
      </c>
      <c r="G832" t="s">
        <v>15</v>
      </c>
      <c r="H832" s="1" t="s">
        <v>236</v>
      </c>
      <c r="I832" t="s">
        <v>18</v>
      </c>
      <c r="J832" s="4">
        <v>4.7</v>
      </c>
      <c r="K832" s="4">
        <v>94.39</v>
      </c>
      <c r="L832" s="4">
        <v>8</v>
      </c>
      <c r="M832" s="4">
        <v>18.559999999999999</v>
      </c>
      <c r="N832" s="4">
        <v>159.80340000000001</v>
      </c>
      <c r="O832" s="4">
        <v>84.48</v>
      </c>
      <c r="P832" s="4">
        <v>3.8764546470000001</v>
      </c>
      <c r="Q832" s="4">
        <v>19.05</v>
      </c>
      <c r="R832" t="str" cm="1">
        <f t="array" ref="R832">_xlfn.IFS(B832="NY","New York",B832="TX","Texas",B832="CA","California")</f>
        <v>New York</v>
      </c>
    </row>
    <row r="833" spans="1:18" x14ac:dyDescent="0.3">
      <c r="A833" t="s">
        <v>3</v>
      </c>
      <c r="B833" t="s">
        <v>8</v>
      </c>
      <c r="C833" s="2">
        <v>43315</v>
      </c>
      <c r="D833" s="11" t="s">
        <v>163</v>
      </c>
      <c r="E833" s="3">
        <f t="shared" ca="1" si="12"/>
        <v>131336240</v>
      </c>
      <c r="F833" t="s">
        <v>12</v>
      </c>
      <c r="G833" t="s">
        <v>15</v>
      </c>
      <c r="H833" s="1" t="s">
        <v>236</v>
      </c>
      <c r="I833" t="s">
        <v>17</v>
      </c>
      <c r="J833" s="4">
        <v>3.7</v>
      </c>
      <c r="K833" s="4">
        <v>72.69</v>
      </c>
      <c r="L833" s="4">
        <v>4</v>
      </c>
      <c r="M833" s="4">
        <v>26.01</v>
      </c>
      <c r="N833" s="4">
        <v>147.8612</v>
      </c>
      <c r="O833" s="4">
        <v>250.28</v>
      </c>
      <c r="P833" s="4">
        <v>3.8764546470000001</v>
      </c>
      <c r="Q833" s="4">
        <v>23.86</v>
      </c>
      <c r="R833" t="str" cm="1">
        <f t="array" ref="R833">_xlfn.IFS(B833="NY","New York",B833="TX","Texas",B833="CA","California")</f>
        <v>California</v>
      </c>
    </row>
    <row r="834" spans="1:18" x14ac:dyDescent="0.3">
      <c r="A834" t="s">
        <v>3</v>
      </c>
      <c r="B834" t="s">
        <v>8</v>
      </c>
      <c r="C834" s="2">
        <v>43277</v>
      </c>
      <c r="D834" s="11" t="s">
        <v>178</v>
      </c>
      <c r="E834" s="3">
        <f t="shared" ca="1" si="12"/>
        <v>541084782</v>
      </c>
      <c r="F834" t="s">
        <v>11</v>
      </c>
      <c r="G834" t="s">
        <v>14</v>
      </c>
      <c r="H834" s="1" t="s">
        <v>236</v>
      </c>
      <c r="I834" t="s">
        <v>20</v>
      </c>
      <c r="J834" s="4">
        <v>6.2</v>
      </c>
      <c r="K834" s="4">
        <v>83.97</v>
      </c>
      <c r="L834" s="4">
        <v>8</v>
      </c>
      <c r="M834" s="4">
        <v>46.63</v>
      </c>
      <c r="N834" s="4">
        <v>156.60599999999999</v>
      </c>
      <c r="O834" s="4">
        <v>94.8</v>
      </c>
      <c r="P834" s="4">
        <v>3.8764546470000001</v>
      </c>
      <c r="Q834" s="4">
        <v>48</v>
      </c>
      <c r="R834" t="str" cm="1">
        <f t="array" ref="R834">_xlfn.IFS(B834="NY","New York",B834="TX","Texas",B834="CA","California")</f>
        <v>California</v>
      </c>
    </row>
    <row r="835" spans="1:18" x14ac:dyDescent="0.3">
      <c r="A835" t="s">
        <v>1</v>
      </c>
      <c r="B835" t="s">
        <v>6</v>
      </c>
      <c r="C835" s="2">
        <v>43026</v>
      </c>
      <c r="D835" s="11" t="s">
        <v>179</v>
      </c>
      <c r="E835" s="3">
        <f t="shared" ref="E835:E898" ca="1" si="13">RANDBETWEEN(10000000,1000000000)</f>
        <v>609843570</v>
      </c>
      <c r="F835" t="s">
        <v>12</v>
      </c>
      <c r="G835" t="s">
        <v>14</v>
      </c>
      <c r="H835" s="1" t="s">
        <v>235</v>
      </c>
      <c r="I835" t="s">
        <v>17</v>
      </c>
      <c r="J835" s="4">
        <v>8.1</v>
      </c>
      <c r="K835" s="4">
        <v>63.52</v>
      </c>
      <c r="L835" s="4">
        <v>1</v>
      </c>
      <c r="M835" s="4">
        <v>93.21</v>
      </c>
      <c r="N835" s="4">
        <v>115.1</v>
      </c>
      <c r="O835" s="4">
        <v>91.3</v>
      </c>
      <c r="P835" s="4">
        <v>3.8764546470000001</v>
      </c>
      <c r="Q835" s="4">
        <v>51.93</v>
      </c>
      <c r="R835" t="str" cm="1">
        <f t="array" ref="R835">_xlfn.IFS(B835="NY","New York",B835="TX","Texas",B835="CA","California")</f>
        <v>New York</v>
      </c>
    </row>
    <row r="836" spans="1:18" x14ac:dyDescent="0.3">
      <c r="A836" t="s">
        <v>3</v>
      </c>
      <c r="B836" t="s">
        <v>8</v>
      </c>
      <c r="C836" s="2">
        <v>43268</v>
      </c>
      <c r="D836" s="11" t="s">
        <v>102</v>
      </c>
      <c r="E836" s="3">
        <f t="shared" ca="1" si="13"/>
        <v>159293415</v>
      </c>
      <c r="F836" t="s">
        <v>11</v>
      </c>
      <c r="G836" t="s">
        <v>14</v>
      </c>
      <c r="H836" s="1" t="s">
        <v>235</v>
      </c>
      <c r="I836" t="s">
        <v>19</v>
      </c>
      <c r="J836" s="4">
        <v>6</v>
      </c>
      <c r="K836" s="4">
        <v>70.58</v>
      </c>
      <c r="L836" s="4">
        <v>7</v>
      </c>
      <c r="M836" s="4">
        <v>39.700000000000003</v>
      </c>
      <c r="N836" s="4">
        <v>137.80000000000001</v>
      </c>
      <c r="O836" s="4">
        <v>285.11</v>
      </c>
      <c r="P836" s="4">
        <v>3.8764546470000001</v>
      </c>
      <c r="Q836" s="4">
        <v>58.89</v>
      </c>
      <c r="R836" t="str" cm="1">
        <f t="array" ref="R836">_xlfn.IFS(B836="NY","New York",B836="TX","Texas",B836="CA","California")</f>
        <v>California</v>
      </c>
    </row>
    <row r="837" spans="1:18" x14ac:dyDescent="0.3">
      <c r="A837" t="s">
        <v>1</v>
      </c>
      <c r="B837" t="s">
        <v>6</v>
      </c>
      <c r="C837" s="2">
        <v>43314</v>
      </c>
      <c r="D837" s="11" t="s">
        <v>158</v>
      </c>
      <c r="E837" s="3">
        <f t="shared" ca="1" si="13"/>
        <v>952528059</v>
      </c>
      <c r="F837" t="s">
        <v>12</v>
      </c>
      <c r="G837" t="s">
        <v>15</v>
      </c>
      <c r="H837" s="1" t="s">
        <v>236</v>
      </c>
      <c r="I837" t="s">
        <v>22</v>
      </c>
      <c r="J837" s="4">
        <v>5</v>
      </c>
      <c r="K837" s="4">
        <v>63.61</v>
      </c>
      <c r="L837" s="4">
        <v>1</v>
      </c>
      <c r="M837" s="4">
        <v>15.24</v>
      </c>
      <c r="N837" s="4">
        <v>127.2</v>
      </c>
      <c r="O837" s="4">
        <v>52.38</v>
      </c>
      <c r="P837" s="4">
        <v>3.8764546470000001</v>
      </c>
      <c r="Q837" s="4">
        <v>75.12</v>
      </c>
      <c r="R837" t="str" cm="1">
        <f t="array" ref="R837">_xlfn.IFS(B837="NY","New York",B837="TX","Texas",B837="CA","California")</f>
        <v>New York</v>
      </c>
    </row>
    <row r="838" spans="1:18" x14ac:dyDescent="0.3">
      <c r="A838" t="s">
        <v>1</v>
      </c>
      <c r="B838" t="s">
        <v>6</v>
      </c>
      <c r="C838" s="2">
        <v>43447</v>
      </c>
      <c r="D838" s="11" t="s">
        <v>136</v>
      </c>
      <c r="E838" s="3">
        <f t="shared" ca="1" si="13"/>
        <v>928120164</v>
      </c>
      <c r="F838" t="s">
        <v>12</v>
      </c>
      <c r="G838" t="s">
        <v>14</v>
      </c>
      <c r="H838" s="1" t="s">
        <v>235</v>
      </c>
      <c r="I838" t="s">
        <v>22</v>
      </c>
      <c r="J838" s="4">
        <v>4.9000000000000004</v>
      </c>
      <c r="K838" s="4">
        <v>58.51</v>
      </c>
      <c r="L838" s="4">
        <v>5</v>
      </c>
      <c r="M838" s="4">
        <v>92.91</v>
      </c>
      <c r="N838" s="4">
        <v>184.7</v>
      </c>
      <c r="O838" s="4">
        <v>192.7</v>
      </c>
      <c r="P838" s="4">
        <v>3.8764546470000001</v>
      </c>
      <c r="Q838" s="4">
        <v>98.4</v>
      </c>
      <c r="R838" t="str" cm="1">
        <f t="array" ref="R838">_xlfn.IFS(B838="NY","New York",B838="TX","Texas",B838="CA","California")</f>
        <v>New York</v>
      </c>
    </row>
    <row r="839" spans="1:18" x14ac:dyDescent="0.3">
      <c r="A839" t="s">
        <v>3</v>
      </c>
      <c r="B839" t="s">
        <v>8</v>
      </c>
      <c r="C839" s="2">
        <v>43175</v>
      </c>
      <c r="D839" s="11" t="s">
        <v>226</v>
      </c>
      <c r="E839" s="3">
        <f t="shared" ca="1" si="13"/>
        <v>276364493</v>
      </c>
      <c r="F839" t="s">
        <v>12</v>
      </c>
      <c r="G839" t="s">
        <v>15</v>
      </c>
      <c r="H839" s="1" t="s">
        <v>237</v>
      </c>
      <c r="I839" t="s">
        <v>20</v>
      </c>
      <c r="J839" s="4">
        <v>3.7</v>
      </c>
      <c r="K839" s="4">
        <v>87.05</v>
      </c>
      <c r="L839" s="4">
        <v>6</v>
      </c>
      <c r="M839" s="4">
        <v>89.21</v>
      </c>
      <c r="N839" s="4">
        <v>146.80000000000001</v>
      </c>
      <c r="O839" s="4">
        <v>267.77999999999997</v>
      </c>
      <c r="P839" s="4">
        <v>3.8764546470000001</v>
      </c>
      <c r="Q839" s="4">
        <v>26.632999999999999</v>
      </c>
      <c r="R839" t="str" cm="1">
        <f t="array" ref="R839">_xlfn.IFS(B839="NY","New York",B839="TX","Texas",B839="CA","California")</f>
        <v>California</v>
      </c>
    </row>
    <row r="840" spans="1:18" x14ac:dyDescent="0.3">
      <c r="A840" t="s">
        <v>2</v>
      </c>
      <c r="B840" t="s">
        <v>7</v>
      </c>
      <c r="C840" s="2">
        <v>42839</v>
      </c>
      <c r="D840" s="11" t="s">
        <v>41</v>
      </c>
      <c r="E840" s="3">
        <f t="shared" ca="1" si="13"/>
        <v>411378099</v>
      </c>
      <c r="F840" t="s">
        <v>12</v>
      </c>
      <c r="G840" t="s">
        <v>15</v>
      </c>
      <c r="H840" s="1" t="s">
        <v>236</v>
      </c>
      <c r="I840" t="s">
        <v>18</v>
      </c>
      <c r="J840" s="4">
        <v>8.3000000000000007</v>
      </c>
      <c r="K840" s="4">
        <v>98.95</v>
      </c>
      <c r="L840" s="4">
        <v>10</v>
      </c>
      <c r="M840" s="4">
        <v>47.02</v>
      </c>
      <c r="N840" s="4">
        <v>148.6</v>
      </c>
      <c r="O840" s="4">
        <v>558.70000000000005</v>
      </c>
      <c r="P840" s="4">
        <v>3.8764546470000001</v>
      </c>
      <c r="Q840" s="4">
        <v>53.823999999999998</v>
      </c>
      <c r="R840" t="str" cm="1">
        <f t="array" ref="R840">_xlfn.IFS(B840="NY","New York",B840="TX","Texas",B840="CA","California")</f>
        <v>Texas</v>
      </c>
    </row>
    <row r="841" spans="1:18" x14ac:dyDescent="0.3">
      <c r="A841" t="s">
        <v>2</v>
      </c>
      <c r="B841" t="s">
        <v>7</v>
      </c>
      <c r="C841" s="2">
        <v>42884</v>
      </c>
      <c r="D841" s="11" t="s">
        <v>161</v>
      </c>
      <c r="E841" s="3">
        <f t="shared" ca="1" si="13"/>
        <v>585293649</v>
      </c>
      <c r="F841" t="s">
        <v>11</v>
      </c>
      <c r="G841" t="s">
        <v>14</v>
      </c>
      <c r="H841" s="1" t="s">
        <v>235</v>
      </c>
      <c r="I841" t="s">
        <v>20</v>
      </c>
      <c r="J841" s="4">
        <v>2.1</v>
      </c>
      <c r="K841" s="4">
        <v>15.68</v>
      </c>
      <c r="L841" s="4">
        <v>6</v>
      </c>
      <c r="M841" s="4">
        <v>92.17</v>
      </c>
      <c r="N841" s="4">
        <v>131.78290000000001</v>
      </c>
      <c r="O841" s="4">
        <v>175.32</v>
      </c>
      <c r="P841" s="4">
        <v>3.8764546470000001</v>
      </c>
      <c r="Q841" s="4">
        <v>16.065000000000001</v>
      </c>
      <c r="R841" t="str" cm="1">
        <f t="array" ref="R841">_xlfn.IFS(B841="NY","New York",B841="TX","Texas",B841="CA","California")</f>
        <v>Texas</v>
      </c>
    </row>
    <row r="842" spans="1:18" x14ac:dyDescent="0.3">
      <c r="A842" t="s">
        <v>1</v>
      </c>
      <c r="B842" t="s">
        <v>6</v>
      </c>
      <c r="C842" s="2">
        <v>43088</v>
      </c>
      <c r="D842" s="11" t="s">
        <v>44</v>
      </c>
      <c r="E842" s="3">
        <f t="shared" ca="1" si="13"/>
        <v>414679721</v>
      </c>
      <c r="F842" t="s">
        <v>12</v>
      </c>
      <c r="G842" t="s">
        <v>15</v>
      </c>
      <c r="H842" s="1" t="s">
        <v>236</v>
      </c>
      <c r="I842" t="s">
        <v>22</v>
      </c>
      <c r="J842" s="4">
        <v>3.6</v>
      </c>
      <c r="K842" s="4">
        <v>53.9</v>
      </c>
      <c r="L842" s="4">
        <v>3</v>
      </c>
      <c r="M842" s="4">
        <v>88.5</v>
      </c>
      <c r="N842" s="4">
        <v>147.45179999999999</v>
      </c>
      <c r="O842" s="4">
        <v>155.82</v>
      </c>
      <c r="P842" s="4">
        <v>3.8764546470000001</v>
      </c>
      <c r="Q842" s="4">
        <v>98.091999999999999</v>
      </c>
      <c r="R842" t="str" cm="1">
        <f t="array" ref="R842">_xlfn.IFS(B842="NY","New York",B842="TX","Texas",B842="CA","California")</f>
        <v>New York</v>
      </c>
    </row>
    <row r="843" spans="1:18" x14ac:dyDescent="0.3">
      <c r="A843" t="s">
        <v>3</v>
      </c>
      <c r="B843" t="s">
        <v>8</v>
      </c>
      <c r="C843" s="2">
        <v>43092</v>
      </c>
      <c r="D843" s="11" t="s">
        <v>30</v>
      </c>
      <c r="E843" s="3">
        <f t="shared" ca="1" si="13"/>
        <v>871263423</v>
      </c>
      <c r="F843" t="s">
        <v>12</v>
      </c>
      <c r="G843" t="s">
        <v>15</v>
      </c>
      <c r="H843" s="1" t="s">
        <v>236</v>
      </c>
      <c r="I843" t="s">
        <v>18</v>
      </c>
      <c r="J843" s="4">
        <v>4</v>
      </c>
      <c r="K843" s="4">
        <v>10.29</v>
      </c>
      <c r="L843" s="4">
        <v>1</v>
      </c>
      <c r="M843" s="4">
        <v>91.39</v>
      </c>
      <c r="N843" s="4">
        <v>129.2183</v>
      </c>
      <c r="O843" s="4">
        <v>60.3</v>
      </c>
      <c r="P843" s="4">
        <v>3.8764546470000001</v>
      </c>
      <c r="Q843" s="4">
        <v>56.906999999999996</v>
      </c>
      <c r="R843" t="str" cm="1">
        <f t="array" ref="R843">_xlfn.IFS(B843="NY","New York",B843="TX","Texas",B843="CA","California")</f>
        <v>California</v>
      </c>
    </row>
    <row r="844" spans="1:18" x14ac:dyDescent="0.3">
      <c r="A844" t="s">
        <v>1</v>
      </c>
      <c r="B844" t="s">
        <v>6</v>
      </c>
      <c r="C844" s="2">
        <v>43092</v>
      </c>
      <c r="D844" s="11" t="s">
        <v>152</v>
      </c>
      <c r="E844" s="3">
        <f t="shared" ca="1" si="13"/>
        <v>550818036</v>
      </c>
      <c r="F844" t="s">
        <v>11</v>
      </c>
      <c r="G844" t="s">
        <v>14</v>
      </c>
      <c r="H844" s="1" t="s">
        <v>237</v>
      </c>
      <c r="I844" t="s">
        <v>20</v>
      </c>
      <c r="J844" s="4">
        <v>5</v>
      </c>
      <c r="K844" s="4">
        <v>42.07</v>
      </c>
      <c r="L844" s="4">
        <v>2</v>
      </c>
      <c r="M844" s="4">
        <v>84.09</v>
      </c>
      <c r="N844" s="4">
        <v>165.56569999999999</v>
      </c>
      <c r="O844" s="4">
        <v>78.94</v>
      </c>
      <c r="P844" s="4">
        <v>3.8764546470000001</v>
      </c>
      <c r="Q844" s="4">
        <v>48.957000000000001</v>
      </c>
      <c r="R844" t="str" cm="1">
        <f t="array" ref="R844">_xlfn.IFS(B844="NY","New York",B844="TX","Texas",B844="CA","California")</f>
        <v>New York</v>
      </c>
    </row>
    <row r="845" spans="1:18" x14ac:dyDescent="0.3">
      <c r="A845" t="s">
        <v>2</v>
      </c>
      <c r="B845" t="s">
        <v>7</v>
      </c>
      <c r="C845" s="2">
        <v>43046</v>
      </c>
      <c r="D845" s="11" t="s">
        <v>101</v>
      </c>
      <c r="E845" s="3">
        <f t="shared" ca="1" si="13"/>
        <v>324171241</v>
      </c>
      <c r="F845" t="s">
        <v>11</v>
      </c>
      <c r="G845" t="s">
        <v>14</v>
      </c>
      <c r="H845" s="1" t="s">
        <v>237</v>
      </c>
      <c r="I845" t="s">
        <v>21</v>
      </c>
      <c r="J845" s="4">
        <v>1</v>
      </c>
      <c r="K845" s="4">
        <v>75.774000000000001</v>
      </c>
      <c r="L845" s="4">
        <v>2</v>
      </c>
      <c r="M845" s="4">
        <v>84.49</v>
      </c>
      <c r="N845" s="4">
        <v>161.727</v>
      </c>
      <c r="O845" s="4">
        <v>29.74</v>
      </c>
      <c r="P845" s="4">
        <v>3.8764546470000001</v>
      </c>
      <c r="Q845" s="4">
        <v>93.355000000000004</v>
      </c>
      <c r="R845" t="str" cm="1">
        <f t="array" ref="R845">_xlfn.IFS(B845="NY","New York",B845="TX","Texas",B845="CA","California")</f>
        <v>Texas</v>
      </c>
    </row>
    <row r="846" spans="1:18" x14ac:dyDescent="0.3">
      <c r="A846" t="s">
        <v>1</v>
      </c>
      <c r="B846" t="s">
        <v>6</v>
      </c>
      <c r="C846" s="2">
        <v>43407</v>
      </c>
      <c r="D846" s="11" t="s">
        <v>49</v>
      </c>
      <c r="E846" s="3">
        <f t="shared" ca="1" si="13"/>
        <v>720301228</v>
      </c>
      <c r="F846" t="s">
        <v>12</v>
      </c>
      <c r="G846" t="s">
        <v>15</v>
      </c>
      <c r="H846" s="1" t="s">
        <v>236</v>
      </c>
      <c r="I846" t="s">
        <v>22</v>
      </c>
      <c r="J846" s="4">
        <v>3</v>
      </c>
      <c r="K846" s="4">
        <v>60.27</v>
      </c>
      <c r="L846" s="4">
        <v>1</v>
      </c>
      <c r="M846" s="4">
        <v>29.14</v>
      </c>
      <c r="N846" s="4">
        <v>136.4597</v>
      </c>
      <c r="O846" s="4">
        <v>21.32</v>
      </c>
      <c r="P846" s="4">
        <v>3.8764546470000001</v>
      </c>
      <c r="Q846" s="4">
        <v>21.76</v>
      </c>
      <c r="R846" t="str" cm="1">
        <f t="array" ref="R846">_xlfn.IFS(B846="NY","New York",B846="TX","Texas",B846="CA","California")</f>
        <v>New York</v>
      </c>
    </row>
    <row r="847" spans="1:18" x14ac:dyDescent="0.3">
      <c r="A847" t="s">
        <v>1</v>
      </c>
      <c r="B847" t="s">
        <v>6</v>
      </c>
      <c r="C847" s="2">
        <v>43422</v>
      </c>
      <c r="D847" s="11" t="s">
        <v>140</v>
      </c>
      <c r="E847" s="3">
        <f t="shared" ca="1" si="13"/>
        <v>562093577</v>
      </c>
      <c r="F847" t="s">
        <v>12</v>
      </c>
      <c r="G847" t="s">
        <v>14</v>
      </c>
      <c r="H847" s="1" t="s">
        <v>237</v>
      </c>
      <c r="I847" t="s">
        <v>18</v>
      </c>
      <c r="J847" s="4">
        <v>5.6</v>
      </c>
      <c r="K847" s="4">
        <v>62.25</v>
      </c>
      <c r="L847" s="4">
        <v>3</v>
      </c>
      <c r="M847" s="4">
        <v>39.72</v>
      </c>
      <c r="N847" s="4">
        <v>159.0924</v>
      </c>
      <c r="O847" s="4">
        <v>281.33999999999997</v>
      </c>
      <c r="P847" s="4">
        <v>3.8764546470000001</v>
      </c>
      <c r="Q847" s="4">
        <v>84.61</v>
      </c>
      <c r="R847" t="str" cm="1">
        <f t="array" ref="R847">_xlfn.IFS(B847="NY","New York",B847="TX","Texas",B847="CA","California")</f>
        <v>New York</v>
      </c>
    </row>
    <row r="848" spans="1:18" x14ac:dyDescent="0.3">
      <c r="A848" t="s">
        <v>1</v>
      </c>
      <c r="B848" t="s">
        <v>6</v>
      </c>
      <c r="C848" s="2">
        <v>43160</v>
      </c>
      <c r="D848" s="11" t="s">
        <v>48</v>
      </c>
      <c r="E848" s="3">
        <f t="shared" ca="1" si="13"/>
        <v>914818288</v>
      </c>
      <c r="F848" t="s">
        <v>12</v>
      </c>
      <c r="G848" t="s">
        <v>14</v>
      </c>
      <c r="H848" s="1" t="s">
        <v>235</v>
      </c>
      <c r="I848" t="s">
        <v>18</v>
      </c>
      <c r="J848" s="4">
        <v>5.5</v>
      </c>
      <c r="K848" s="4">
        <v>29.73</v>
      </c>
      <c r="L848" s="4">
        <v>1</v>
      </c>
      <c r="M848" s="4">
        <v>40.65</v>
      </c>
      <c r="N848" s="4">
        <v>114.8</v>
      </c>
      <c r="O848" s="4">
        <v>73.260000000000005</v>
      </c>
      <c r="P848" s="4">
        <v>3.8764546470000001</v>
      </c>
      <c r="Q848" s="4">
        <v>64.599999999999994</v>
      </c>
      <c r="R848" t="str" cm="1">
        <f t="array" ref="R848">_xlfn.IFS(B848="NY","New York",B848="TX","Texas",B848="CA","California")</f>
        <v>New York</v>
      </c>
    </row>
    <row r="849" spans="1:18" x14ac:dyDescent="0.3">
      <c r="A849" t="s">
        <v>2</v>
      </c>
      <c r="B849" t="s">
        <v>7</v>
      </c>
      <c r="C849" s="2">
        <v>43212</v>
      </c>
      <c r="D849" s="11" t="s">
        <v>80</v>
      </c>
      <c r="E849" s="3">
        <f t="shared" ca="1" si="13"/>
        <v>121383538</v>
      </c>
      <c r="F849" t="s">
        <v>11</v>
      </c>
      <c r="G849" t="s">
        <v>15</v>
      </c>
      <c r="H849" s="1" t="s">
        <v>237</v>
      </c>
      <c r="I849" t="s">
        <v>20</v>
      </c>
      <c r="J849" s="4">
        <v>5.2</v>
      </c>
      <c r="K849" s="4">
        <v>68.36</v>
      </c>
      <c r="L849" s="4">
        <v>1</v>
      </c>
      <c r="M849" s="4">
        <v>12.61</v>
      </c>
      <c r="N849" s="4">
        <v>139.1123</v>
      </c>
      <c r="O849" s="4">
        <v>22.38</v>
      </c>
      <c r="P849" s="4">
        <v>3.8764546470000001</v>
      </c>
      <c r="Q849" s="4">
        <v>51.05</v>
      </c>
      <c r="R849" t="str" cm="1">
        <f t="array" ref="R849">_xlfn.IFS(B849="NY","New York",B849="TX","Texas",B849="CA","California")</f>
        <v>Texas</v>
      </c>
    </row>
    <row r="850" spans="1:18" x14ac:dyDescent="0.3">
      <c r="A850" t="s">
        <v>2</v>
      </c>
      <c r="B850" t="s">
        <v>7</v>
      </c>
      <c r="C850" s="2">
        <v>43370</v>
      </c>
      <c r="D850" s="11" t="s">
        <v>31</v>
      </c>
      <c r="E850" s="3">
        <f t="shared" ca="1" si="13"/>
        <v>232655357</v>
      </c>
      <c r="F850" t="s">
        <v>11</v>
      </c>
      <c r="G850" t="s">
        <v>14</v>
      </c>
      <c r="H850" s="1" t="s">
        <v>236</v>
      </c>
      <c r="I850" t="s">
        <v>21</v>
      </c>
      <c r="J850" s="4">
        <v>6.2</v>
      </c>
      <c r="K850" s="4">
        <v>39.86</v>
      </c>
      <c r="L850" s="4">
        <v>9</v>
      </c>
      <c r="M850" s="4">
        <v>11.49</v>
      </c>
      <c r="N850" s="4">
        <v>176.5385</v>
      </c>
      <c r="O850" s="4">
        <v>655.92</v>
      </c>
      <c r="P850" s="4">
        <v>3.8764546470000001</v>
      </c>
      <c r="Q850" s="4">
        <v>23.233000000000001</v>
      </c>
      <c r="R850" t="str" cm="1">
        <f t="array" ref="R850">_xlfn.IFS(B850="NY","New York",B850="TX","Texas",B850="CA","California")</f>
        <v>Texas</v>
      </c>
    </row>
    <row r="851" spans="1:18" x14ac:dyDescent="0.3">
      <c r="A851" t="s">
        <v>1</v>
      </c>
      <c r="B851" t="s">
        <v>6</v>
      </c>
      <c r="C851" s="2">
        <v>43346</v>
      </c>
      <c r="D851" s="11" t="s">
        <v>199</v>
      </c>
      <c r="E851" s="3">
        <f t="shared" ca="1" si="13"/>
        <v>474015247</v>
      </c>
      <c r="F851" t="s">
        <v>11</v>
      </c>
      <c r="G851" t="s">
        <v>15</v>
      </c>
      <c r="H851" s="1" t="s">
        <v>236</v>
      </c>
      <c r="I851" t="s">
        <v>22</v>
      </c>
      <c r="J851" s="4">
        <v>1.9</v>
      </c>
      <c r="K851" s="4">
        <v>39.838000000000001</v>
      </c>
      <c r="L851" s="4">
        <v>6</v>
      </c>
      <c r="M851" s="4">
        <v>64.22</v>
      </c>
      <c r="N851" s="4">
        <v>173.61070000000001</v>
      </c>
      <c r="O851" s="4">
        <v>594.6</v>
      </c>
      <c r="P851" s="4">
        <v>3.8764546470000001</v>
      </c>
      <c r="Q851" s="4">
        <v>91.659000000000006</v>
      </c>
      <c r="R851" t="str" cm="1">
        <f t="array" ref="R851">_xlfn.IFS(B851="NY","New York",B851="TX","Texas",B851="CA","California")</f>
        <v>New York</v>
      </c>
    </row>
    <row r="852" spans="1:18" x14ac:dyDescent="0.3">
      <c r="A852" t="s">
        <v>1</v>
      </c>
      <c r="B852" t="s">
        <v>6</v>
      </c>
      <c r="C852" s="2">
        <v>43325</v>
      </c>
      <c r="D852" s="11" t="s">
        <v>213</v>
      </c>
      <c r="E852" s="3">
        <f t="shared" ca="1" si="13"/>
        <v>761016032</v>
      </c>
      <c r="F852" t="s">
        <v>12</v>
      </c>
      <c r="G852" t="s">
        <v>15</v>
      </c>
      <c r="H852" s="1" t="s">
        <v>236</v>
      </c>
      <c r="I852" t="s">
        <v>22</v>
      </c>
      <c r="J852" s="4">
        <v>8.4</v>
      </c>
      <c r="K852" s="4">
        <v>34.880000000000003</v>
      </c>
      <c r="L852" s="4">
        <v>1</v>
      </c>
      <c r="M852" s="4">
        <v>43.97</v>
      </c>
      <c r="N852" s="4">
        <v>145.37880000000001</v>
      </c>
      <c r="O852" s="4">
        <v>74.099999999999994</v>
      </c>
      <c r="P852" s="4">
        <v>3.8764546470000001</v>
      </c>
      <c r="Q852" s="4">
        <v>36.86</v>
      </c>
      <c r="R852" t="str" cm="1">
        <f t="array" ref="R852">_xlfn.IFS(B852="NY","New York",B852="TX","Texas",B852="CA","California")</f>
        <v>New York</v>
      </c>
    </row>
    <row r="853" spans="1:18" x14ac:dyDescent="0.3">
      <c r="A853" t="s">
        <v>1</v>
      </c>
      <c r="B853" t="s">
        <v>6</v>
      </c>
      <c r="C853" s="2">
        <v>43256</v>
      </c>
      <c r="D853" s="11" t="s">
        <v>79</v>
      </c>
      <c r="E853" s="3">
        <f t="shared" ca="1" si="13"/>
        <v>799444994</v>
      </c>
      <c r="F853" t="s">
        <v>11</v>
      </c>
      <c r="G853" t="s">
        <v>15</v>
      </c>
      <c r="H853" s="1" t="s">
        <v>235</v>
      </c>
      <c r="I853" t="s">
        <v>22</v>
      </c>
      <c r="J853" s="4">
        <v>8.8000000000000007</v>
      </c>
      <c r="K853" s="4">
        <v>15.26</v>
      </c>
      <c r="L853" s="4">
        <v>2</v>
      </c>
      <c r="M853" s="4">
        <v>57</v>
      </c>
      <c r="N853" s="4">
        <v>115.8</v>
      </c>
      <c r="O853" s="4">
        <v>196.96</v>
      </c>
      <c r="P853" s="4">
        <v>3.8764546470000001</v>
      </c>
      <c r="Q853" s="4">
        <v>26.826000000000001</v>
      </c>
      <c r="R853" t="str" cm="1">
        <f t="array" ref="R853">_xlfn.IFS(B853="NY","New York",B853="TX","Texas",B853="CA","California")</f>
        <v>New York</v>
      </c>
    </row>
    <row r="854" spans="1:18" x14ac:dyDescent="0.3">
      <c r="A854" t="s">
        <v>2</v>
      </c>
      <c r="B854" t="s">
        <v>7</v>
      </c>
      <c r="C854" s="2">
        <v>43418</v>
      </c>
      <c r="D854" s="11" t="s">
        <v>161</v>
      </c>
      <c r="E854" s="3">
        <f t="shared" ca="1" si="13"/>
        <v>293215651</v>
      </c>
      <c r="F854" t="s">
        <v>12</v>
      </c>
      <c r="G854" t="s">
        <v>15</v>
      </c>
      <c r="H854" s="1" t="s">
        <v>235</v>
      </c>
      <c r="I854" t="s">
        <v>17</v>
      </c>
      <c r="J854" s="4">
        <v>4.8</v>
      </c>
      <c r="K854" s="4">
        <v>10.76</v>
      </c>
      <c r="L854" s="4">
        <v>7</v>
      </c>
      <c r="M854" s="4">
        <v>70.52</v>
      </c>
      <c r="N854" s="4">
        <v>125.9928</v>
      </c>
      <c r="O854" s="4">
        <v>372.33</v>
      </c>
      <c r="P854" s="4">
        <v>3.8764546470000001</v>
      </c>
      <c r="Q854" s="4">
        <v>28.606000000000002</v>
      </c>
      <c r="R854" t="str" cm="1">
        <f t="array" ref="R854">_xlfn.IFS(B854="NY","New York",B854="TX","Texas",B854="CA","California")</f>
        <v>Texas</v>
      </c>
    </row>
    <row r="855" spans="1:18" x14ac:dyDescent="0.3">
      <c r="A855" t="s">
        <v>3</v>
      </c>
      <c r="B855" t="s">
        <v>8</v>
      </c>
      <c r="C855" s="2">
        <v>43211</v>
      </c>
      <c r="D855" s="11" t="s">
        <v>188</v>
      </c>
      <c r="E855" s="3">
        <f t="shared" ca="1" si="13"/>
        <v>714808557</v>
      </c>
      <c r="F855" t="s">
        <v>11</v>
      </c>
      <c r="G855" t="s">
        <v>15</v>
      </c>
      <c r="H855" s="1" t="s">
        <v>235</v>
      </c>
      <c r="I855" t="s">
        <v>18</v>
      </c>
      <c r="J855" s="4">
        <v>6.8</v>
      </c>
      <c r="K855" s="4">
        <v>87.8</v>
      </c>
      <c r="L855" s="4">
        <v>10</v>
      </c>
      <c r="M855" s="4">
        <v>19.989999999999998</v>
      </c>
      <c r="N855" s="4">
        <v>155.13460000000001</v>
      </c>
      <c r="O855" s="4">
        <v>527.9</v>
      </c>
      <c r="P855" s="4">
        <v>3.8764546470000001</v>
      </c>
      <c r="Q855" s="4">
        <v>54.621000000000002</v>
      </c>
      <c r="R855" t="str" cm="1">
        <f t="array" ref="R855">_xlfn.IFS(B855="NY","New York",B855="TX","Texas",B855="CA","California")</f>
        <v>California</v>
      </c>
    </row>
    <row r="856" spans="1:18" x14ac:dyDescent="0.3">
      <c r="A856" t="s">
        <v>1</v>
      </c>
      <c r="B856" t="s">
        <v>6</v>
      </c>
      <c r="C856" s="2">
        <v>43106</v>
      </c>
      <c r="D856" s="11" t="s">
        <v>107</v>
      </c>
      <c r="E856" s="3">
        <f t="shared" ca="1" si="13"/>
        <v>573225571</v>
      </c>
      <c r="F856" t="s">
        <v>11</v>
      </c>
      <c r="G856" t="s">
        <v>14</v>
      </c>
      <c r="H856" s="1" t="s">
        <v>235</v>
      </c>
      <c r="I856" t="s">
        <v>17</v>
      </c>
      <c r="J856" s="4">
        <v>1</v>
      </c>
      <c r="K856" s="4">
        <v>30.77</v>
      </c>
      <c r="L856" s="4">
        <v>5</v>
      </c>
      <c r="M856" s="4">
        <v>34.799999999999997</v>
      </c>
      <c r="N856" s="4">
        <v>107.9</v>
      </c>
      <c r="O856" s="4">
        <v>479.75</v>
      </c>
      <c r="P856" s="4">
        <v>3.8764546470000001</v>
      </c>
      <c r="Q856" s="4">
        <v>83.608000000000004</v>
      </c>
      <c r="R856" t="str" cm="1">
        <f t="array" ref="R856">_xlfn.IFS(B856="NY","New York",B856="TX","Texas",B856="CA","California")</f>
        <v>New York</v>
      </c>
    </row>
    <row r="857" spans="1:18" x14ac:dyDescent="0.3">
      <c r="A857" t="s">
        <v>3</v>
      </c>
      <c r="B857" t="s">
        <v>8</v>
      </c>
      <c r="C857" s="2">
        <v>43178</v>
      </c>
      <c r="D857" s="11" t="s">
        <v>204</v>
      </c>
      <c r="E857" s="3">
        <f t="shared" ca="1" si="13"/>
        <v>661787151</v>
      </c>
      <c r="F857" t="s">
        <v>11</v>
      </c>
      <c r="G857" t="s">
        <v>15</v>
      </c>
      <c r="H857" s="1" t="s">
        <v>236</v>
      </c>
      <c r="I857" t="s">
        <v>22</v>
      </c>
      <c r="J857" s="4">
        <v>2</v>
      </c>
      <c r="K857" s="4">
        <v>88.02</v>
      </c>
      <c r="L857" s="4">
        <v>9</v>
      </c>
      <c r="M857" s="4">
        <v>20.97</v>
      </c>
      <c r="N857" s="4">
        <v>112.45610000000001</v>
      </c>
      <c r="O857" s="4">
        <v>328.59</v>
      </c>
      <c r="P857" s="4">
        <v>3.8764546470000001</v>
      </c>
      <c r="Q857" s="4">
        <v>66.066999999999993</v>
      </c>
      <c r="R857" t="str" cm="1">
        <f t="array" ref="R857">_xlfn.IFS(B857="NY","New York",B857="TX","Texas",B857="CA","California")</f>
        <v>California</v>
      </c>
    </row>
    <row r="858" spans="1:18" x14ac:dyDescent="0.3">
      <c r="A858" t="s">
        <v>3</v>
      </c>
      <c r="B858" t="s">
        <v>8</v>
      </c>
      <c r="C858" s="2">
        <v>42992</v>
      </c>
      <c r="D858" s="11" t="s">
        <v>115</v>
      </c>
      <c r="E858" s="3">
        <f t="shared" ca="1" si="13"/>
        <v>947079769</v>
      </c>
      <c r="F858" t="s">
        <v>12</v>
      </c>
      <c r="G858" t="s">
        <v>15</v>
      </c>
      <c r="H858" s="1" t="s">
        <v>236</v>
      </c>
      <c r="I858" t="s">
        <v>21</v>
      </c>
      <c r="J858" s="4">
        <v>9.6</v>
      </c>
      <c r="K858" s="4">
        <v>21.19</v>
      </c>
      <c r="L858" s="4">
        <v>8</v>
      </c>
      <c r="M858" s="4">
        <v>56.21</v>
      </c>
      <c r="N858" s="4">
        <v>176.77789999999999</v>
      </c>
      <c r="O858" s="4">
        <v>168.96</v>
      </c>
      <c r="P858" s="4">
        <v>3.8764546470000001</v>
      </c>
      <c r="Q858" s="4">
        <v>79.412000000000006</v>
      </c>
      <c r="R858" t="str" cm="1">
        <f t="array" ref="R858">_xlfn.IFS(B858="NY","New York",B858="TX","Texas",B858="CA","California")</f>
        <v>California</v>
      </c>
    </row>
    <row r="859" spans="1:18" x14ac:dyDescent="0.3">
      <c r="A859" t="s">
        <v>1</v>
      </c>
      <c r="B859" t="s">
        <v>6</v>
      </c>
      <c r="C859" s="2">
        <v>43058</v>
      </c>
      <c r="D859" s="11" t="s">
        <v>106</v>
      </c>
      <c r="E859" s="3">
        <f t="shared" ca="1" si="13"/>
        <v>533889801</v>
      </c>
      <c r="F859" t="s">
        <v>11</v>
      </c>
      <c r="G859" t="s">
        <v>14</v>
      </c>
      <c r="H859" s="1" t="s">
        <v>236</v>
      </c>
      <c r="I859" t="s">
        <v>19</v>
      </c>
      <c r="J859" s="4">
        <v>5.2</v>
      </c>
      <c r="K859" s="4">
        <v>84.75</v>
      </c>
      <c r="L859" s="4">
        <v>4</v>
      </c>
      <c r="M859" s="4">
        <v>63.46</v>
      </c>
      <c r="N859" s="4">
        <v>121.2345</v>
      </c>
      <c r="O859" s="4">
        <v>113.24</v>
      </c>
      <c r="P859" s="4">
        <v>3.8764546470000001</v>
      </c>
      <c r="Q859" s="4">
        <v>30.55</v>
      </c>
      <c r="R859" t="str" cm="1">
        <f t="array" ref="R859">_xlfn.IFS(B859="NY","New York",B859="TX","Texas",B859="CA","California")</f>
        <v>New York</v>
      </c>
    </row>
    <row r="860" spans="1:18" x14ac:dyDescent="0.3">
      <c r="A860" t="s">
        <v>3</v>
      </c>
      <c r="B860" t="s">
        <v>8</v>
      </c>
      <c r="C860" s="2">
        <v>43030</v>
      </c>
      <c r="D860" s="11" t="s">
        <v>188</v>
      </c>
      <c r="E860" s="3">
        <f t="shared" ca="1" si="13"/>
        <v>278027842</v>
      </c>
      <c r="F860" t="s">
        <v>12</v>
      </c>
      <c r="G860" t="s">
        <v>15</v>
      </c>
      <c r="H860" s="1" t="s">
        <v>236</v>
      </c>
      <c r="I860" t="s">
        <v>17</v>
      </c>
      <c r="J860" s="4">
        <v>8.1</v>
      </c>
      <c r="K860" s="4">
        <v>87.656999999999996</v>
      </c>
      <c r="L860" s="4">
        <v>6</v>
      </c>
      <c r="M860" s="4">
        <v>68.31</v>
      </c>
      <c r="N860" s="4">
        <v>175.78440000000001</v>
      </c>
      <c r="O860" s="4">
        <v>345.54</v>
      </c>
      <c r="P860" s="4">
        <v>3.8764546470000001</v>
      </c>
      <c r="Q860" s="4">
        <v>98.73</v>
      </c>
      <c r="R860" t="str" cm="1">
        <f t="array" ref="R860">_xlfn.IFS(B860="NY","New York",B860="TX","Texas",B860="CA","California")</f>
        <v>California</v>
      </c>
    </row>
    <row r="861" spans="1:18" x14ac:dyDescent="0.3">
      <c r="A861" t="s">
        <v>1</v>
      </c>
      <c r="B861" t="s">
        <v>6</v>
      </c>
      <c r="C861" s="2">
        <v>43134</v>
      </c>
      <c r="D861" s="11" t="s">
        <v>163</v>
      </c>
      <c r="E861" s="3">
        <f t="shared" ca="1" si="13"/>
        <v>319424534</v>
      </c>
      <c r="F861" t="s">
        <v>11</v>
      </c>
      <c r="G861" t="s">
        <v>14</v>
      </c>
      <c r="H861" s="1" t="s">
        <v>236</v>
      </c>
      <c r="I861" t="s">
        <v>21</v>
      </c>
      <c r="J861" s="4">
        <v>7.9</v>
      </c>
      <c r="K861" s="4">
        <v>65.98</v>
      </c>
      <c r="L861" s="4">
        <v>9</v>
      </c>
      <c r="M861" s="4">
        <v>92.29</v>
      </c>
      <c r="N861" s="4">
        <v>102.4</v>
      </c>
      <c r="O861" s="4">
        <v>428.67</v>
      </c>
      <c r="P861" s="4">
        <v>3.8764546470000001</v>
      </c>
      <c r="Q861" s="4">
        <v>49.476999999999997</v>
      </c>
      <c r="R861" t="str" cm="1">
        <f t="array" ref="R861">_xlfn.IFS(B861="NY","New York",B861="TX","Texas",B861="CA","California")</f>
        <v>New York</v>
      </c>
    </row>
    <row r="862" spans="1:18" x14ac:dyDescent="0.3">
      <c r="A862" t="s">
        <v>2</v>
      </c>
      <c r="B862" t="s">
        <v>7</v>
      </c>
      <c r="C862" s="2">
        <v>43216</v>
      </c>
      <c r="D862" s="11" t="s">
        <v>216</v>
      </c>
      <c r="E862" s="3">
        <f t="shared" ca="1" si="13"/>
        <v>683171732</v>
      </c>
      <c r="F862" t="s">
        <v>11</v>
      </c>
      <c r="G862" t="s">
        <v>14</v>
      </c>
      <c r="H862" s="1" t="s">
        <v>235</v>
      </c>
      <c r="I862" t="s">
        <v>19</v>
      </c>
      <c r="J862" s="4">
        <v>8.9</v>
      </c>
      <c r="K862" s="4">
        <v>71.86</v>
      </c>
      <c r="L862" s="4">
        <v>1</v>
      </c>
      <c r="M862" s="4">
        <v>48.38</v>
      </c>
      <c r="N862" s="4">
        <v>166.3</v>
      </c>
      <c r="O862" s="4">
        <v>86.27</v>
      </c>
      <c r="P862" s="4">
        <v>3.8764546470000001</v>
      </c>
      <c r="Q862" s="4">
        <v>66.522999999999996</v>
      </c>
      <c r="R862" t="str" cm="1">
        <f t="array" ref="R862">_xlfn.IFS(B862="NY","New York",B862="TX","Texas",B862="CA","California")</f>
        <v>Texas</v>
      </c>
    </row>
    <row r="863" spans="1:18" x14ac:dyDescent="0.3">
      <c r="A863" t="s">
        <v>1</v>
      </c>
      <c r="B863" t="s">
        <v>6</v>
      </c>
      <c r="C863" s="2">
        <v>42852</v>
      </c>
      <c r="D863" s="11" t="s">
        <v>88</v>
      </c>
      <c r="E863" s="3">
        <f t="shared" ca="1" si="13"/>
        <v>673979919</v>
      </c>
      <c r="F863" t="s">
        <v>12</v>
      </c>
      <c r="G863" t="s">
        <v>14</v>
      </c>
      <c r="H863" s="1" t="s">
        <v>235</v>
      </c>
      <c r="I863" t="s">
        <v>20</v>
      </c>
      <c r="J863" s="4">
        <v>6.4</v>
      </c>
      <c r="K863" s="4">
        <v>21.687000000000001</v>
      </c>
      <c r="L863" s="4">
        <v>2</v>
      </c>
      <c r="M863" s="4">
        <v>32.65</v>
      </c>
      <c r="N863" s="4">
        <v>120.5</v>
      </c>
      <c r="O863" s="4">
        <v>25.52</v>
      </c>
      <c r="P863" s="4">
        <v>3.8764546470000001</v>
      </c>
      <c r="Q863" s="4">
        <v>39.375999999999998</v>
      </c>
      <c r="R863" t="str" cm="1">
        <f t="array" ref="R863">_xlfn.IFS(B863="NY","New York",B863="TX","Texas",B863="CA","California")</f>
        <v>New York</v>
      </c>
    </row>
    <row r="864" spans="1:18" x14ac:dyDescent="0.3">
      <c r="A864" t="s">
        <v>3</v>
      </c>
      <c r="B864" t="s">
        <v>8</v>
      </c>
      <c r="C864" s="2">
        <v>43358</v>
      </c>
      <c r="D864" s="11" t="s">
        <v>134</v>
      </c>
      <c r="E864" s="3">
        <f t="shared" ca="1" si="13"/>
        <v>671234839</v>
      </c>
      <c r="F864" t="s">
        <v>11</v>
      </c>
      <c r="G864" t="s">
        <v>15</v>
      </c>
      <c r="H864" s="1" t="s">
        <v>237</v>
      </c>
      <c r="I864" t="s">
        <v>19</v>
      </c>
      <c r="J864" s="4">
        <v>2.2000000000000002</v>
      </c>
      <c r="K864" s="4">
        <v>98.62</v>
      </c>
      <c r="L864" s="4">
        <v>9</v>
      </c>
      <c r="M864" s="4">
        <v>95.98</v>
      </c>
      <c r="N864" s="4">
        <v>112.3</v>
      </c>
      <c r="O864" s="4">
        <v>101.52</v>
      </c>
      <c r="P864" s="4">
        <v>3.8764546470000001</v>
      </c>
      <c r="Q864" s="4">
        <v>74.191999999999993</v>
      </c>
      <c r="R864" t="str" cm="1">
        <f t="array" ref="R864">_xlfn.IFS(B864="NY","New York",B864="TX","Texas",B864="CA","California")</f>
        <v>California</v>
      </c>
    </row>
    <row r="865" spans="1:18" x14ac:dyDescent="0.3">
      <c r="A865" t="s">
        <v>3</v>
      </c>
      <c r="B865" t="s">
        <v>8</v>
      </c>
      <c r="C865" s="2">
        <v>43376</v>
      </c>
      <c r="D865" s="11" t="s">
        <v>126</v>
      </c>
      <c r="E865" s="3">
        <f t="shared" ca="1" si="13"/>
        <v>71537826</v>
      </c>
      <c r="F865" t="s">
        <v>11</v>
      </c>
      <c r="G865" t="s">
        <v>15</v>
      </c>
      <c r="H865" s="1" t="s">
        <v>236</v>
      </c>
      <c r="I865" t="s">
        <v>19</v>
      </c>
      <c r="J865" s="4">
        <v>6</v>
      </c>
      <c r="K865" s="4">
        <v>38.020000000000003</v>
      </c>
      <c r="L865" s="4">
        <v>7</v>
      </c>
      <c r="M865" s="4">
        <v>56.98</v>
      </c>
      <c r="N865" s="4">
        <v>154</v>
      </c>
      <c r="O865" s="4">
        <v>357.49</v>
      </c>
      <c r="P865" s="4">
        <v>3.8764546470000001</v>
      </c>
      <c r="Q865" s="4">
        <v>37.162999999999997</v>
      </c>
      <c r="R865" t="str" cm="1">
        <f t="array" ref="R865">_xlfn.IFS(B865="NY","New York",B865="TX","Texas",B865="CA","California")</f>
        <v>California</v>
      </c>
    </row>
    <row r="866" spans="1:18" x14ac:dyDescent="0.3">
      <c r="A866" t="s">
        <v>1</v>
      </c>
      <c r="B866" t="s">
        <v>6</v>
      </c>
      <c r="C866" s="2">
        <v>43076</v>
      </c>
      <c r="D866" s="11" t="s">
        <v>185</v>
      </c>
      <c r="E866" s="3">
        <f t="shared" ca="1" si="13"/>
        <v>123432891</v>
      </c>
      <c r="F866" t="s">
        <v>11</v>
      </c>
      <c r="G866" t="s">
        <v>14</v>
      </c>
      <c r="H866" s="1" t="s">
        <v>236</v>
      </c>
      <c r="I866" t="s">
        <v>18</v>
      </c>
      <c r="J866" s="4">
        <v>4</v>
      </c>
      <c r="K866" s="4">
        <v>11.504</v>
      </c>
      <c r="L866" s="4">
        <v>3</v>
      </c>
      <c r="M866" s="4">
        <v>35.049999999999997</v>
      </c>
      <c r="N866" s="4">
        <v>188.9</v>
      </c>
      <c r="O866" s="4">
        <v>238.77</v>
      </c>
      <c r="P866" s="4">
        <v>3.8764546470000001</v>
      </c>
      <c r="Q866" s="4">
        <v>15.919</v>
      </c>
      <c r="R866" t="str" cm="1">
        <f t="array" ref="R866">_xlfn.IFS(B866="NY","New York",B866="TX","Texas",B866="CA","California")</f>
        <v>New York</v>
      </c>
    </row>
    <row r="867" spans="1:18" x14ac:dyDescent="0.3">
      <c r="A867" t="s">
        <v>2</v>
      </c>
      <c r="B867" t="s">
        <v>7</v>
      </c>
      <c r="C867" s="2">
        <v>43410</v>
      </c>
      <c r="D867" s="11" t="s">
        <v>209</v>
      </c>
      <c r="E867" s="3">
        <f t="shared" ca="1" si="13"/>
        <v>839884111</v>
      </c>
      <c r="F867" t="s">
        <v>12</v>
      </c>
      <c r="G867" t="s">
        <v>14</v>
      </c>
      <c r="H867" s="1" t="s">
        <v>235</v>
      </c>
      <c r="I867" t="s">
        <v>17</v>
      </c>
      <c r="J867" s="4">
        <v>4.5</v>
      </c>
      <c r="K867" s="4">
        <v>47.27</v>
      </c>
      <c r="L867" s="4">
        <v>3</v>
      </c>
      <c r="M867" s="4">
        <v>28.5</v>
      </c>
      <c r="N867" s="4">
        <v>134.69999999999999</v>
      </c>
      <c r="O867" s="4">
        <v>101.43</v>
      </c>
      <c r="P867" s="4">
        <v>3.8764546470000001</v>
      </c>
      <c r="Q867" s="4">
        <v>48.213000000000001</v>
      </c>
      <c r="R867" t="str" cm="1">
        <f t="array" ref="R867">_xlfn.IFS(B867="NY","New York",B867="TX","Texas",B867="CA","California")</f>
        <v>Texas</v>
      </c>
    </row>
    <row r="868" spans="1:18" x14ac:dyDescent="0.3">
      <c r="A868" t="s">
        <v>3</v>
      </c>
      <c r="B868" t="s">
        <v>8</v>
      </c>
      <c r="C868" s="2">
        <v>42902</v>
      </c>
      <c r="D868" s="11" t="s">
        <v>190</v>
      </c>
      <c r="E868" s="3">
        <f t="shared" ca="1" si="13"/>
        <v>732305273</v>
      </c>
      <c r="F868" t="s">
        <v>12</v>
      </c>
      <c r="G868" t="s">
        <v>14</v>
      </c>
      <c r="H868" s="1" t="s">
        <v>237</v>
      </c>
      <c r="I868" t="s">
        <v>20</v>
      </c>
      <c r="J868" s="4">
        <v>3.5</v>
      </c>
      <c r="K868" s="4">
        <v>63.99</v>
      </c>
      <c r="L868" s="4">
        <v>8</v>
      </c>
      <c r="M868" s="4">
        <v>19.22</v>
      </c>
      <c r="N868" s="4">
        <v>105.9</v>
      </c>
      <c r="O868" s="4">
        <v>724.24</v>
      </c>
      <c r="P868" s="4">
        <v>3.8764546470000001</v>
      </c>
      <c r="Q868" s="4">
        <v>26.904</v>
      </c>
      <c r="R868" t="str" cm="1">
        <f t="array" ref="R868">_xlfn.IFS(B868="NY","New York",B868="TX","Texas",B868="CA","California")</f>
        <v>California</v>
      </c>
    </row>
    <row r="869" spans="1:18" x14ac:dyDescent="0.3">
      <c r="A869" t="s">
        <v>2</v>
      </c>
      <c r="B869" t="s">
        <v>7</v>
      </c>
      <c r="C869" s="2">
        <v>43133</v>
      </c>
      <c r="D869" s="11" t="s">
        <v>115</v>
      </c>
      <c r="E869" s="3">
        <f t="shared" ca="1" si="13"/>
        <v>60020142</v>
      </c>
      <c r="F869" t="s">
        <v>11</v>
      </c>
      <c r="G869" t="s">
        <v>14</v>
      </c>
      <c r="H869" s="1" t="s">
        <v>235</v>
      </c>
      <c r="I869" t="s">
        <v>17</v>
      </c>
      <c r="J869" s="4">
        <v>9.4</v>
      </c>
      <c r="K869" s="4">
        <v>54.56</v>
      </c>
      <c r="L869" s="4">
        <v>2</v>
      </c>
      <c r="M869" s="4">
        <v>87.34</v>
      </c>
      <c r="N869" s="4">
        <v>165.7</v>
      </c>
      <c r="O869" s="4">
        <v>125.64</v>
      </c>
      <c r="P869" s="4">
        <v>3.8764546470000001</v>
      </c>
      <c r="Q869" s="4">
        <v>40.381999999999998</v>
      </c>
      <c r="R869" t="str" cm="1">
        <f t="array" ref="R869">_xlfn.IFS(B869="NY","New York",B869="TX","Texas",B869="CA","California")</f>
        <v>Texas</v>
      </c>
    </row>
    <row r="870" spans="1:18" x14ac:dyDescent="0.3">
      <c r="A870" t="s">
        <v>2</v>
      </c>
      <c r="B870" t="s">
        <v>7</v>
      </c>
      <c r="C870" s="2">
        <v>43153</v>
      </c>
      <c r="D870" s="11" t="s">
        <v>222</v>
      </c>
      <c r="E870" s="3">
        <f t="shared" ca="1" si="13"/>
        <v>64612577</v>
      </c>
      <c r="F870" t="s">
        <v>12</v>
      </c>
      <c r="G870" t="s">
        <v>14</v>
      </c>
      <c r="H870" s="1" t="s">
        <v>237</v>
      </c>
      <c r="I870" t="s">
        <v>21</v>
      </c>
      <c r="J870" s="4">
        <v>2.7</v>
      </c>
      <c r="K870" s="4">
        <v>86.44</v>
      </c>
      <c r="L870" s="4">
        <v>3</v>
      </c>
      <c r="M870" s="4">
        <v>44.77</v>
      </c>
      <c r="N870" s="4">
        <v>181.5</v>
      </c>
      <c r="O870" s="4">
        <v>72.930000000000007</v>
      </c>
      <c r="P870" s="4">
        <v>3.8764546470000001</v>
      </c>
      <c r="Q870" s="4">
        <v>69.09</v>
      </c>
      <c r="R870" t="str" cm="1">
        <f t="array" ref="R870">_xlfn.IFS(B870="NY","New York",B870="TX","Texas",B870="CA","California")</f>
        <v>Texas</v>
      </c>
    </row>
    <row r="871" spans="1:18" x14ac:dyDescent="0.3">
      <c r="A871" t="s">
        <v>1</v>
      </c>
      <c r="B871" t="s">
        <v>6</v>
      </c>
      <c r="C871" s="2">
        <v>42868</v>
      </c>
      <c r="D871" s="11" t="s">
        <v>144</v>
      </c>
      <c r="E871" s="3">
        <f t="shared" ca="1" si="13"/>
        <v>43853601</v>
      </c>
      <c r="F871" t="s">
        <v>12</v>
      </c>
      <c r="G871" t="s">
        <v>15</v>
      </c>
      <c r="H871" s="1" t="s">
        <v>235</v>
      </c>
      <c r="I871" t="s">
        <v>20</v>
      </c>
      <c r="J871" s="4">
        <v>2.2000000000000002</v>
      </c>
      <c r="K871" s="4">
        <v>88.67</v>
      </c>
      <c r="L871" s="4">
        <v>4</v>
      </c>
      <c r="M871" s="4">
        <v>13.11</v>
      </c>
      <c r="N871" s="4">
        <v>108.8896</v>
      </c>
      <c r="O871" s="4">
        <v>258.36</v>
      </c>
      <c r="P871" s="4">
        <v>3.8764546470000001</v>
      </c>
      <c r="Q871" s="4">
        <v>74.540000000000006</v>
      </c>
      <c r="R871" t="str" cm="1">
        <f t="array" ref="R871">_xlfn.IFS(B871="NY","New York",B871="TX","Texas",B871="CA","California")</f>
        <v>New York</v>
      </c>
    </row>
    <row r="872" spans="1:18" x14ac:dyDescent="0.3">
      <c r="A872" t="s">
        <v>1</v>
      </c>
      <c r="B872" t="s">
        <v>6</v>
      </c>
      <c r="C872" s="2">
        <v>43243</v>
      </c>
      <c r="D872" s="11" t="s">
        <v>53</v>
      </c>
      <c r="E872" s="3">
        <f t="shared" ca="1" si="13"/>
        <v>387870588</v>
      </c>
      <c r="F872" t="s">
        <v>12</v>
      </c>
      <c r="G872" t="s">
        <v>14</v>
      </c>
      <c r="H872" s="1" t="s">
        <v>237</v>
      </c>
      <c r="I872" t="s">
        <v>21</v>
      </c>
      <c r="J872" s="4">
        <v>5.0999999999999996</v>
      </c>
      <c r="K872" s="4">
        <v>63.53</v>
      </c>
      <c r="L872" s="4">
        <v>7</v>
      </c>
      <c r="M872" s="4">
        <v>29.33</v>
      </c>
      <c r="N872" s="4">
        <v>141.1309</v>
      </c>
      <c r="O872" s="4">
        <v>173.74</v>
      </c>
      <c r="P872" s="4">
        <v>3.8764546470000001</v>
      </c>
      <c r="Q872" s="4">
        <v>21.49</v>
      </c>
      <c r="R872" t="str" cm="1">
        <f t="array" ref="R872">_xlfn.IFS(B872="NY","New York",B872="TX","Texas",B872="CA","California")</f>
        <v>New York</v>
      </c>
    </row>
    <row r="873" spans="1:18" x14ac:dyDescent="0.3">
      <c r="A873" t="s">
        <v>2</v>
      </c>
      <c r="B873" t="s">
        <v>7</v>
      </c>
      <c r="C873" s="2">
        <v>42886</v>
      </c>
      <c r="D873" s="11" t="s">
        <v>190</v>
      </c>
      <c r="E873" s="3">
        <f t="shared" ca="1" si="13"/>
        <v>632672592</v>
      </c>
      <c r="F873" t="s">
        <v>12</v>
      </c>
      <c r="G873" t="s">
        <v>15</v>
      </c>
      <c r="H873" s="1" t="s">
        <v>235</v>
      </c>
      <c r="I873" t="s">
        <v>22</v>
      </c>
      <c r="J873" s="4">
        <v>4.2</v>
      </c>
      <c r="K873" s="4">
        <v>65.34</v>
      </c>
      <c r="L873" s="4">
        <v>1</v>
      </c>
      <c r="M873" s="4">
        <v>95.1</v>
      </c>
      <c r="N873" s="4">
        <v>127.2508</v>
      </c>
      <c r="O873" s="4">
        <v>56.5</v>
      </c>
      <c r="P873" s="4">
        <v>3.8764546470000001</v>
      </c>
      <c r="Q873" s="4">
        <v>97.32</v>
      </c>
      <c r="R873" t="str" cm="1">
        <f t="array" ref="R873">_xlfn.IFS(B873="NY","New York",B873="TX","Texas",B873="CA","California")</f>
        <v>Texas</v>
      </c>
    </row>
    <row r="874" spans="1:18" x14ac:dyDescent="0.3">
      <c r="A874" t="s">
        <v>3</v>
      </c>
      <c r="B874" t="s">
        <v>8</v>
      </c>
      <c r="C874" s="2">
        <v>42907</v>
      </c>
      <c r="D874" s="11" t="s">
        <v>31</v>
      </c>
      <c r="E874" s="3">
        <f t="shared" ca="1" si="13"/>
        <v>612944038</v>
      </c>
      <c r="F874" t="s">
        <v>11</v>
      </c>
      <c r="G874" t="s">
        <v>14</v>
      </c>
      <c r="H874" s="1" t="s">
        <v>236</v>
      </c>
      <c r="I874" t="s">
        <v>18</v>
      </c>
      <c r="J874" s="4">
        <v>3.4</v>
      </c>
      <c r="K874" s="4">
        <v>42.55</v>
      </c>
      <c r="L874" s="4">
        <v>10</v>
      </c>
      <c r="M874" s="4">
        <v>84.16</v>
      </c>
      <c r="N874" s="4">
        <v>164.05950000000001</v>
      </c>
      <c r="O874" s="4">
        <v>214.3</v>
      </c>
      <c r="P874" s="4">
        <v>3.8764546470000001</v>
      </c>
      <c r="Q874" s="4">
        <v>34.130000000000003</v>
      </c>
      <c r="R874" t="str" cm="1">
        <f t="array" ref="R874">_xlfn.IFS(B874="NY","New York",B874="TX","Texas",B874="CA","California")</f>
        <v>California</v>
      </c>
    </row>
    <row r="875" spans="1:18" x14ac:dyDescent="0.3">
      <c r="A875" t="s">
        <v>1</v>
      </c>
      <c r="B875" t="s">
        <v>6</v>
      </c>
      <c r="C875" s="2">
        <v>43313</v>
      </c>
      <c r="D875" s="11" t="s">
        <v>130</v>
      </c>
      <c r="E875" s="3">
        <f t="shared" ca="1" si="13"/>
        <v>47905338</v>
      </c>
      <c r="F875" t="s">
        <v>12</v>
      </c>
      <c r="G875" t="s">
        <v>14</v>
      </c>
      <c r="H875" s="1" t="s">
        <v>236</v>
      </c>
      <c r="I875" t="s">
        <v>20</v>
      </c>
      <c r="J875" s="4">
        <v>1.9</v>
      </c>
      <c r="K875" s="4">
        <v>49.53</v>
      </c>
      <c r="L875" s="4">
        <v>6</v>
      </c>
      <c r="M875" s="4">
        <v>48.26</v>
      </c>
      <c r="N875" s="4">
        <v>171.64590000000001</v>
      </c>
      <c r="O875" s="4">
        <v>534.36</v>
      </c>
      <c r="P875" s="4">
        <v>3.8764546470000001</v>
      </c>
      <c r="Q875" s="4">
        <v>74.400000000000006</v>
      </c>
      <c r="R875" t="str" cm="1">
        <f t="array" ref="R875">_xlfn.IFS(B875="NY","New York",B875="TX","Texas",B875="CA","California")</f>
        <v>New York</v>
      </c>
    </row>
    <row r="876" spans="1:18" x14ac:dyDescent="0.3">
      <c r="A876" t="s">
        <v>1</v>
      </c>
      <c r="B876" t="s">
        <v>6</v>
      </c>
      <c r="C876" s="2">
        <v>43009</v>
      </c>
      <c r="D876" s="11" t="s">
        <v>126</v>
      </c>
      <c r="E876" s="3">
        <f t="shared" ca="1" si="13"/>
        <v>199446623</v>
      </c>
      <c r="F876" t="s">
        <v>12</v>
      </c>
      <c r="G876" t="s">
        <v>14</v>
      </c>
      <c r="H876" s="1" t="s">
        <v>237</v>
      </c>
      <c r="I876" t="s">
        <v>19</v>
      </c>
      <c r="J876" s="4">
        <v>2.7</v>
      </c>
      <c r="K876" s="4">
        <v>17.73</v>
      </c>
      <c r="L876" s="4">
        <v>4</v>
      </c>
      <c r="M876" s="4">
        <v>58.98</v>
      </c>
      <c r="N876" s="4">
        <v>144.84399999999999</v>
      </c>
      <c r="O876" s="4">
        <v>93.16</v>
      </c>
      <c r="P876" s="4">
        <v>3.8764546470000001</v>
      </c>
      <c r="Q876" s="4">
        <v>96.99</v>
      </c>
      <c r="R876" t="str" cm="1">
        <f t="array" ref="R876">_xlfn.IFS(B876="NY","New York",B876="TX","Texas",B876="CA","California")</f>
        <v>New York</v>
      </c>
    </row>
    <row r="877" spans="1:18" x14ac:dyDescent="0.3">
      <c r="A877" t="s">
        <v>2</v>
      </c>
      <c r="B877" t="s">
        <v>7</v>
      </c>
      <c r="C877" s="2">
        <v>43375</v>
      </c>
      <c r="D877" s="11" t="s">
        <v>135</v>
      </c>
      <c r="E877" s="3">
        <f t="shared" ca="1" si="13"/>
        <v>272238365</v>
      </c>
      <c r="F877" t="s">
        <v>12</v>
      </c>
      <c r="G877" t="s">
        <v>15</v>
      </c>
      <c r="H877" s="1" t="s">
        <v>235</v>
      </c>
      <c r="I877" t="s">
        <v>19</v>
      </c>
      <c r="J877" s="4">
        <v>1</v>
      </c>
      <c r="K877" s="4">
        <v>42.13</v>
      </c>
      <c r="L877" s="4">
        <v>8</v>
      </c>
      <c r="M877" s="4">
        <v>33.5</v>
      </c>
      <c r="N877" s="4">
        <v>178.06659999999999</v>
      </c>
      <c r="O877" s="4">
        <v>522.08000000000004</v>
      </c>
      <c r="P877" s="4">
        <v>3.8764546470000001</v>
      </c>
      <c r="Q877" s="4">
        <v>96.91</v>
      </c>
      <c r="R877" t="str" cm="1">
        <f t="array" ref="R877">_xlfn.IFS(B877="NY","New York",B877="TX","Texas",B877="CA","California")</f>
        <v>Texas</v>
      </c>
    </row>
    <row r="878" spans="1:18" x14ac:dyDescent="0.3">
      <c r="A878" t="s">
        <v>2</v>
      </c>
      <c r="B878" t="s">
        <v>7</v>
      </c>
      <c r="C878" s="2">
        <v>43305</v>
      </c>
      <c r="D878" s="11" t="s">
        <v>94</v>
      </c>
      <c r="E878" s="3">
        <f t="shared" ca="1" si="13"/>
        <v>451504994</v>
      </c>
      <c r="F878" t="s">
        <v>12</v>
      </c>
      <c r="G878" t="s">
        <v>14</v>
      </c>
      <c r="H878" s="1" t="s">
        <v>236</v>
      </c>
      <c r="I878" t="s">
        <v>22</v>
      </c>
      <c r="J878" s="4">
        <v>4.7</v>
      </c>
      <c r="K878" s="4">
        <v>21.95</v>
      </c>
      <c r="L878" s="4">
        <v>1</v>
      </c>
      <c r="M878" s="4">
        <v>99.17</v>
      </c>
      <c r="N878" s="4">
        <v>144.1755</v>
      </c>
      <c r="O878" s="4">
        <v>52.35</v>
      </c>
      <c r="P878" s="4">
        <v>3.8764546470000001</v>
      </c>
      <c r="Q878" s="4">
        <v>98.03</v>
      </c>
      <c r="R878" t="str" cm="1">
        <f t="array" ref="R878">_xlfn.IFS(B878="NY","New York",B878="TX","Texas",B878="CA","California")</f>
        <v>Texas</v>
      </c>
    </row>
    <row r="879" spans="1:18" x14ac:dyDescent="0.3">
      <c r="A879" t="s">
        <v>3</v>
      </c>
      <c r="B879" t="s">
        <v>8</v>
      </c>
      <c r="C879" s="2">
        <v>43086</v>
      </c>
      <c r="D879" s="11" t="s">
        <v>109</v>
      </c>
      <c r="E879" s="3">
        <f t="shared" ca="1" si="13"/>
        <v>243345963</v>
      </c>
      <c r="F879" t="s">
        <v>12</v>
      </c>
      <c r="G879" t="s">
        <v>14</v>
      </c>
      <c r="H879" s="1" t="s">
        <v>236</v>
      </c>
      <c r="I879" t="s">
        <v>18</v>
      </c>
      <c r="J879" s="4">
        <v>7.1</v>
      </c>
      <c r="K879" s="4">
        <v>91.51</v>
      </c>
      <c r="L879" s="4">
        <v>1</v>
      </c>
      <c r="M879" s="4">
        <v>40.729999999999997</v>
      </c>
      <c r="N879" s="4">
        <v>115.8497</v>
      </c>
      <c r="O879" s="4">
        <v>39.75</v>
      </c>
      <c r="P879" s="4">
        <v>3.8764546470000001</v>
      </c>
      <c r="Q879" s="4">
        <v>75.52</v>
      </c>
      <c r="R879" t="str" cm="1">
        <f t="array" ref="R879">_xlfn.IFS(B879="NY","New York",B879="TX","Texas",B879="CA","California")</f>
        <v>California</v>
      </c>
    </row>
    <row r="880" spans="1:18" x14ac:dyDescent="0.3">
      <c r="A880" t="s">
        <v>1</v>
      </c>
      <c r="B880" t="s">
        <v>6</v>
      </c>
      <c r="C880" s="2">
        <v>42917</v>
      </c>
      <c r="D880" s="11" t="s">
        <v>82</v>
      </c>
      <c r="E880" s="3">
        <f t="shared" ca="1" si="13"/>
        <v>320025718</v>
      </c>
      <c r="F880" t="s">
        <v>11</v>
      </c>
      <c r="G880" t="s">
        <v>15</v>
      </c>
      <c r="H880" s="1" t="s">
        <v>237</v>
      </c>
      <c r="I880" t="s">
        <v>18</v>
      </c>
      <c r="J880" s="4">
        <v>2.4</v>
      </c>
      <c r="K880" s="4">
        <v>56.088999999999999</v>
      </c>
      <c r="L880" s="4">
        <v>8</v>
      </c>
      <c r="M880" s="4">
        <v>89.44</v>
      </c>
      <c r="N880" s="4">
        <v>182.66300000000001</v>
      </c>
      <c r="O880" s="4">
        <v>720.16</v>
      </c>
      <c r="P880" s="4">
        <v>3.8764546470000001</v>
      </c>
      <c r="Q880" s="4">
        <v>27.41</v>
      </c>
      <c r="R880" t="str" cm="1">
        <f t="array" ref="R880">_xlfn.IFS(B880="NY","New York",B880="TX","Texas",B880="CA","California")</f>
        <v>New York</v>
      </c>
    </row>
    <row r="881" spans="1:18" x14ac:dyDescent="0.3">
      <c r="A881" t="s">
        <v>3</v>
      </c>
      <c r="B881" t="s">
        <v>8</v>
      </c>
      <c r="C881" s="2">
        <v>42832</v>
      </c>
      <c r="D881" s="11" t="s">
        <v>138</v>
      </c>
      <c r="E881" s="3">
        <f t="shared" ca="1" si="13"/>
        <v>54921232</v>
      </c>
      <c r="F881" t="s">
        <v>11</v>
      </c>
      <c r="G881" t="s">
        <v>14</v>
      </c>
      <c r="H881" s="1" t="s">
        <v>235</v>
      </c>
      <c r="I881" t="s">
        <v>18</v>
      </c>
      <c r="J881" s="4">
        <v>9.6</v>
      </c>
      <c r="K881" s="4">
        <v>90.385000000000005</v>
      </c>
      <c r="L881" s="4">
        <v>8</v>
      </c>
      <c r="M881" s="4">
        <v>63.62</v>
      </c>
      <c r="N881" s="4">
        <v>107.9</v>
      </c>
      <c r="O881" s="4">
        <v>96.8</v>
      </c>
      <c r="P881" s="4">
        <v>3.8764546470000001</v>
      </c>
      <c r="Q881" s="4">
        <v>72.97</v>
      </c>
      <c r="R881" t="str" cm="1">
        <f t="array" ref="R881">_xlfn.IFS(B881="NY","New York",B881="TX","Texas",B881="CA","California")</f>
        <v>California</v>
      </c>
    </row>
    <row r="882" spans="1:18" x14ac:dyDescent="0.3">
      <c r="A882" t="s">
        <v>3</v>
      </c>
      <c r="B882" t="s">
        <v>8</v>
      </c>
      <c r="C882" s="2">
        <v>43289</v>
      </c>
      <c r="D882" s="11" t="s">
        <v>206</v>
      </c>
      <c r="E882" s="3">
        <f t="shared" ca="1" si="13"/>
        <v>592066385</v>
      </c>
      <c r="F882" t="s">
        <v>11</v>
      </c>
      <c r="G882" t="s">
        <v>14</v>
      </c>
      <c r="H882" s="1" t="s">
        <v>235</v>
      </c>
      <c r="I882" t="s">
        <v>21</v>
      </c>
      <c r="J882" s="4">
        <v>2.2000000000000002</v>
      </c>
      <c r="K882" s="4">
        <v>92.423000000000002</v>
      </c>
      <c r="L882" s="4">
        <v>10</v>
      </c>
      <c r="M882" s="4">
        <v>65.98</v>
      </c>
      <c r="N882" s="4">
        <v>144.566</v>
      </c>
      <c r="O882" s="4">
        <v>332.1</v>
      </c>
      <c r="P882" s="4">
        <v>3.8764546470000001</v>
      </c>
      <c r="Q882" s="4">
        <v>70.132000000000005</v>
      </c>
      <c r="R882" t="str" cm="1">
        <f t="array" ref="R882">_xlfn.IFS(B882="NY","New York",B882="TX","Texas",B882="CA","California")</f>
        <v>California</v>
      </c>
    </row>
    <row r="883" spans="1:18" x14ac:dyDescent="0.3">
      <c r="A883" t="s">
        <v>2</v>
      </c>
      <c r="B883" t="s">
        <v>7</v>
      </c>
      <c r="C883" s="2">
        <v>43410</v>
      </c>
      <c r="D883" s="11" t="s">
        <v>176</v>
      </c>
      <c r="E883" s="3">
        <f t="shared" ca="1" si="13"/>
        <v>378223682</v>
      </c>
      <c r="F883" t="s">
        <v>11</v>
      </c>
      <c r="G883" t="s">
        <v>14</v>
      </c>
      <c r="H883" s="1" t="s">
        <v>237</v>
      </c>
      <c r="I883" t="s">
        <v>22</v>
      </c>
      <c r="J883" s="4">
        <v>6.9</v>
      </c>
      <c r="K883" s="4">
        <v>64.513000000000005</v>
      </c>
      <c r="L883" s="4">
        <v>8</v>
      </c>
      <c r="M883" s="4">
        <v>60.86</v>
      </c>
      <c r="N883" s="4">
        <v>122.1011</v>
      </c>
      <c r="O883" s="4">
        <v>81.44</v>
      </c>
      <c r="P883" s="4">
        <v>3.8764546470000001</v>
      </c>
      <c r="Q883" s="4">
        <v>82.852000000000004</v>
      </c>
      <c r="R883" t="str" cm="1">
        <f t="array" ref="R883">_xlfn.IFS(B883="NY","New York",B883="TX","Texas",B883="CA","California")</f>
        <v>Texas</v>
      </c>
    </row>
    <row r="884" spans="1:18" x14ac:dyDescent="0.3">
      <c r="A884" t="s">
        <v>3</v>
      </c>
      <c r="B884" t="s">
        <v>8</v>
      </c>
      <c r="C884" s="2">
        <v>43115</v>
      </c>
      <c r="D884" s="11" t="s">
        <v>183</v>
      </c>
      <c r="E884" s="3">
        <f t="shared" ca="1" si="13"/>
        <v>587501783</v>
      </c>
      <c r="F884" t="s">
        <v>12</v>
      </c>
      <c r="G884" t="s">
        <v>14</v>
      </c>
      <c r="H884" s="1" t="s">
        <v>237</v>
      </c>
      <c r="I884" t="s">
        <v>20</v>
      </c>
      <c r="J884" s="4">
        <v>4</v>
      </c>
      <c r="K884" s="4">
        <v>96.641999999999996</v>
      </c>
      <c r="L884" s="4">
        <v>10</v>
      </c>
      <c r="M884" s="4">
        <v>24.47</v>
      </c>
      <c r="N884" s="4">
        <v>110.0817</v>
      </c>
      <c r="O884" s="4">
        <v>319.89999999999998</v>
      </c>
      <c r="P884" s="4">
        <v>3.8764546470000001</v>
      </c>
      <c r="Q884" s="4">
        <v>19.486000000000001</v>
      </c>
      <c r="R884" t="str" cm="1">
        <f t="array" ref="R884">_xlfn.IFS(B884="NY","New York",B884="TX","Texas",B884="CA","California")</f>
        <v>California</v>
      </c>
    </row>
    <row r="885" spans="1:18" x14ac:dyDescent="0.3">
      <c r="A885" t="s">
        <v>1</v>
      </c>
      <c r="B885" t="s">
        <v>6</v>
      </c>
      <c r="C885" s="2">
        <v>42817</v>
      </c>
      <c r="D885" s="11" t="s">
        <v>45</v>
      </c>
      <c r="E885" s="3">
        <f t="shared" ca="1" si="13"/>
        <v>537755320</v>
      </c>
      <c r="F885" t="s">
        <v>11</v>
      </c>
      <c r="G885" t="s">
        <v>14</v>
      </c>
      <c r="H885" s="1" t="s">
        <v>235</v>
      </c>
      <c r="I885" t="s">
        <v>19</v>
      </c>
      <c r="J885" s="4">
        <v>10</v>
      </c>
      <c r="K885" s="4">
        <v>13.33</v>
      </c>
      <c r="L885" s="4">
        <v>6</v>
      </c>
      <c r="M885" s="4">
        <v>40.299999999999997</v>
      </c>
      <c r="N885" s="4">
        <v>170.01439999999999</v>
      </c>
      <c r="O885" s="4">
        <v>206.52</v>
      </c>
      <c r="P885" s="4">
        <v>3.8764546470000001</v>
      </c>
      <c r="Q885" s="4">
        <v>81.93</v>
      </c>
      <c r="R885" t="str" cm="1">
        <f t="array" ref="R885">_xlfn.IFS(B885="NY","New York",B885="TX","Texas",B885="CA","California")</f>
        <v>New York</v>
      </c>
    </row>
    <row r="886" spans="1:18" x14ac:dyDescent="0.3">
      <c r="A886" t="s">
        <v>1</v>
      </c>
      <c r="B886" t="s">
        <v>6</v>
      </c>
      <c r="C886" s="2">
        <v>43119</v>
      </c>
      <c r="D886" s="11" t="s">
        <v>59</v>
      </c>
      <c r="E886" s="3">
        <f t="shared" ca="1" si="13"/>
        <v>168365562</v>
      </c>
      <c r="F886" t="s">
        <v>11</v>
      </c>
      <c r="G886" t="s">
        <v>14</v>
      </c>
      <c r="H886" s="1" t="s">
        <v>236</v>
      </c>
      <c r="I886" t="s">
        <v>21</v>
      </c>
      <c r="J886" s="4">
        <v>9.1999999999999993</v>
      </c>
      <c r="K886" s="4">
        <v>79.25</v>
      </c>
      <c r="L886" s="4">
        <v>2</v>
      </c>
      <c r="M886" s="4">
        <v>77.709999999999994</v>
      </c>
      <c r="N886" s="4">
        <v>181.17410000000001</v>
      </c>
      <c r="O886" s="4">
        <v>166.68</v>
      </c>
      <c r="P886" s="4">
        <v>3.8764546470000001</v>
      </c>
      <c r="Q886" s="4">
        <v>48.773000000000003</v>
      </c>
      <c r="R886" t="str" cm="1">
        <f t="array" ref="R886">_xlfn.IFS(B886="NY","New York",B886="TX","Texas",B886="CA","California")</f>
        <v>New York</v>
      </c>
    </row>
    <row r="887" spans="1:18" x14ac:dyDescent="0.3">
      <c r="A887" t="s">
        <v>1</v>
      </c>
      <c r="B887" t="s">
        <v>6</v>
      </c>
      <c r="C887" s="2">
        <v>43201</v>
      </c>
      <c r="D887" s="11" t="s">
        <v>101</v>
      </c>
      <c r="E887" s="3">
        <f t="shared" ca="1" si="13"/>
        <v>174966853</v>
      </c>
      <c r="F887" t="s">
        <v>12</v>
      </c>
      <c r="G887" t="s">
        <v>15</v>
      </c>
      <c r="H887" s="1" t="s">
        <v>236</v>
      </c>
      <c r="I887" t="s">
        <v>20</v>
      </c>
      <c r="J887" s="4">
        <v>7.7</v>
      </c>
      <c r="K887" s="4">
        <v>57.52</v>
      </c>
      <c r="L887" s="4">
        <v>7</v>
      </c>
      <c r="M887" s="4">
        <v>53.31</v>
      </c>
      <c r="N887" s="4">
        <v>164.78970000000001</v>
      </c>
      <c r="O887" s="4">
        <v>319.06</v>
      </c>
      <c r="P887" s="4">
        <v>3.8764546470000001</v>
      </c>
      <c r="Q887" s="4">
        <v>17.512</v>
      </c>
      <c r="R887" t="str" cm="1">
        <f t="array" ref="R887">_xlfn.IFS(B887="NY","New York",B887="TX","Texas",B887="CA","California")</f>
        <v>New York</v>
      </c>
    </row>
    <row r="888" spans="1:18" x14ac:dyDescent="0.3">
      <c r="A888" t="s">
        <v>1</v>
      </c>
      <c r="B888" t="s">
        <v>6</v>
      </c>
      <c r="C888" s="2">
        <v>42881</v>
      </c>
      <c r="D888" s="11" t="s">
        <v>155</v>
      </c>
      <c r="E888" s="3">
        <f t="shared" ca="1" si="13"/>
        <v>232153977</v>
      </c>
      <c r="F888" t="s">
        <v>12</v>
      </c>
      <c r="G888" t="s">
        <v>14</v>
      </c>
      <c r="H888" s="1" t="s">
        <v>235</v>
      </c>
      <c r="I888" t="s">
        <v>21</v>
      </c>
      <c r="J888" s="4">
        <v>9.4</v>
      </c>
      <c r="K888" s="4">
        <v>67.989999999999995</v>
      </c>
      <c r="L888" s="4">
        <v>1</v>
      </c>
      <c r="M888" s="4">
        <v>38.01</v>
      </c>
      <c r="N888" s="4">
        <v>140.4468</v>
      </c>
      <c r="O888" s="4">
        <v>87.9</v>
      </c>
      <c r="P888" s="4">
        <v>3.8764546470000001</v>
      </c>
      <c r="Q888" s="4">
        <v>13.081</v>
      </c>
      <c r="R888" t="str" cm="1">
        <f t="array" ref="R888">_xlfn.IFS(B888="NY","New York",B888="TX","Texas",B888="CA","California")</f>
        <v>New York</v>
      </c>
    </row>
    <row r="889" spans="1:18" x14ac:dyDescent="0.3">
      <c r="A889" t="s">
        <v>1</v>
      </c>
      <c r="B889" t="s">
        <v>6</v>
      </c>
      <c r="C889" s="2">
        <v>43139</v>
      </c>
      <c r="D889" s="11" t="s">
        <v>199</v>
      </c>
      <c r="E889" s="3">
        <f t="shared" ca="1" si="13"/>
        <v>139860024</v>
      </c>
      <c r="F889" t="s">
        <v>11</v>
      </c>
      <c r="G889" t="s">
        <v>14</v>
      </c>
      <c r="H889" s="1" t="s">
        <v>235</v>
      </c>
      <c r="I889" t="s">
        <v>18</v>
      </c>
      <c r="J889" s="4">
        <v>6.9</v>
      </c>
      <c r="K889" s="4">
        <v>26.36</v>
      </c>
      <c r="L889" s="4">
        <v>10</v>
      </c>
      <c r="M889" s="4">
        <v>88.16</v>
      </c>
      <c r="N889" s="4">
        <v>173.1</v>
      </c>
      <c r="O889" s="4">
        <v>734.7</v>
      </c>
      <c r="P889" s="4">
        <v>3.8764546470000001</v>
      </c>
      <c r="Q889" s="4">
        <v>53.255000000000003</v>
      </c>
      <c r="R889" t="str" cm="1">
        <f t="array" ref="R889">_xlfn.IFS(B889="NY","New York",B889="TX","Texas",B889="CA","California")</f>
        <v>New York</v>
      </c>
    </row>
    <row r="890" spans="1:18" x14ac:dyDescent="0.3">
      <c r="A890" t="s">
        <v>2</v>
      </c>
      <c r="B890" t="s">
        <v>7</v>
      </c>
      <c r="C890" s="2">
        <v>43163</v>
      </c>
      <c r="D890" s="11" t="s">
        <v>69</v>
      </c>
      <c r="E890" s="3">
        <f t="shared" ca="1" si="13"/>
        <v>823863139</v>
      </c>
      <c r="F890" t="s">
        <v>11</v>
      </c>
      <c r="G890" t="s">
        <v>15</v>
      </c>
      <c r="H890" s="1" t="s">
        <v>235</v>
      </c>
      <c r="I890" t="s">
        <v>22</v>
      </c>
      <c r="J890" s="4">
        <v>3.4</v>
      </c>
      <c r="K890" s="4">
        <v>96.91</v>
      </c>
      <c r="L890" s="4">
        <v>8</v>
      </c>
      <c r="M890" s="4">
        <v>86.98</v>
      </c>
      <c r="N890" s="4">
        <v>123.8661</v>
      </c>
      <c r="O890" s="4">
        <v>97.52</v>
      </c>
      <c r="P890" s="4">
        <v>3.8764546470000001</v>
      </c>
      <c r="Q890" s="4">
        <v>81</v>
      </c>
      <c r="R890" t="str" cm="1">
        <f t="array" ref="R890">_xlfn.IFS(B890="NY","New York",B890="TX","Texas",B890="CA","California")</f>
        <v>Texas</v>
      </c>
    </row>
    <row r="891" spans="1:18" x14ac:dyDescent="0.3">
      <c r="A891" t="s">
        <v>1</v>
      </c>
      <c r="B891" t="s">
        <v>6</v>
      </c>
      <c r="C891" s="2">
        <v>43208</v>
      </c>
      <c r="D891" s="11" t="s">
        <v>120</v>
      </c>
      <c r="E891" s="3">
        <f t="shared" ca="1" si="13"/>
        <v>531774836</v>
      </c>
      <c r="F891" t="s">
        <v>12</v>
      </c>
      <c r="G891" t="s">
        <v>14</v>
      </c>
      <c r="H891" s="1" t="s">
        <v>235</v>
      </c>
      <c r="I891" t="s">
        <v>20</v>
      </c>
      <c r="J891" s="4">
        <v>9</v>
      </c>
      <c r="K891" s="4">
        <v>45.69</v>
      </c>
      <c r="L891" s="4">
        <v>10</v>
      </c>
      <c r="M891" s="4">
        <v>12.16</v>
      </c>
      <c r="N891" s="4">
        <v>136.1215</v>
      </c>
      <c r="O891" s="4">
        <v>769.2</v>
      </c>
      <c r="P891" s="4">
        <v>3.8764546470000001</v>
      </c>
      <c r="Q891" s="4">
        <v>23.23</v>
      </c>
      <c r="R891" t="str" cm="1">
        <f t="array" ref="R891">_xlfn.IFS(B891="NY","New York",B891="TX","Texas",B891="CA","California")</f>
        <v>New York</v>
      </c>
    </row>
    <row r="892" spans="1:18" x14ac:dyDescent="0.3">
      <c r="A892" t="s">
        <v>2</v>
      </c>
      <c r="B892" t="s">
        <v>7</v>
      </c>
      <c r="C892" s="2">
        <v>43346</v>
      </c>
      <c r="D892" s="11" t="s">
        <v>64</v>
      </c>
      <c r="E892" s="3">
        <f t="shared" ca="1" si="13"/>
        <v>655404221</v>
      </c>
      <c r="F892" t="s">
        <v>11</v>
      </c>
      <c r="G892" t="s">
        <v>15</v>
      </c>
      <c r="H892" s="1" t="s">
        <v>236</v>
      </c>
      <c r="I892" t="s">
        <v>17</v>
      </c>
      <c r="J892" s="4">
        <v>4</v>
      </c>
      <c r="K892" s="4">
        <v>61.98</v>
      </c>
      <c r="L892" s="4">
        <v>5</v>
      </c>
      <c r="M892" s="4">
        <v>55.3</v>
      </c>
      <c r="N892" s="4">
        <v>175.80420000000001</v>
      </c>
      <c r="O892" s="4">
        <v>418.3</v>
      </c>
      <c r="P892" s="4">
        <v>3.8764546470000001</v>
      </c>
      <c r="Q892" s="4">
        <v>30.06</v>
      </c>
      <c r="R892" t="str" cm="1">
        <f t="array" ref="R892">_xlfn.IFS(B892="NY","New York",B892="TX","Texas",B892="CA","California")</f>
        <v>Texas</v>
      </c>
    </row>
    <row r="893" spans="1:18" x14ac:dyDescent="0.3">
      <c r="A893" t="s">
        <v>3</v>
      </c>
      <c r="B893" t="s">
        <v>8</v>
      </c>
      <c r="C893" s="2">
        <v>42908</v>
      </c>
      <c r="D893" s="11" t="s">
        <v>30</v>
      </c>
      <c r="E893" s="3">
        <f t="shared" ca="1" si="13"/>
        <v>415923167</v>
      </c>
      <c r="F893" t="s">
        <v>11</v>
      </c>
      <c r="G893" t="s">
        <v>15</v>
      </c>
      <c r="H893" s="1" t="s">
        <v>236</v>
      </c>
      <c r="I893" t="s">
        <v>18</v>
      </c>
      <c r="J893" s="4">
        <v>2.2999999999999998</v>
      </c>
      <c r="K893" s="4">
        <v>86.59</v>
      </c>
      <c r="L893" s="4">
        <v>8</v>
      </c>
      <c r="M893" s="4">
        <v>83</v>
      </c>
      <c r="N893" s="4">
        <v>124.8181</v>
      </c>
      <c r="O893" s="4">
        <v>463.28</v>
      </c>
      <c r="P893" s="4">
        <v>3.8764546470000001</v>
      </c>
      <c r="Q893" s="4">
        <v>29.27</v>
      </c>
      <c r="R893" t="str" cm="1">
        <f t="array" ref="R893">_xlfn.IFS(B893="NY","New York",B893="TX","Texas",B893="CA","California")</f>
        <v>California</v>
      </c>
    </row>
    <row r="894" spans="1:18" x14ac:dyDescent="0.3">
      <c r="A894" t="s">
        <v>2</v>
      </c>
      <c r="B894" t="s">
        <v>7</v>
      </c>
      <c r="C894" s="2">
        <v>43186</v>
      </c>
      <c r="D894" s="11" t="s">
        <v>67</v>
      </c>
      <c r="E894" s="3">
        <f t="shared" ca="1" si="13"/>
        <v>287747954</v>
      </c>
      <c r="F894" t="s">
        <v>11</v>
      </c>
      <c r="G894" t="s">
        <v>14</v>
      </c>
      <c r="H894" s="1" t="s">
        <v>237</v>
      </c>
      <c r="I894" t="s">
        <v>22</v>
      </c>
      <c r="J894" s="4">
        <v>2.1</v>
      </c>
      <c r="K894" s="4">
        <v>45.96</v>
      </c>
      <c r="L894" s="4">
        <v>5</v>
      </c>
      <c r="M894" s="4">
        <v>11.6</v>
      </c>
      <c r="N894" s="4">
        <v>176.2</v>
      </c>
      <c r="O894" s="4">
        <v>462.45</v>
      </c>
      <c r="P894" s="4">
        <v>3.8764546470000001</v>
      </c>
      <c r="Q894" s="4">
        <v>28.48</v>
      </c>
      <c r="R894" t="str" cm="1">
        <f t="array" ref="R894">_xlfn.IFS(B894="NY","New York",B894="TX","Texas",B894="CA","California")</f>
        <v>Texas</v>
      </c>
    </row>
    <row r="895" spans="1:18" x14ac:dyDescent="0.3">
      <c r="A895" t="s">
        <v>3</v>
      </c>
      <c r="B895" t="s">
        <v>8</v>
      </c>
      <c r="C895" s="2">
        <v>43085</v>
      </c>
      <c r="D895" s="11" t="s">
        <v>81</v>
      </c>
      <c r="E895" s="3">
        <f t="shared" ca="1" si="13"/>
        <v>405265648</v>
      </c>
      <c r="F895" t="s">
        <v>12</v>
      </c>
      <c r="G895" t="s">
        <v>15</v>
      </c>
      <c r="H895" s="1" t="s">
        <v>236</v>
      </c>
      <c r="I895" t="s">
        <v>18</v>
      </c>
      <c r="J895" s="4">
        <v>6</v>
      </c>
      <c r="K895" s="4">
        <v>13.7</v>
      </c>
      <c r="L895" s="4">
        <v>5</v>
      </c>
      <c r="M895" s="4">
        <v>65.63</v>
      </c>
      <c r="N895" s="4">
        <v>147.80000000000001</v>
      </c>
      <c r="O895" s="4">
        <v>141.9</v>
      </c>
      <c r="P895" s="4">
        <v>3.8764546470000001</v>
      </c>
      <c r="Q895" s="4">
        <v>96.16</v>
      </c>
      <c r="R895" t="str" cm="1">
        <f t="array" ref="R895">_xlfn.IFS(B895="NY","New York",B895="TX","Texas",B895="CA","California")</f>
        <v>California</v>
      </c>
    </row>
    <row r="896" spans="1:18" x14ac:dyDescent="0.3">
      <c r="A896" t="s">
        <v>3</v>
      </c>
      <c r="B896" t="s">
        <v>8</v>
      </c>
      <c r="C896" s="2">
        <v>43086</v>
      </c>
      <c r="D896" s="11" t="s">
        <v>111</v>
      </c>
      <c r="E896" s="3">
        <f t="shared" ca="1" si="13"/>
        <v>885562758</v>
      </c>
      <c r="F896" t="s">
        <v>12</v>
      </c>
      <c r="G896" t="s">
        <v>14</v>
      </c>
      <c r="H896" s="1" t="s">
        <v>237</v>
      </c>
      <c r="I896" t="s">
        <v>18</v>
      </c>
      <c r="J896" s="4">
        <v>9.9</v>
      </c>
      <c r="K896" s="4">
        <v>84.605999999999995</v>
      </c>
      <c r="L896" s="4">
        <v>6</v>
      </c>
      <c r="M896" s="4">
        <v>31.67</v>
      </c>
      <c r="N896" s="4">
        <v>164.5</v>
      </c>
      <c r="O896" s="4">
        <v>302.7</v>
      </c>
      <c r="P896" s="4">
        <v>3.8764546470000001</v>
      </c>
      <c r="Q896" s="4">
        <v>36.44</v>
      </c>
      <c r="R896" t="str" cm="1">
        <f t="array" ref="R896">_xlfn.IFS(B896="NY","New York",B896="TX","Texas",B896="CA","California")</f>
        <v>California</v>
      </c>
    </row>
    <row r="897" spans="1:18" x14ac:dyDescent="0.3">
      <c r="A897" t="s">
        <v>3</v>
      </c>
      <c r="B897" t="s">
        <v>8</v>
      </c>
      <c r="C897" s="2">
        <v>43148</v>
      </c>
      <c r="D897" s="11" t="s">
        <v>85</v>
      </c>
      <c r="E897" s="3">
        <f t="shared" ca="1" si="13"/>
        <v>405693177</v>
      </c>
      <c r="F897" t="s">
        <v>12</v>
      </c>
      <c r="G897" t="s">
        <v>15</v>
      </c>
      <c r="H897" s="1" t="s">
        <v>237</v>
      </c>
      <c r="I897" t="s">
        <v>17</v>
      </c>
      <c r="J897" s="4">
        <v>5.0999999999999996</v>
      </c>
      <c r="K897" s="4">
        <v>66.099999999999994</v>
      </c>
      <c r="L897" s="4">
        <v>8</v>
      </c>
      <c r="M897" s="4">
        <v>91.9</v>
      </c>
      <c r="N897" s="4">
        <v>175.7</v>
      </c>
      <c r="O897" s="4">
        <v>793.28</v>
      </c>
      <c r="P897" s="4">
        <v>3.8764546470000001</v>
      </c>
      <c r="Q897" s="4">
        <v>96.27</v>
      </c>
      <c r="R897" t="str" cm="1">
        <f t="array" ref="R897">_xlfn.IFS(B897="NY","New York",B897="TX","Texas",B897="CA","California")</f>
        <v>California</v>
      </c>
    </row>
    <row r="898" spans="1:18" x14ac:dyDescent="0.3">
      <c r="A898" t="s">
        <v>2</v>
      </c>
      <c r="B898" t="s">
        <v>7</v>
      </c>
      <c r="C898" s="2">
        <v>43369</v>
      </c>
      <c r="D898" s="11" t="s">
        <v>202</v>
      </c>
      <c r="E898" s="3">
        <f t="shared" ca="1" si="13"/>
        <v>411602047</v>
      </c>
      <c r="F898" t="s">
        <v>12</v>
      </c>
      <c r="G898" t="s">
        <v>15</v>
      </c>
      <c r="H898" s="1" t="s">
        <v>235</v>
      </c>
      <c r="I898" t="s">
        <v>22</v>
      </c>
      <c r="J898" s="4">
        <v>1.1000000000000001</v>
      </c>
      <c r="K898" s="4">
        <v>56.28</v>
      </c>
      <c r="L898" s="4">
        <v>7</v>
      </c>
      <c r="M898" s="4">
        <v>98.45</v>
      </c>
      <c r="N898" s="4">
        <v>132.19999999999999</v>
      </c>
      <c r="O898" s="4">
        <v>425.18</v>
      </c>
      <c r="P898" s="4">
        <v>3.8764546470000001</v>
      </c>
      <c r="Q898" s="4">
        <v>45.07</v>
      </c>
      <c r="R898" t="str" cm="1">
        <f t="array" ref="R898">_xlfn.IFS(B898="NY","New York",B898="TX","Texas",B898="CA","California")</f>
        <v>Texas</v>
      </c>
    </row>
    <row r="899" spans="1:18" x14ac:dyDescent="0.3">
      <c r="A899" t="s">
        <v>2</v>
      </c>
      <c r="B899" t="s">
        <v>7</v>
      </c>
      <c r="C899" s="2">
        <v>42908</v>
      </c>
      <c r="D899" s="11" t="s">
        <v>177</v>
      </c>
      <c r="E899" s="3">
        <f t="shared" ref="E899:E962" ca="1" si="14">RANDBETWEEN(10000000,1000000000)</f>
        <v>506384041</v>
      </c>
      <c r="F899" t="s">
        <v>11</v>
      </c>
      <c r="G899" t="s">
        <v>14</v>
      </c>
      <c r="H899" s="1" t="s">
        <v>236</v>
      </c>
      <c r="I899" t="s">
        <v>21</v>
      </c>
      <c r="J899" s="4">
        <v>8</v>
      </c>
      <c r="K899" s="4">
        <v>15.196</v>
      </c>
      <c r="L899" s="4">
        <v>6</v>
      </c>
      <c r="M899" s="4">
        <v>55.66</v>
      </c>
      <c r="N899" s="4">
        <v>169.2</v>
      </c>
      <c r="O899" s="4">
        <v>283.62</v>
      </c>
      <c r="P899" s="4">
        <v>3.8764546470000001</v>
      </c>
      <c r="Q899" s="4">
        <v>62.22</v>
      </c>
      <c r="R899" t="str" cm="1">
        <f t="array" ref="R899">_xlfn.IFS(B899="NY","New York",B899="TX","Texas",B899="CA","California")</f>
        <v>Texas</v>
      </c>
    </row>
    <row r="900" spans="1:18" x14ac:dyDescent="0.3">
      <c r="A900" t="s">
        <v>2</v>
      </c>
      <c r="B900" t="s">
        <v>7</v>
      </c>
      <c r="C900" s="2">
        <v>42872</v>
      </c>
      <c r="D900" s="11" t="s">
        <v>58</v>
      </c>
      <c r="E900" s="3">
        <f t="shared" ca="1" si="14"/>
        <v>269698195</v>
      </c>
      <c r="F900" t="s">
        <v>12</v>
      </c>
      <c r="G900" t="s">
        <v>14</v>
      </c>
      <c r="H900" s="1" t="s">
        <v>236</v>
      </c>
      <c r="I900" t="s">
        <v>17</v>
      </c>
      <c r="J900" s="4">
        <v>9.6</v>
      </c>
      <c r="K900" s="4">
        <v>28.6</v>
      </c>
      <c r="L900" s="4">
        <v>7</v>
      </c>
      <c r="M900" s="4">
        <v>22.27</v>
      </c>
      <c r="N900" s="4">
        <v>170.8</v>
      </c>
      <c r="O900" s="4">
        <v>599.20000000000005</v>
      </c>
      <c r="P900" s="4">
        <v>3.8764546470000001</v>
      </c>
      <c r="Q900" s="4">
        <v>94.968999999999994</v>
      </c>
      <c r="R900" t="str" cm="1">
        <f t="array" ref="R900">_xlfn.IFS(B900="NY","New York",B900="TX","Texas",B900="CA","California")</f>
        <v>Texas</v>
      </c>
    </row>
    <row r="901" spans="1:18" x14ac:dyDescent="0.3">
      <c r="A901" t="s">
        <v>1</v>
      </c>
      <c r="B901" t="s">
        <v>6</v>
      </c>
      <c r="C901" s="2">
        <v>43185</v>
      </c>
      <c r="D901" s="11" t="s">
        <v>91</v>
      </c>
      <c r="E901" s="3">
        <f t="shared" ca="1" si="14"/>
        <v>151480106</v>
      </c>
      <c r="F901" t="s">
        <v>12</v>
      </c>
      <c r="G901" t="s">
        <v>14</v>
      </c>
      <c r="H901" s="1" t="s">
        <v>235</v>
      </c>
      <c r="I901" t="s">
        <v>21</v>
      </c>
      <c r="J901" s="4">
        <v>7.6</v>
      </c>
      <c r="K901" s="4">
        <v>82.11</v>
      </c>
      <c r="L901" s="4">
        <v>9</v>
      </c>
      <c r="M901" s="4">
        <v>71.87</v>
      </c>
      <c r="N901" s="4">
        <v>140.1</v>
      </c>
      <c r="O901" s="4">
        <v>315.36</v>
      </c>
      <c r="P901" s="4">
        <v>3.8764546470000001</v>
      </c>
      <c r="Q901" s="4">
        <v>82.97</v>
      </c>
      <c r="R901" t="str" cm="1">
        <f t="array" ref="R901">_xlfn.IFS(B901="NY","New York",B901="TX","Texas",B901="CA","California")</f>
        <v>New York</v>
      </c>
    </row>
    <row r="902" spans="1:18" x14ac:dyDescent="0.3">
      <c r="A902" t="s">
        <v>2</v>
      </c>
      <c r="B902" t="s">
        <v>7</v>
      </c>
      <c r="C902" s="2">
        <v>43040</v>
      </c>
      <c r="D902" s="11" t="s">
        <v>127</v>
      </c>
      <c r="E902" s="3">
        <f t="shared" ca="1" si="14"/>
        <v>434653740</v>
      </c>
      <c r="F902" t="s">
        <v>11</v>
      </c>
      <c r="G902" t="s">
        <v>14</v>
      </c>
      <c r="H902" s="1" t="s">
        <v>237</v>
      </c>
      <c r="I902" t="s">
        <v>18</v>
      </c>
      <c r="J902" s="4">
        <v>5.2</v>
      </c>
      <c r="K902" s="4">
        <v>53.89</v>
      </c>
      <c r="L902" s="4">
        <v>9</v>
      </c>
      <c r="M902" s="4">
        <v>47.47</v>
      </c>
      <c r="N902" s="4">
        <v>160.9</v>
      </c>
      <c r="O902" s="4">
        <v>403.56</v>
      </c>
      <c r="P902" s="4">
        <v>3.8764546470000001</v>
      </c>
      <c r="Q902" s="4">
        <v>16.800999999999998</v>
      </c>
      <c r="R902" t="str" cm="1">
        <f t="array" ref="R902">_xlfn.IFS(B902="NY","New York",B902="TX","Texas",B902="CA","California")</f>
        <v>Texas</v>
      </c>
    </row>
    <row r="903" spans="1:18" x14ac:dyDescent="0.3">
      <c r="A903" t="s">
        <v>3</v>
      </c>
      <c r="B903" t="s">
        <v>8</v>
      </c>
      <c r="C903" s="2">
        <v>42837</v>
      </c>
      <c r="D903" s="11" t="s">
        <v>105</v>
      </c>
      <c r="E903" s="3">
        <f t="shared" ca="1" si="14"/>
        <v>375108038</v>
      </c>
      <c r="F903" t="s">
        <v>12</v>
      </c>
      <c r="G903" t="s">
        <v>15</v>
      </c>
      <c r="H903" s="1" t="s">
        <v>235</v>
      </c>
      <c r="I903" t="s">
        <v>19</v>
      </c>
      <c r="J903" s="4">
        <v>1.9</v>
      </c>
      <c r="K903" s="4">
        <v>12.2</v>
      </c>
      <c r="L903" s="4">
        <v>4</v>
      </c>
      <c r="M903" s="4">
        <v>44.03</v>
      </c>
      <c r="N903" s="4">
        <v>123.6306</v>
      </c>
      <c r="O903" s="4">
        <v>183.88</v>
      </c>
      <c r="P903" s="4">
        <v>3.8764546470000001</v>
      </c>
      <c r="Q903" s="4">
        <v>77.891999999999996</v>
      </c>
      <c r="R903" t="str" cm="1">
        <f t="array" ref="R903">_xlfn.IFS(B903="NY","New York",B903="TX","Texas",B903="CA","California")</f>
        <v>California</v>
      </c>
    </row>
    <row r="904" spans="1:18" x14ac:dyDescent="0.3">
      <c r="A904" t="s">
        <v>1</v>
      </c>
      <c r="B904" t="s">
        <v>6</v>
      </c>
      <c r="C904" s="2">
        <v>43052</v>
      </c>
      <c r="D904" s="11" t="s">
        <v>79</v>
      </c>
      <c r="E904" s="3">
        <f t="shared" ca="1" si="14"/>
        <v>855398583</v>
      </c>
      <c r="F904" t="s">
        <v>11</v>
      </c>
      <c r="G904" t="s">
        <v>14</v>
      </c>
      <c r="H904" s="1" t="s">
        <v>237</v>
      </c>
      <c r="I904" t="s">
        <v>17</v>
      </c>
      <c r="J904" s="4">
        <v>9.5</v>
      </c>
      <c r="K904" s="4">
        <v>10.5</v>
      </c>
      <c r="L904" s="4">
        <v>5</v>
      </c>
      <c r="M904" s="4">
        <v>45.29</v>
      </c>
      <c r="N904" s="4">
        <v>112.1631</v>
      </c>
      <c r="O904" s="4">
        <v>138.65</v>
      </c>
      <c r="P904" s="4">
        <v>3.8764546470000001</v>
      </c>
      <c r="Q904" s="4">
        <v>46.003999999999998</v>
      </c>
      <c r="R904" t="str" cm="1">
        <f t="array" ref="R904">_xlfn.IFS(B904="NY","New York",B904="TX","Texas",B904="CA","California")</f>
        <v>New York</v>
      </c>
    </row>
    <row r="905" spans="1:18" x14ac:dyDescent="0.3">
      <c r="A905" t="s">
        <v>1</v>
      </c>
      <c r="B905" t="s">
        <v>6</v>
      </c>
      <c r="C905" s="2">
        <v>42890</v>
      </c>
      <c r="D905" s="11" t="s">
        <v>209</v>
      </c>
      <c r="E905" s="3">
        <f t="shared" ca="1" si="14"/>
        <v>729489406</v>
      </c>
      <c r="F905" t="s">
        <v>12</v>
      </c>
      <c r="G905" t="s">
        <v>15</v>
      </c>
      <c r="H905" s="1" t="s">
        <v>236</v>
      </c>
      <c r="I905" t="s">
        <v>21</v>
      </c>
      <c r="J905" s="4">
        <v>2</v>
      </c>
      <c r="K905" s="4">
        <v>64.17</v>
      </c>
      <c r="L905" s="4">
        <v>7</v>
      </c>
      <c r="M905" s="4">
        <v>36.840000000000003</v>
      </c>
      <c r="N905" s="4">
        <v>160.6979</v>
      </c>
      <c r="O905" s="4">
        <v>80.709999999999994</v>
      </c>
      <c r="P905" s="4">
        <v>3.8764546470000001</v>
      </c>
      <c r="Q905" s="4">
        <v>90.313000000000002</v>
      </c>
      <c r="R905" t="str" cm="1">
        <f t="array" ref="R905">_xlfn.IFS(B905="NY","New York",B905="TX","Texas",B905="CA","California")</f>
        <v>New York</v>
      </c>
    </row>
    <row r="906" spans="1:18" x14ac:dyDescent="0.3">
      <c r="A906" t="s">
        <v>2</v>
      </c>
      <c r="B906" t="s">
        <v>7</v>
      </c>
      <c r="C906" s="2">
        <v>43059</v>
      </c>
      <c r="D906" s="11" t="s">
        <v>30</v>
      </c>
      <c r="E906" s="3">
        <f t="shared" ca="1" si="14"/>
        <v>981444761</v>
      </c>
      <c r="F906" t="s">
        <v>11</v>
      </c>
      <c r="G906" t="s">
        <v>15</v>
      </c>
      <c r="H906" s="1" t="s">
        <v>235</v>
      </c>
      <c r="I906" t="s">
        <v>17</v>
      </c>
      <c r="J906" s="4">
        <v>5.3</v>
      </c>
      <c r="K906" s="4">
        <v>22.97</v>
      </c>
      <c r="L906" s="4">
        <v>2</v>
      </c>
      <c r="M906" s="4">
        <v>37.29</v>
      </c>
      <c r="N906" s="4">
        <v>104.39239999999999</v>
      </c>
      <c r="O906" s="4">
        <v>116.64</v>
      </c>
      <c r="P906" s="4">
        <v>3.8764546470000001</v>
      </c>
      <c r="Q906" s="4">
        <v>35.985999999999997</v>
      </c>
      <c r="R906" t="str" cm="1">
        <f t="array" ref="R906">_xlfn.IFS(B906="NY","New York",B906="TX","Texas",B906="CA","California")</f>
        <v>Texas</v>
      </c>
    </row>
    <row r="907" spans="1:18" x14ac:dyDescent="0.3">
      <c r="A907" t="s">
        <v>2</v>
      </c>
      <c r="B907" t="s">
        <v>7</v>
      </c>
      <c r="C907" s="2">
        <v>43087</v>
      </c>
      <c r="D907" s="11" t="s">
        <v>218</v>
      </c>
      <c r="E907" s="3">
        <f t="shared" ca="1" si="14"/>
        <v>566668683</v>
      </c>
      <c r="F907" t="s">
        <v>11</v>
      </c>
      <c r="G907" t="s">
        <v>14</v>
      </c>
      <c r="H907" s="1" t="s">
        <v>236</v>
      </c>
      <c r="I907" t="s">
        <v>19</v>
      </c>
      <c r="J907" s="4">
        <v>8.1</v>
      </c>
      <c r="K907" s="4">
        <v>93.33</v>
      </c>
      <c r="L907" s="4">
        <v>4</v>
      </c>
      <c r="M907" s="4">
        <v>79.430000000000007</v>
      </c>
      <c r="N907" s="4">
        <v>154</v>
      </c>
      <c r="O907" s="4">
        <v>313.52</v>
      </c>
      <c r="P907" s="4">
        <v>3.8764546470000001</v>
      </c>
      <c r="Q907" s="4">
        <v>92.290999999999997</v>
      </c>
      <c r="R907" t="str" cm="1">
        <f t="array" ref="R907">_xlfn.IFS(B907="NY","New York",B907="TX","Texas",B907="CA","California")</f>
        <v>Texas</v>
      </c>
    </row>
    <row r="908" spans="1:18" x14ac:dyDescent="0.3">
      <c r="A908" t="s">
        <v>2</v>
      </c>
      <c r="B908" t="s">
        <v>7</v>
      </c>
      <c r="C908" s="2">
        <v>43306</v>
      </c>
      <c r="D908" s="11" t="s">
        <v>215</v>
      </c>
      <c r="E908" s="3">
        <f t="shared" ca="1" si="14"/>
        <v>698374488</v>
      </c>
      <c r="F908" t="s">
        <v>12</v>
      </c>
      <c r="G908" t="s">
        <v>15</v>
      </c>
      <c r="H908" s="1" t="s">
        <v>237</v>
      </c>
      <c r="I908" t="s">
        <v>17</v>
      </c>
      <c r="J908" s="4">
        <v>2.6</v>
      </c>
      <c r="K908" s="4">
        <v>66.099999999999994</v>
      </c>
      <c r="L908" s="4">
        <v>10</v>
      </c>
      <c r="M908" s="4">
        <v>62.61</v>
      </c>
      <c r="N908" s="4">
        <v>145.30000000000001</v>
      </c>
      <c r="O908" s="4">
        <v>846.1</v>
      </c>
      <c r="P908" s="4">
        <v>3.8764546470000001</v>
      </c>
      <c r="Q908" s="4">
        <v>82.72</v>
      </c>
      <c r="R908" t="str" cm="1">
        <f t="array" ref="R908">_xlfn.IFS(B908="NY","New York",B908="TX","Texas",B908="CA","California")</f>
        <v>Texas</v>
      </c>
    </row>
    <row r="909" spans="1:18" x14ac:dyDescent="0.3">
      <c r="A909" t="s">
        <v>3</v>
      </c>
      <c r="B909" t="s">
        <v>8</v>
      </c>
      <c r="C909" s="2">
        <v>43268</v>
      </c>
      <c r="D909" s="11" t="s">
        <v>45</v>
      </c>
      <c r="E909" s="3">
        <f t="shared" ca="1" si="14"/>
        <v>557982938</v>
      </c>
      <c r="F909" t="s">
        <v>11</v>
      </c>
      <c r="G909" t="s">
        <v>15</v>
      </c>
      <c r="H909" s="1" t="s">
        <v>237</v>
      </c>
      <c r="I909" t="s">
        <v>17</v>
      </c>
      <c r="J909" s="4">
        <v>6.6</v>
      </c>
      <c r="K909" s="4">
        <v>66.664000000000001</v>
      </c>
      <c r="L909" s="4">
        <v>5</v>
      </c>
      <c r="M909" s="4">
        <v>12.27</v>
      </c>
      <c r="N909" s="4">
        <v>101.7</v>
      </c>
      <c r="O909" s="4">
        <v>414.4</v>
      </c>
      <c r="P909" s="4">
        <v>3.8764546470000001</v>
      </c>
      <c r="Q909" s="4">
        <v>44.59</v>
      </c>
      <c r="R909" t="str" cm="1">
        <f t="array" ref="R909">_xlfn.IFS(B909="NY","New York",B909="TX","Texas",B909="CA","California")</f>
        <v>California</v>
      </c>
    </row>
    <row r="910" spans="1:18" x14ac:dyDescent="0.3">
      <c r="A910" t="s">
        <v>1</v>
      </c>
      <c r="B910" t="s">
        <v>6</v>
      </c>
      <c r="C910" s="2">
        <v>42951</v>
      </c>
      <c r="D910" s="11" t="s">
        <v>171</v>
      </c>
      <c r="E910" s="3">
        <f t="shared" ca="1" si="14"/>
        <v>824768884</v>
      </c>
      <c r="F910" t="s">
        <v>11</v>
      </c>
      <c r="G910" t="s">
        <v>14</v>
      </c>
      <c r="H910" s="1" t="s">
        <v>235</v>
      </c>
      <c r="I910" t="s">
        <v>21</v>
      </c>
      <c r="J910" s="4">
        <v>7</v>
      </c>
      <c r="K910" s="4">
        <v>60.692</v>
      </c>
      <c r="L910" s="4">
        <v>2</v>
      </c>
      <c r="M910" s="4">
        <v>47.79</v>
      </c>
      <c r="N910" s="4">
        <v>121.3</v>
      </c>
      <c r="O910" s="4">
        <v>159.08000000000001</v>
      </c>
      <c r="P910" s="4">
        <v>3.8764546470000001</v>
      </c>
      <c r="Q910" s="4">
        <v>31.39</v>
      </c>
      <c r="R910" t="str" cm="1">
        <f t="array" ref="R910">_xlfn.IFS(B910="NY","New York",B910="TX","Texas",B910="CA","California")</f>
        <v>New York</v>
      </c>
    </row>
    <row r="911" spans="1:18" x14ac:dyDescent="0.3">
      <c r="A911" t="s">
        <v>3</v>
      </c>
      <c r="B911" t="s">
        <v>8</v>
      </c>
      <c r="C911" s="2">
        <v>43031</v>
      </c>
      <c r="D911" s="11" t="s">
        <v>103</v>
      </c>
      <c r="E911" s="3">
        <f t="shared" ca="1" si="14"/>
        <v>483806797</v>
      </c>
      <c r="F911" t="s">
        <v>11</v>
      </c>
      <c r="G911" t="s">
        <v>15</v>
      </c>
      <c r="H911" s="1" t="s">
        <v>237</v>
      </c>
      <c r="I911" t="s">
        <v>19</v>
      </c>
      <c r="J911" s="4">
        <v>1</v>
      </c>
      <c r="K911" s="4">
        <v>90.269000000000005</v>
      </c>
      <c r="L911" s="4">
        <v>10</v>
      </c>
      <c r="M911" s="4">
        <v>54.97</v>
      </c>
      <c r="N911" s="4">
        <v>187.1</v>
      </c>
      <c r="O911" s="4">
        <v>490.1</v>
      </c>
      <c r="P911" s="4">
        <v>3.8764546470000001</v>
      </c>
      <c r="Q911" s="4">
        <v>10.009</v>
      </c>
      <c r="R911" t="str" cm="1">
        <f t="array" ref="R911">_xlfn.IFS(B911="NY","New York",B911="TX","Texas",B911="CA","California")</f>
        <v>California</v>
      </c>
    </row>
    <row r="912" spans="1:18" x14ac:dyDescent="0.3">
      <c r="A912" t="s">
        <v>3</v>
      </c>
      <c r="B912" t="s">
        <v>8</v>
      </c>
      <c r="C912" s="2">
        <v>43328</v>
      </c>
      <c r="D912" s="11" t="s">
        <v>203</v>
      </c>
      <c r="E912" s="3">
        <f t="shared" ca="1" si="14"/>
        <v>464760101</v>
      </c>
      <c r="F912" t="s">
        <v>11</v>
      </c>
      <c r="G912" t="s">
        <v>14</v>
      </c>
      <c r="H912" s="1" t="s">
        <v>237</v>
      </c>
      <c r="I912" t="s">
        <v>21</v>
      </c>
      <c r="J912" s="4">
        <v>5.4</v>
      </c>
      <c r="K912" s="4">
        <v>93.39</v>
      </c>
      <c r="L912" s="4">
        <v>3</v>
      </c>
      <c r="M912" s="4">
        <v>87.34</v>
      </c>
      <c r="N912" s="4">
        <v>105.5</v>
      </c>
      <c r="O912" s="4">
        <v>87.45</v>
      </c>
      <c r="P912" s="4">
        <v>3.8764546470000001</v>
      </c>
      <c r="Q912" s="4">
        <v>29.052</v>
      </c>
      <c r="R912" t="str" cm="1">
        <f t="array" ref="R912">_xlfn.IFS(B912="NY","New York",B912="TX","Texas",B912="CA","California")</f>
        <v>California</v>
      </c>
    </row>
    <row r="913" spans="1:18" x14ac:dyDescent="0.3">
      <c r="A913" t="s">
        <v>2</v>
      </c>
      <c r="B913" t="s">
        <v>7</v>
      </c>
      <c r="C913" s="2">
        <v>43275</v>
      </c>
      <c r="D913" s="11" t="s">
        <v>48</v>
      </c>
      <c r="E913" s="3">
        <f t="shared" ca="1" si="14"/>
        <v>52107528</v>
      </c>
      <c r="F913" t="s">
        <v>11</v>
      </c>
      <c r="G913" t="s">
        <v>15</v>
      </c>
      <c r="H913" s="1" t="s">
        <v>235</v>
      </c>
      <c r="I913" t="s">
        <v>18</v>
      </c>
      <c r="J913" s="4">
        <v>8.1</v>
      </c>
      <c r="K913" s="4">
        <v>85.415000000000006</v>
      </c>
      <c r="L913" s="4">
        <v>4</v>
      </c>
      <c r="M913" s="4">
        <v>18.579999999999998</v>
      </c>
      <c r="N913" s="4">
        <v>165.6</v>
      </c>
      <c r="O913" s="4">
        <v>224.52</v>
      </c>
      <c r="P913" s="4">
        <v>3.8764546470000001</v>
      </c>
      <c r="Q913" s="4">
        <v>33.746000000000002</v>
      </c>
      <c r="R913" t="str" cm="1">
        <f t="array" ref="R913">_xlfn.IFS(B913="NY","New York",B913="TX","Texas",B913="CA","California")</f>
        <v>Texas</v>
      </c>
    </row>
    <row r="914" spans="1:18" x14ac:dyDescent="0.3">
      <c r="A914" t="s">
        <v>1</v>
      </c>
      <c r="B914" t="s">
        <v>6</v>
      </c>
      <c r="C914" s="2">
        <v>43289</v>
      </c>
      <c r="D914" s="11" t="s">
        <v>225</v>
      </c>
      <c r="E914" s="3">
        <f t="shared" ca="1" si="14"/>
        <v>646613139</v>
      </c>
      <c r="F914" t="s">
        <v>11</v>
      </c>
      <c r="G914" t="s">
        <v>15</v>
      </c>
      <c r="H914" s="1" t="s">
        <v>236</v>
      </c>
      <c r="I914" t="s">
        <v>19</v>
      </c>
      <c r="J914" s="4">
        <v>4.8</v>
      </c>
      <c r="K914" s="4">
        <v>28.26</v>
      </c>
      <c r="L914" s="4">
        <v>8</v>
      </c>
      <c r="M914" s="4">
        <v>27.99</v>
      </c>
      <c r="N914" s="4">
        <v>128.8416</v>
      </c>
      <c r="O914" s="4">
        <v>744.96</v>
      </c>
      <c r="P914" s="4">
        <v>3.8764546470000001</v>
      </c>
      <c r="Q914" s="4">
        <v>67.177999999999997</v>
      </c>
      <c r="R914" t="str" cm="1">
        <f t="array" ref="R914">_xlfn.IFS(B914="NY","New York",B914="TX","Texas",B914="CA","California")</f>
        <v>New York</v>
      </c>
    </row>
    <row r="915" spans="1:18" x14ac:dyDescent="0.3">
      <c r="A915" t="s">
        <v>1</v>
      </c>
      <c r="B915" t="s">
        <v>6</v>
      </c>
      <c r="C915" s="2">
        <v>42805</v>
      </c>
      <c r="D915" s="11" t="s">
        <v>155</v>
      </c>
      <c r="E915" s="3">
        <f t="shared" ca="1" si="14"/>
        <v>803884043</v>
      </c>
      <c r="F915" t="s">
        <v>12</v>
      </c>
      <c r="G915" t="s">
        <v>14</v>
      </c>
      <c r="H915" s="1" t="s">
        <v>235</v>
      </c>
      <c r="I915" t="s">
        <v>22</v>
      </c>
      <c r="J915" s="4">
        <v>4</v>
      </c>
      <c r="K915" s="4">
        <v>19.43</v>
      </c>
      <c r="L915" s="4">
        <v>8</v>
      </c>
      <c r="M915" s="4">
        <v>61.42</v>
      </c>
      <c r="N915" s="4">
        <v>133.04220000000001</v>
      </c>
      <c r="O915" s="4">
        <v>410.72</v>
      </c>
      <c r="P915" s="4">
        <v>3.8764546470000001</v>
      </c>
      <c r="Q915" s="4">
        <v>87.483000000000004</v>
      </c>
      <c r="R915" t="str" cm="1">
        <f t="array" ref="R915">_xlfn.IFS(B915="NY","New York",B915="TX","Texas",B915="CA","California")</f>
        <v>New York</v>
      </c>
    </row>
    <row r="916" spans="1:18" x14ac:dyDescent="0.3">
      <c r="A916" t="s">
        <v>1</v>
      </c>
      <c r="B916" t="s">
        <v>6</v>
      </c>
      <c r="C916" s="2">
        <v>42925</v>
      </c>
      <c r="D916" s="11" t="s">
        <v>169</v>
      </c>
      <c r="E916" s="3">
        <f t="shared" ca="1" si="14"/>
        <v>953179485</v>
      </c>
      <c r="F916" t="s">
        <v>11</v>
      </c>
      <c r="G916" t="s">
        <v>14</v>
      </c>
      <c r="H916" s="1" t="s">
        <v>236</v>
      </c>
      <c r="I916" t="s">
        <v>21</v>
      </c>
      <c r="J916" s="4">
        <v>4</v>
      </c>
      <c r="K916" s="4">
        <v>99.92</v>
      </c>
      <c r="L916" s="4">
        <v>3</v>
      </c>
      <c r="M916" s="4">
        <v>75.22</v>
      </c>
      <c r="N916" s="4">
        <v>172.89769999999999</v>
      </c>
      <c r="O916" s="4">
        <v>298.8</v>
      </c>
      <c r="P916" s="4">
        <v>3.8764546470000001</v>
      </c>
      <c r="Q916" s="4">
        <v>73.429000000000002</v>
      </c>
      <c r="R916" t="str" cm="1">
        <f t="array" ref="R916">_xlfn.IFS(B916="NY","New York",B916="TX","Texas",B916="CA","California")</f>
        <v>New York</v>
      </c>
    </row>
    <row r="917" spans="1:18" x14ac:dyDescent="0.3">
      <c r="A917" t="s">
        <v>2</v>
      </c>
      <c r="B917" t="s">
        <v>7</v>
      </c>
      <c r="C917" s="2">
        <v>43267</v>
      </c>
      <c r="D917" s="11" t="s">
        <v>37</v>
      </c>
      <c r="E917" s="3">
        <f t="shared" ca="1" si="14"/>
        <v>939608070</v>
      </c>
      <c r="F917" t="s">
        <v>11</v>
      </c>
      <c r="G917" t="s">
        <v>15</v>
      </c>
      <c r="H917" s="1" t="s">
        <v>236</v>
      </c>
      <c r="I917" t="s">
        <v>18</v>
      </c>
      <c r="J917" s="4">
        <v>9.9</v>
      </c>
      <c r="K917" s="4">
        <v>85.531000000000006</v>
      </c>
      <c r="L917" s="4">
        <v>6</v>
      </c>
      <c r="M917" s="4">
        <v>92.48</v>
      </c>
      <c r="N917" s="4">
        <v>134.9812</v>
      </c>
      <c r="O917" s="4">
        <v>212.94</v>
      </c>
      <c r="P917" s="4">
        <v>3.8764546470000001</v>
      </c>
      <c r="Q917" s="4">
        <v>86.74</v>
      </c>
      <c r="R917" t="str" cm="1">
        <f t="array" ref="R917">_xlfn.IFS(B917="NY","New York",B917="TX","Texas",B917="CA","California")</f>
        <v>Texas</v>
      </c>
    </row>
    <row r="918" spans="1:18" x14ac:dyDescent="0.3">
      <c r="A918" t="s">
        <v>2</v>
      </c>
      <c r="B918" t="s">
        <v>7</v>
      </c>
      <c r="C918" s="2">
        <v>42801</v>
      </c>
      <c r="D918" s="11" t="s">
        <v>96</v>
      </c>
      <c r="E918" s="3">
        <f t="shared" ca="1" si="14"/>
        <v>266664111</v>
      </c>
      <c r="F918" t="s">
        <v>12</v>
      </c>
      <c r="G918" t="s">
        <v>14</v>
      </c>
      <c r="H918" s="1" t="s">
        <v>237</v>
      </c>
      <c r="I918" t="s">
        <v>20</v>
      </c>
      <c r="J918" s="4">
        <v>5.8</v>
      </c>
      <c r="K918" s="4">
        <v>65.751000000000005</v>
      </c>
      <c r="L918" s="4">
        <v>1</v>
      </c>
      <c r="M918" s="4">
        <v>70.31</v>
      </c>
      <c r="N918" s="4">
        <v>122.1883</v>
      </c>
      <c r="O918" s="4">
        <v>42.85</v>
      </c>
      <c r="P918" s="4">
        <v>3.8764546470000001</v>
      </c>
      <c r="Q918" s="4">
        <v>29.818000000000001</v>
      </c>
      <c r="R918" t="str" cm="1">
        <f t="array" ref="R918">_xlfn.IFS(B918="NY","New York",B918="TX","Texas",B918="CA","California")</f>
        <v>Texas</v>
      </c>
    </row>
    <row r="919" spans="1:18" x14ac:dyDescent="0.3">
      <c r="A919" t="s">
        <v>1</v>
      </c>
      <c r="B919" t="s">
        <v>6</v>
      </c>
      <c r="C919" s="2">
        <v>42952</v>
      </c>
      <c r="D919" s="11" t="s">
        <v>217</v>
      </c>
      <c r="E919" s="3">
        <f t="shared" ca="1" si="14"/>
        <v>191597198</v>
      </c>
      <c r="F919" t="s">
        <v>11</v>
      </c>
      <c r="G919" t="s">
        <v>15</v>
      </c>
      <c r="H919" s="1" t="s">
        <v>236</v>
      </c>
      <c r="I919" t="s">
        <v>22</v>
      </c>
      <c r="J919" s="4">
        <v>7</v>
      </c>
      <c r="K919" s="4">
        <v>18.478999999999999</v>
      </c>
      <c r="L919" s="4">
        <v>4</v>
      </c>
      <c r="M919" s="4">
        <v>64.400000000000006</v>
      </c>
      <c r="N919" s="4">
        <v>137.1</v>
      </c>
      <c r="O919" s="4">
        <v>378.68</v>
      </c>
      <c r="P919" s="4">
        <v>3.8764546470000001</v>
      </c>
      <c r="Q919" s="4">
        <v>87.742999999999995</v>
      </c>
      <c r="R919" t="str" cm="1">
        <f t="array" ref="R919">_xlfn.IFS(B919="NY","New York",B919="TX","Texas",B919="CA","California")</f>
        <v>New York</v>
      </c>
    </row>
    <row r="920" spans="1:18" x14ac:dyDescent="0.3">
      <c r="A920" t="s">
        <v>3</v>
      </c>
      <c r="B920" t="s">
        <v>8</v>
      </c>
      <c r="C920" s="2">
        <v>43109</v>
      </c>
      <c r="D920" s="11" t="s">
        <v>193</v>
      </c>
      <c r="E920" s="3">
        <f t="shared" ca="1" si="14"/>
        <v>864041167</v>
      </c>
      <c r="F920" t="s">
        <v>12</v>
      </c>
      <c r="G920" t="s">
        <v>15</v>
      </c>
      <c r="H920" s="1" t="s">
        <v>235</v>
      </c>
      <c r="I920" t="s">
        <v>19</v>
      </c>
      <c r="J920" s="4">
        <v>4</v>
      </c>
      <c r="K920" s="4">
        <v>63.981000000000002</v>
      </c>
      <c r="L920" s="4">
        <v>3</v>
      </c>
      <c r="M920" s="4">
        <v>68.03</v>
      </c>
      <c r="N920" s="4">
        <v>160.19999999999999</v>
      </c>
      <c r="O920" s="4">
        <v>206.91</v>
      </c>
      <c r="P920" s="4">
        <v>3.8764546470000001</v>
      </c>
      <c r="Q920" s="4">
        <v>86.346999999999994</v>
      </c>
      <c r="R920" t="str" cm="1">
        <f t="array" ref="R920">_xlfn.IFS(B920="NY","New York",B920="TX","Texas",B920="CA","California")</f>
        <v>California</v>
      </c>
    </row>
    <row r="921" spans="1:18" x14ac:dyDescent="0.3">
      <c r="A921" t="s">
        <v>3</v>
      </c>
      <c r="B921" t="s">
        <v>8</v>
      </c>
      <c r="C921" s="2">
        <v>42926</v>
      </c>
      <c r="D921" s="11" t="s">
        <v>160</v>
      </c>
      <c r="E921" s="3">
        <f t="shared" ca="1" si="14"/>
        <v>805474843</v>
      </c>
      <c r="F921" t="s">
        <v>11</v>
      </c>
      <c r="G921" t="s">
        <v>14</v>
      </c>
      <c r="H921" s="1" t="s">
        <v>235</v>
      </c>
      <c r="I921" t="s">
        <v>18</v>
      </c>
      <c r="J921" s="4">
        <v>8</v>
      </c>
      <c r="K921" s="4">
        <v>73.203000000000003</v>
      </c>
      <c r="L921" s="4">
        <v>3</v>
      </c>
      <c r="M921" s="4">
        <v>32.700000000000003</v>
      </c>
      <c r="N921" s="4">
        <v>131.5</v>
      </c>
      <c r="O921" s="4">
        <v>78.78</v>
      </c>
      <c r="P921" s="4">
        <v>3.8764546470000001</v>
      </c>
      <c r="Q921" s="4">
        <v>96.808999999999997</v>
      </c>
      <c r="R921" t="str" cm="1">
        <f t="array" ref="R921">_xlfn.IFS(B921="NY","New York",B921="TX","Texas",B921="CA","California")</f>
        <v>California</v>
      </c>
    </row>
    <row r="922" spans="1:18" x14ac:dyDescent="0.3">
      <c r="A922" t="s">
        <v>2</v>
      </c>
      <c r="B922" t="s">
        <v>7</v>
      </c>
      <c r="C922" s="2">
        <v>43190</v>
      </c>
      <c r="D922" s="11" t="s">
        <v>206</v>
      </c>
      <c r="E922" s="3">
        <f t="shared" ca="1" si="14"/>
        <v>773731794</v>
      </c>
      <c r="F922" t="s">
        <v>11</v>
      </c>
      <c r="G922" t="s">
        <v>14</v>
      </c>
      <c r="H922" s="1" t="s">
        <v>237</v>
      </c>
      <c r="I922" t="s">
        <v>19</v>
      </c>
      <c r="J922" s="4">
        <v>7</v>
      </c>
      <c r="K922" s="4">
        <v>91.183000000000007</v>
      </c>
      <c r="L922" s="4">
        <v>9</v>
      </c>
      <c r="M922" s="4">
        <v>15.73</v>
      </c>
      <c r="N922" s="4">
        <v>165.5</v>
      </c>
      <c r="O922" s="4">
        <v>322.11</v>
      </c>
      <c r="P922" s="4">
        <v>3.8764546470000001</v>
      </c>
      <c r="Q922" s="4">
        <v>53.005000000000003</v>
      </c>
      <c r="R922" t="str" cm="1">
        <f t="array" ref="R922">_xlfn.IFS(B922="NY","New York",B922="TX","Texas",B922="CA","California")</f>
        <v>Texas</v>
      </c>
    </row>
    <row r="923" spans="1:18" x14ac:dyDescent="0.3">
      <c r="A923" t="s">
        <v>3</v>
      </c>
      <c r="B923" t="s">
        <v>8</v>
      </c>
      <c r="C923" s="2">
        <v>42848</v>
      </c>
      <c r="D923" s="11" t="s">
        <v>207</v>
      </c>
      <c r="E923" s="3">
        <f t="shared" ca="1" si="14"/>
        <v>683089689</v>
      </c>
      <c r="F923" t="s">
        <v>11</v>
      </c>
      <c r="G923" t="s">
        <v>15</v>
      </c>
      <c r="H923" s="1" t="s">
        <v>236</v>
      </c>
      <c r="I923" t="s">
        <v>19</v>
      </c>
      <c r="J923" s="4">
        <v>4</v>
      </c>
      <c r="K923" s="4">
        <v>32.299999999999997</v>
      </c>
      <c r="L923" s="4">
        <v>6</v>
      </c>
      <c r="M923" s="4">
        <v>54.58</v>
      </c>
      <c r="N923" s="4">
        <v>111.5</v>
      </c>
      <c r="O923" s="4">
        <v>98.22</v>
      </c>
      <c r="P923" s="4">
        <v>3.8764546470000001</v>
      </c>
      <c r="Q923" s="4">
        <v>80.281999999999996</v>
      </c>
      <c r="R923" t="str" cm="1">
        <f t="array" ref="R923">_xlfn.IFS(B923="NY","New York",B923="TX","Texas",B923="CA","California")</f>
        <v>California</v>
      </c>
    </row>
    <row r="924" spans="1:18" x14ac:dyDescent="0.3">
      <c r="A924" t="s">
        <v>2</v>
      </c>
      <c r="B924" t="s">
        <v>7</v>
      </c>
      <c r="C924" s="2">
        <v>43206</v>
      </c>
      <c r="D924" s="11" t="s">
        <v>215</v>
      </c>
      <c r="E924" s="3">
        <f t="shared" ca="1" si="14"/>
        <v>541016410</v>
      </c>
      <c r="F924" t="s">
        <v>11</v>
      </c>
      <c r="G924" t="s">
        <v>14</v>
      </c>
      <c r="H924" s="1" t="s">
        <v>237</v>
      </c>
      <c r="I924" t="s">
        <v>19</v>
      </c>
      <c r="J924" s="4">
        <v>7.1</v>
      </c>
      <c r="K924" s="4">
        <v>11.36</v>
      </c>
      <c r="L924" s="4">
        <v>2</v>
      </c>
      <c r="M924" s="4">
        <v>48.08</v>
      </c>
      <c r="N924" s="4">
        <v>171.8</v>
      </c>
      <c r="O924" s="4">
        <v>25.46</v>
      </c>
      <c r="P924" s="4">
        <v>3.8764546470000001</v>
      </c>
      <c r="Q924" s="4">
        <v>16.7</v>
      </c>
      <c r="R924" t="str" cm="1">
        <f t="array" ref="R924">_xlfn.IFS(B924="NY","New York",B924="TX","Texas",B924="CA","California")</f>
        <v>Texas</v>
      </c>
    </row>
    <row r="925" spans="1:18" x14ac:dyDescent="0.3">
      <c r="A925" t="s">
        <v>2</v>
      </c>
      <c r="B925" t="s">
        <v>7</v>
      </c>
      <c r="C925" s="2">
        <v>43431</v>
      </c>
      <c r="D925" s="11" t="s">
        <v>91</v>
      </c>
      <c r="E925" s="3">
        <f t="shared" ca="1" si="14"/>
        <v>447634422</v>
      </c>
      <c r="F925" t="s">
        <v>11</v>
      </c>
      <c r="G925" t="s">
        <v>15</v>
      </c>
      <c r="H925" s="1" t="s">
        <v>237</v>
      </c>
      <c r="I925" t="s">
        <v>20</v>
      </c>
      <c r="J925" s="4">
        <v>2.7</v>
      </c>
      <c r="K925" s="4">
        <v>89.65</v>
      </c>
      <c r="L925" s="4">
        <v>7</v>
      </c>
      <c r="M925" s="4">
        <v>63.66</v>
      </c>
      <c r="N925" s="4">
        <v>101.2</v>
      </c>
      <c r="O925" s="4">
        <v>581.98</v>
      </c>
      <c r="P925" s="4">
        <v>3.8764546470000001</v>
      </c>
      <c r="Q925" s="4">
        <v>64.064999999999998</v>
      </c>
      <c r="R925" t="str" cm="1">
        <f t="array" ref="R925">_xlfn.IFS(B925="NY","New York",B925="TX","Texas",B925="CA","California")</f>
        <v>Texas</v>
      </c>
    </row>
    <row r="926" spans="1:18" x14ac:dyDescent="0.3">
      <c r="A926" t="s">
        <v>2</v>
      </c>
      <c r="B926" t="s">
        <v>7</v>
      </c>
      <c r="C926" s="2">
        <v>42811</v>
      </c>
      <c r="D926" s="11" t="s">
        <v>179</v>
      </c>
      <c r="E926" s="3">
        <f t="shared" ca="1" si="14"/>
        <v>386385975</v>
      </c>
      <c r="F926" t="s">
        <v>11</v>
      </c>
      <c r="G926" t="s">
        <v>14</v>
      </c>
      <c r="H926" s="1" t="s">
        <v>235</v>
      </c>
      <c r="I926" t="s">
        <v>20</v>
      </c>
      <c r="J926" s="4">
        <v>1.9</v>
      </c>
      <c r="K926" s="4">
        <v>28.774000000000001</v>
      </c>
      <c r="L926" s="4">
        <v>6</v>
      </c>
      <c r="M926" s="4">
        <v>55.57</v>
      </c>
      <c r="N926" s="4">
        <v>103.1</v>
      </c>
      <c r="O926" s="4">
        <v>211.32</v>
      </c>
      <c r="P926" s="4">
        <v>3.8764546470000001</v>
      </c>
      <c r="Q926" s="4">
        <v>47.109000000000002</v>
      </c>
      <c r="R926" t="str" cm="1">
        <f t="array" ref="R926">_xlfn.IFS(B926="NY","New York",B926="TX","Texas",B926="CA","California")</f>
        <v>Texas</v>
      </c>
    </row>
    <row r="927" spans="1:18" x14ac:dyDescent="0.3">
      <c r="A927" t="s">
        <v>3</v>
      </c>
      <c r="B927" t="s">
        <v>8</v>
      </c>
      <c r="C927" s="2">
        <v>43135</v>
      </c>
      <c r="D927" s="11" t="s">
        <v>171</v>
      </c>
      <c r="E927" s="3">
        <f t="shared" ca="1" si="14"/>
        <v>237764868</v>
      </c>
      <c r="F927" t="s">
        <v>11</v>
      </c>
      <c r="G927" t="s">
        <v>15</v>
      </c>
      <c r="H927" s="1" t="s">
        <v>235</v>
      </c>
      <c r="I927" t="s">
        <v>18</v>
      </c>
      <c r="J927" s="4">
        <v>6.6</v>
      </c>
      <c r="K927" s="4">
        <v>15.683</v>
      </c>
      <c r="L927" s="4">
        <v>4</v>
      </c>
      <c r="M927" s="4">
        <v>13.87</v>
      </c>
      <c r="N927" s="4">
        <v>176.77719999999999</v>
      </c>
      <c r="O927" s="4">
        <v>55.12</v>
      </c>
      <c r="P927" s="4">
        <v>3.8764546470000001</v>
      </c>
      <c r="Q927" s="4">
        <v>43.936</v>
      </c>
      <c r="R927" t="str" cm="1">
        <f t="array" ref="R927">_xlfn.IFS(B927="NY","New York",B927="TX","Texas",B927="CA","California")</f>
        <v>California</v>
      </c>
    </row>
    <row r="928" spans="1:18" x14ac:dyDescent="0.3">
      <c r="A928" t="s">
        <v>3</v>
      </c>
      <c r="B928" t="s">
        <v>8</v>
      </c>
      <c r="C928" s="2">
        <v>43068</v>
      </c>
      <c r="D928" s="11" t="s">
        <v>174</v>
      </c>
      <c r="E928" s="3">
        <f t="shared" ca="1" si="14"/>
        <v>363297383</v>
      </c>
      <c r="F928" t="s">
        <v>12</v>
      </c>
      <c r="G928" t="s">
        <v>14</v>
      </c>
      <c r="H928" s="1" t="s">
        <v>237</v>
      </c>
      <c r="I928" t="s">
        <v>20</v>
      </c>
      <c r="J928" s="4">
        <v>1.6</v>
      </c>
      <c r="K928" s="4">
        <v>38.479999999999997</v>
      </c>
      <c r="L928" s="4">
        <v>1</v>
      </c>
      <c r="M928" s="4">
        <v>19.91</v>
      </c>
      <c r="N928" s="4">
        <v>139.08680000000001</v>
      </c>
      <c r="O928" s="4">
        <v>88.31</v>
      </c>
      <c r="P928" s="4">
        <v>3.8764546470000001</v>
      </c>
      <c r="Q928" s="4">
        <v>44.841000000000001</v>
      </c>
      <c r="R928" t="str" cm="1">
        <f t="array" ref="R928">_xlfn.IFS(B928="NY","New York",B928="TX","Texas",B928="CA","California")</f>
        <v>California</v>
      </c>
    </row>
    <row r="929" spans="1:18" x14ac:dyDescent="0.3">
      <c r="A929" t="s">
        <v>1</v>
      </c>
      <c r="B929" t="s">
        <v>6</v>
      </c>
      <c r="C929" s="2">
        <v>43274</v>
      </c>
      <c r="D929" s="11" t="s">
        <v>83</v>
      </c>
      <c r="E929" s="3">
        <f t="shared" ca="1" si="14"/>
        <v>62764462</v>
      </c>
      <c r="F929" t="s">
        <v>11</v>
      </c>
      <c r="G929" t="s">
        <v>14</v>
      </c>
      <c r="H929" s="1" t="s">
        <v>237</v>
      </c>
      <c r="I929" t="s">
        <v>17</v>
      </c>
      <c r="J929" s="4">
        <v>2</v>
      </c>
      <c r="K929" s="4">
        <v>51.1</v>
      </c>
      <c r="L929" s="4">
        <v>9</v>
      </c>
      <c r="M929" s="4">
        <v>78.84</v>
      </c>
      <c r="N929" s="4">
        <v>117.996</v>
      </c>
      <c r="O929" s="4">
        <v>356.58</v>
      </c>
      <c r="P929" s="4">
        <v>3.8764546470000001</v>
      </c>
      <c r="Q929" s="4">
        <v>74.709999999999994</v>
      </c>
      <c r="R929" t="str" cm="1">
        <f t="array" ref="R929">_xlfn.IFS(B929="NY","New York",B929="TX","Texas",B929="CA","California")</f>
        <v>New York</v>
      </c>
    </row>
    <row r="930" spans="1:18" x14ac:dyDescent="0.3">
      <c r="A930" t="s">
        <v>3</v>
      </c>
      <c r="B930" t="s">
        <v>8</v>
      </c>
      <c r="C930" s="2">
        <v>43001</v>
      </c>
      <c r="D930" s="11" t="s">
        <v>88</v>
      </c>
      <c r="E930" s="3">
        <f t="shared" ca="1" si="14"/>
        <v>861247358</v>
      </c>
      <c r="F930" t="s">
        <v>11</v>
      </c>
      <c r="G930" t="s">
        <v>15</v>
      </c>
      <c r="H930" s="1" t="s">
        <v>237</v>
      </c>
      <c r="I930" t="s">
        <v>18</v>
      </c>
      <c r="J930" s="4">
        <v>3.5</v>
      </c>
      <c r="K930" s="4">
        <v>56.127000000000002</v>
      </c>
      <c r="L930" s="4">
        <v>9</v>
      </c>
      <c r="M930" s="4">
        <v>70.73</v>
      </c>
      <c r="N930" s="4">
        <v>104.91630000000001</v>
      </c>
      <c r="O930" s="4">
        <v>794.25</v>
      </c>
      <c r="P930" s="4">
        <v>3.8764546470000001</v>
      </c>
      <c r="Q930" s="4">
        <v>52.52</v>
      </c>
      <c r="R930" t="str" cm="1">
        <f t="array" ref="R930">_xlfn.IFS(B930="NY","New York",B930="TX","Texas",B930="CA","California")</f>
        <v>California</v>
      </c>
    </row>
    <row r="931" spans="1:18" x14ac:dyDescent="0.3">
      <c r="A931" t="s">
        <v>3</v>
      </c>
      <c r="B931" t="s">
        <v>8</v>
      </c>
      <c r="C931" s="2">
        <v>43410</v>
      </c>
      <c r="D931" s="11" t="s">
        <v>204</v>
      </c>
      <c r="E931" s="3">
        <f t="shared" ca="1" si="14"/>
        <v>463919263</v>
      </c>
      <c r="F931" t="s">
        <v>12</v>
      </c>
      <c r="G931" t="s">
        <v>15</v>
      </c>
      <c r="H931" s="1" t="s">
        <v>235</v>
      </c>
      <c r="I931" t="s">
        <v>20</v>
      </c>
      <c r="J931" s="4">
        <v>9</v>
      </c>
      <c r="K931" s="4">
        <v>30.06</v>
      </c>
      <c r="L931" s="4">
        <v>2</v>
      </c>
      <c r="M931" s="4">
        <v>10.69</v>
      </c>
      <c r="N931" s="4">
        <v>101.6678</v>
      </c>
      <c r="O931" s="4">
        <v>50.62</v>
      </c>
      <c r="P931" s="4">
        <v>3.8764546470000001</v>
      </c>
      <c r="Q931" s="4">
        <v>43.537999999999997</v>
      </c>
      <c r="R931" t="str" cm="1">
        <f t="array" ref="R931">_xlfn.IFS(B931="NY","New York",B931="TX","Texas",B931="CA","California")</f>
        <v>California</v>
      </c>
    </row>
    <row r="932" spans="1:18" x14ac:dyDescent="0.3">
      <c r="A932" t="s">
        <v>3</v>
      </c>
      <c r="B932" t="s">
        <v>8</v>
      </c>
      <c r="C932" s="2">
        <v>43236</v>
      </c>
      <c r="D932" s="11" t="s">
        <v>145</v>
      </c>
      <c r="E932" s="3">
        <f t="shared" ca="1" si="14"/>
        <v>642181968</v>
      </c>
      <c r="F932" t="s">
        <v>12</v>
      </c>
      <c r="G932" t="s">
        <v>15</v>
      </c>
      <c r="H932" s="1" t="s">
        <v>235</v>
      </c>
      <c r="I932" t="s">
        <v>19</v>
      </c>
      <c r="J932" s="4">
        <v>7.2</v>
      </c>
      <c r="K932" s="4">
        <v>74.7</v>
      </c>
      <c r="L932" s="4">
        <v>6</v>
      </c>
      <c r="M932" s="4">
        <v>77.94</v>
      </c>
      <c r="N932" s="4">
        <v>164.4316</v>
      </c>
      <c r="O932" s="4">
        <v>599.52</v>
      </c>
      <c r="P932" s="4">
        <v>3.8764546470000001</v>
      </c>
      <c r="Q932" s="4">
        <v>40.198</v>
      </c>
      <c r="R932" t="str" cm="1">
        <f t="array" ref="R932">_xlfn.IFS(B932="NY","New York",B932="TX","Texas",B932="CA","California")</f>
        <v>California</v>
      </c>
    </row>
    <row r="933" spans="1:18" x14ac:dyDescent="0.3">
      <c r="A933" t="s">
        <v>2</v>
      </c>
      <c r="B933" t="s">
        <v>7</v>
      </c>
      <c r="C933" s="2">
        <v>43099</v>
      </c>
      <c r="D933" s="11" t="s">
        <v>154</v>
      </c>
      <c r="E933" s="3">
        <f t="shared" ca="1" si="14"/>
        <v>99914229</v>
      </c>
      <c r="F933" t="s">
        <v>11</v>
      </c>
      <c r="G933" t="s">
        <v>14</v>
      </c>
      <c r="H933" s="1" t="s">
        <v>237</v>
      </c>
      <c r="I933" t="s">
        <v>22</v>
      </c>
      <c r="J933" s="4">
        <v>5</v>
      </c>
      <c r="K933" s="4">
        <v>74.06</v>
      </c>
      <c r="L933" s="4">
        <v>2</v>
      </c>
      <c r="M933" s="4">
        <v>48.52</v>
      </c>
      <c r="N933" s="4">
        <v>153.5444</v>
      </c>
      <c r="O933" s="4">
        <v>166.7</v>
      </c>
      <c r="P933" s="4">
        <v>3.8764546470000001</v>
      </c>
      <c r="Q933" s="4">
        <v>45.884999999999998</v>
      </c>
      <c r="R933" t="str" cm="1">
        <f t="array" ref="R933">_xlfn.IFS(B933="NY","New York",B933="TX","Texas",B933="CA","California")</f>
        <v>Texas</v>
      </c>
    </row>
    <row r="934" spans="1:18" x14ac:dyDescent="0.3">
      <c r="A934" t="s">
        <v>1</v>
      </c>
      <c r="B934" t="s">
        <v>6</v>
      </c>
      <c r="C934" s="2">
        <v>43142</v>
      </c>
      <c r="D934" s="11" t="s">
        <v>35</v>
      </c>
      <c r="E934" s="3">
        <f t="shared" ca="1" si="14"/>
        <v>326352607</v>
      </c>
      <c r="F934" t="s">
        <v>11</v>
      </c>
      <c r="G934" t="s">
        <v>15</v>
      </c>
      <c r="H934" s="1" t="s">
        <v>235</v>
      </c>
      <c r="I934" t="s">
        <v>21</v>
      </c>
      <c r="J934" s="4">
        <v>1</v>
      </c>
      <c r="K934" s="4">
        <v>80.58</v>
      </c>
      <c r="L934" s="4">
        <v>10</v>
      </c>
      <c r="M934" s="4">
        <v>73.959999999999994</v>
      </c>
      <c r="N934" s="4">
        <v>133.03059999999999</v>
      </c>
      <c r="O934" s="4">
        <v>744.4</v>
      </c>
      <c r="P934" s="4">
        <v>3.8764546470000001</v>
      </c>
      <c r="Q934" s="4">
        <v>78.27</v>
      </c>
      <c r="R934" t="str" cm="1">
        <f t="array" ref="R934">_xlfn.IFS(B934="NY","New York",B934="TX","Texas",B934="CA","California")</f>
        <v>New York</v>
      </c>
    </row>
    <row r="935" spans="1:18" x14ac:dyDescent="0.3">
      <c r="A935" t="s">
        <v>2</v>
      </c>
      <c r="B935" t="s">
        <v>7</v>
      </c>
      <c r="C935" s="2">
        <v>43254</v>
      </c>
      <c r="D935" s="11" t="s">
        <v>146</v>
      </c>
      <c r="E935" s="3">
        <f t="shared" ca="1" si="14"/>
        <v>61875882</v>
      </c>
      <c r="F935" t="s">
        <v>12</v>
      </c>
      <c r="G935" t="s">
        <v>15</v>
      </c>
      <c r="H935" s="1" t="s">
        <v>235</v>
      </c>
      <c r="I935" t="s">
        <v>17</v>
      </c>
      <c r="J935" s="4">
        <v>6.3</v>
      </c>
      <c r="K935" s="4">
        <v>77.91</v>
      </c>
      <c r="L935" s="4">
        <v>7</v>
      </c>
      <c r="M935" s="4">
        <v>41.66</v>
      </c>
      <c r="N935" s="4">
        <v>131.3878</v>
      </c>
      <c r="O935" s="4">
        <v>448.56</v>
      </c>
      <c r="P935" s="4">
        <v>3.8764546470000001</v>
      </c>
      <c r="Q935" s="4">
        <v>73.236999999999995</v>
      </c>
      <c r="R935" t="str" cm="1">
        <f t="array" ref="R935">_xlfn.IFS(B935="NY","New York",B935="TX","Texas",B935="CA","California")</f>
        <v>Texas</v>
      </c>
    </row>
    <row r="936" spans="1:18" x14ac:dyDescent="0.3">
      <c r="A936" t="s">
        <v>3</v>
      </c>
      <c r="B936" t="s">
        <v>8</v>
      </c>
      <c r="C936" s="2">
        <v>42913</v>
      </c>
      <c r="D936" s="11" t="s">
        <v>101</v>
      </c>
      <c r="E936" s="3">
        <f t="shared" ca="1" si="14"/>
        <v>416760354</v>
      </c>
      <c r="F936" t="s">
        <v>11</v>
      </c>
      <c r="G936" t="s">
        <v>15</v>
      </c>
      <c r="H936" s="1" t="s">
        <v>235</v>
      </c>
      <c r="I936" t="s">
        <v>19</v>
      </c>
      <c r="J936" s="4">
        <v>4.5</v>
      </c>
      <c r="K936" s="4">
        <v>19.68</v>
      </c>
      <c r="L936" s="4">
        <v>6</v>
      </c>
      <c r="M936" s="4">
        <v>79.78</v>
      </c>
      <c r="N936" s="4">
        <v>113</v>
      </c>
      <c r="O936" s="4">
        <v>378.9</v>
      </c>
      <c r="P936" s="4">
        <v>3.8764546470000001</v>
      </c>
      <c r="Q936" s="4">
        <v>63.585000000000001</v>
      </c>
      <c r="R936" t="str" cm="1">
        <f t="array" ref="R936">_xlfn.IFS(B936="NY","New York",B936="TX","Texas",B936="CA","California")</f>
        <v>California</v>
      </c>
    </row>
    <row r="937" spans="1:18" x14ac:dyDescent="0.3">
      <c r="A937" t="s">
        <v>2</v>
      </c>
      <c r="B937" t="s">
        <v>7</v>
      </c>
      <c r="C937" s="2">
        <v>43459</v>
      </c>
      <c r="D937" s="11" t="s">
        <v>33</v>
      </c>
      <c r="E937" s="3">
        <f t="shared" ca="1" si="14"/>
        <v>690917646</v>
      </c>
      <c r="F937" t="s">
        <v>12</v>
      </c>
      <c r="G937" t="s">
        <v>14</v>
      </c>
      <c r="H937" s="1" t="s">
        <v>235</v>
      </c>
      <c r="I937" t="s">
        <v>19</v>
      </c>
      <c r="J937" s="4">
        <v>3.6</v>
      </c>
      <c r="K937" s="4">
        <v>42.6</v>
      </c>
      <c r="L937" s="4">
        <v>3</v>
      </c>
      <c r="M937" s="4">
        <v>29.46</v>
      </c>
      <c r="N937" s="4">
        <v>154.9</v>
      </c>
      <c r="O937" s="4">
        <v>257.16000000000003</v>
      </c>
      <c r="P937" s="4">
        <v>3.8764546470000001</v>
      </c>
      <c r="Q937" s="4">
        <v>27.855</v>
      </c>
      <c r="R937" t="str" cm="1">
        <f t="array" ref="R937">_xlfn.IFS(B937="NY","New York",B937="TX","Texas",B937="CA","California")</f>
        <v>Texas</v>
      </c>
    </row>
    <row r="938" spans="1:18" x14ac:dyDescent="0.3">
      <c r="A938" t="s">
        <v>2</v>
      </c>
      <c r="B938" t="s">
        <v>7</v>
      </c>
      <c r="C938" s="2">
        <v>43154</v>
      </c>
      <c r="D938" s="11" t="s">
        <v>136</v>
      </c>
      <c r="E938" s="3">
        <f t="shared" ca="1" si="14"/>
        <v>21868859</v>
      </c>
      <c r="F938" t="s">
        <v>11</v>
      </c>
      <c r="G938" t="s">
        <v>15</v>
      </c>
      <c r="H938" s="1" t="s">
        <v>235</v>
      </c>
      <c r="I938" t="s">
        <v>17</v>
      </c>
      <c r="J938" s="4">
        <v>6.5</v>
      </c>
      <c r="K938" s="4">
        <v>78.11</v>
      </c>
      <c r="L938" s="4">
        <v>7</v>
      </c>
      <c r="M938" s="4">
        <v>39.409999999999997</v>
      </c>
      <c r="N938" s="4">
        <v>129.5</v>
      </c>
      <c r="O938" s="4">
        <v>552.23</v>
      </c>
      <c r="P938" s="4">
        <v>3.8764546470000001</v>
      </c>
      <c r="Q938" s="4">
        <v>35.33</v>
      </c>
      <c r="R938" t="str" cm="1">
        <f t="array" ref="R938">_xlfn.IFS(B938="NY","New York",B938="TX","Texas",B938="CA","California")</f>
        <v>Texas</v>
      </c>
    </row>
    <row r="939" spans="1:18" x14ac:dyDescent="0.3">
      <c r="A939" t="s">
        <v>1</v>
      </c>
      <c r="B939" t="s">
        <v>6</v>
      </c>
      <c r="C939" s="2">
        <v>42926</v>
      </c>
      <c r="D939" s="11" t="s">
        <v>132</v>
      </c>
      <c r="E939" s="3">
        <f t="shared" ca="1" si="14"/>
        <v>667456672</v>
      </c>
      <c r="F939" t="s">
        <v>11</v>
      </c>
      <c r="G939" t="s">
        <v>15</v>
      </c>
      <c r="H939" s="1" t="s">
        <v>236</v>
      </c>
      <c r="I939" t="s">
        <v>20</v>
      </c>
      <c r="J939" s="4">
        <v>2</v>
      </c>
      <c r="K939" s="4">
        <v>46.26</v>
      </c>
      <c r="L939" s="4">
        <v>5</v>
      </c>
      <c r="M939" s="4">
        <v>26.35</v>
      </c>
      <c r="N939" s="4">
        <v>110.8</v>
      </c>
      <c r="O939" s="4">
        <v>447.4</v>
      </c>
      <c r="P939" s="4">
        <v>3.8764546470000001</v>
      </c>
      <c r="Q939" s="4">
        <v>46.79</v>
      </c>
      <c r="R939" t="str" cm="1">
        <f t="array" ref="R939">_xlfn.IFS(B939="NY","New York",B939="TX","Texas",B939="CA","California")</f>
        <v>New York</v>
      </c>
    </row>
    <row r="940" spans="1:18" x14ac:dyDescent="0.3">
      <c r="A940" t="s">
        <v>1</v>
      </c>
      <c r="B940" t="s">
        <v>6</v>
      </c>
      <c r="C940" s="2">
        <v>43125</v>
      </c>
      <c r="D940" s="11" t="s">
        <v>116</v>
      </c>
      <c r="E940" s="3">
        <f t="shared" ca="1" si="14"/>
        <v>702140186</v>
      </c>
      <c r="F940" t="s">
        <v>11</v>
      </c>
      <c r="G940" t="s">
        <v>14</v>
      </c>
      <c r="H940" s="1" t="s">
        <v>236</v>
      </c>
      <c r="I940" t="s">
        <v>17</v>
      </c>
      <c r="J940" s="4">
        <v>9</v>
      </c>
      <c r="K940" s="4">
        <v>31.76</v>
      </c>
      <c r="L940" s="4">
        <v>3</v>
      </c>
      <c r="M940" s="4">
        <v>65.77</v>
      </c>
      <c r="N940" s="4">
        <v>173.6</v>
      </c>
      <c r="O940" s="4">
        <v>276.27</v>
      </c>
      <c r="P940" s="4">
        <v>3.8764546470000001</v>
      </c>
      <c r="Q940" s="4">
        <v>85.08</v>
      </c>
      <c r="R940" t="str" cm="1">
        <f t="array" ref="R940">_xlfn.IFS(B940="NY","New York",B940="TX","Texas",B940="CA","California")</f>
        <v>New York</v>
      </c>
    </row>
    <row r="941" spans="1:18" x14ac:dyDescent="0.3">
      <c r="A941" t="s">
        <v>2</v>
      </c>
      <c r="B941" t="s">
        <v>7</v>
      </c>
      <c r="C941" s="2">
        <v>43043</v>
      </c>
      <c r="D941" s="11" t="s">
        <v>140</v>
      </c>
      <c r="E941" s="3">
        <f t="shared" ca="1" si="14"/>
        <v>700162226</v>
      </c>
      <c r="F941" t="s">
        <v>11</v>
      </c>
      <c r="G941" t="s">
        <v>15</v>
      </c>
      <c r="H941" s="1" t="s">
        <v>235</v>
      </c>
      <c r="I941" t="s">
        <v>21</v>
      </c>
      <c r="J941" s="4">
        <v>3</v>
      </c>
      <c r="K941" s="4">
        <v>53.53</v>
      </c>
      <c r="L941" s="4">
        <v>6</v>
      </c>
      <c r="M941" s="4">
        <v>18.14</v>
      </c>
      <c r="N941" s="4">
        <v>164.3</v>
      </c>
      <c r="O941" s="4">
        <v>343.74</v>
      </c>
      <c r="P941" s="4">
        <v>3.8764546470000001</v>
      </c>
      <c r="Q941" s="4">
        <v>10.49</v>
      </c>
      <c r="R941" t="str" cm="1">
        <f t="array" ref="R941">_xlfn.IFS(B941="NY","New York",B941="TX","Texas",B941="CA","California")</f>
        <v>Texas</v>
      </c>
    </row>
    <row r="942" spans="1:18" x14ac:dyDescent="0.3">
      <c r="A942" t="s">
        <v>1</v>
      </c>
      <c r="B942" t="s">
        <v>6</v>
      </c>
      <c r="C942" s="2">
        <v>43242</v>
      </c>
      <c r="D942" s="11" t="s">
        <v>185</v>
      </c>
      <c r="E942" s="3">
        <f t="shared" ca="1" si="14"/>
        <v>163952687</v>
      </c>
      <c r="F942" t="s">
        <v>12</v>
      </c>
      <c r="G942" t="s">
        <v>15</v>
      </c>
      <c r="H942" s="1" t="s">
        <v>235</v>
      </c>
      <c r="I942" t="s">
        <v>21</v>
      </c>
      <c r="J942" s="4">
        <v>7</v>
      </c>
      <c r="K942" s="4">
        <v>46.98</v>
      </c>
      <c r="L942" s="4">
        <v>4</v>
      </c>
      <c r="M942" s="4">
        <v>68.97</v>
      </c>
      <c r="N942" s="4">
        <v>131.4</v>
      </c>
      <c r="O942" s="4">
        <v>266.08</v>
      </c>
      <c r="P942" s="4">
        <v>3.8764546470000001</v>
      </c>
      <c r="Q942" s="4">
        <v>14.936999999999999</v>
      </c>
      <c r="R942" t="str" cm="1">
        <f t="array" ref="R942">_xlfn.IFS(B942="NY","New York",B942="TX","Texas",B942="CA","California")</f>
        <v>New York</v>
      </c>
    </row>
    <row r="943" spans="1:18" x14ac:dyDescent="0.3">
      <c r="A943" t="s">
        <v>2</v>
      </c>
      <c r="B943" t="s">
        <v>7</v>
      </c>
      <c r="C943" s="2">
        <v>42863</v>
      </c>
      <c r="D943" s="11" t="s">
        <v>116</v>
      </c>
      <c r="E943" s="3">
        <f t="shared" ca="1" si="14"/>
        <v>968380641</v>
      </c>
      <c r="F943" t="s">
        <v>12</v>
      </c>
      <c r="G943" t="s">
        <v>14</v>
      </c>
      <c r="H943" s="1" t="s">
        <v>236</v>
      </c>
      <c r="I943" t="s">
        <v>22</v>
      </c>
      <c r="J943" s="4">
        <v>1.5</v>
      </c>
      <c r="K943" s="4">
        <v>87</v>
      </c>
      <c r="L943" s="4">
        <v>9</v>
      </c>
      <c r="M943" s="4">
        <v>78.92</v>
      </c>
      <c r="N943" s="4">
        <v>179.4</v>
      </c>
      <c r="O943" s="4">
        <v>898.38</v>
      </c>
      <c r="P943" s="4">
        <v>3.8764546470000001</v>
      </c>
      <c r="Q943" s="4">
        <v>49.222999999999999</v>
      </c>
      <c r="R943" t="str" cm="1">
        <f t="array" ref="R943">_xlfn.IFS(B943="NY","New York",B943="TX","Texas",B943="CA","California")</f>
        <v>Texas</v>
      </c>
    </row>
    <row r="944" spans="1:18" x14ac:dyDescent="0.3">
      <c r="A944" t="s">
        <v>1</v>
      </c>
      <c r="B944" t="s">
        <v>6</v>
      </c>
      <c r="C944" s="2">
        <v>43279</v>
      </c>
      <c r="D944" s="11" t="s">
        <v>154</v>
      </c>
      <c r="E944" s="3">
        <f t="shared" ca="1" si="14"/>
        <v>217829559</v>
      </c>
      <c r="F944" t="s">
        <v>11</v>
      </c>
      <c r="G944" t="s">
        <v>15</v>
      </c>
      <c r="H944" s="1" t="s">
        <v>235</v>
      </c>
      <c r="I944" t="s">
        <v>19</v>
      </c>
      <c r="J944" s="4">
        <v>5.9</v>
      </c>
      <c r="K944" s="4">
        <v>57.5</v>
      </c>
      <c r="L944" s="4">
        <v>10</v>
      </c>
      <c r="M944" s="4">
        <v>48.96</v>
      </c>
      <c r="N944" s="4">
        <v>133.5669</v>
      </c>
      <c r="O944" s="4">
        <v>456.8</v>
      </c>
      <c r="P944" s="4">
        <v>3.8764546470000001</v>
      </c>
      <c r="Q944" s="4">
        <v>98.283000000000001</v>
      </c>
      <c r="R944" t="str" cm="1">
        <f t="array" ref="R944">_xlfn.IFS(B944="NY","New York",B944="TX","Texas",B944="CA","California")</f>
        <v>New York</v>
      </c>
    </row>
    <row r="945" spans="1:18" x14ac:dyDescent="0.3">
      <c r="A945" t="s">
        <v>1</v>
      </c>
      <c r="B945" t="s">
        <v>6</v>
      </c>
      <c r="C945" s="2">
        <v>43379</v>
      </c>
      <c r="D945" s="11" t="s">
        <v>133</v>
      </c>
      <c r="E945" s="3">
        <f t="shared" ca="1" si="14"/>
        <v>557308626</v>
      </c>
      <c r="F945" t="s">
        <v>12</v>
      </c>
      <c r="G945" t="s">
        <v>15</v>
      </c>
      <c r="H945" s="1" t="s">
        <v>237</v>
      </c>
      <c r="I945" t="s">
        <v>17</v>
      </c>
      <c r="J945" s="4">
        <v>1.9</v>
      </c>
      <c r="K945" s="4">
        <v>42.6</v>
      </c>
      <c r="L945" s="4">
        <v>5</v>
      </c>
      <c r="M945" s="4">
        <v>79.069999999999993</v>
      </c>
      <c r="N945" s="4">
        <v>157.4486</v>
      </c>
      <c r="O945" s="4">
        <v>253.95</v>
      </c>
      <c r="P945" s="4">
        <v>3.8764546470000001</v>
      </c>
      <c r="Q945" s="4">
        <v>38.959000000000003</v>
      </c>
      <c r="R945" t="str" cm="1">
        <f t="array" ref="R945">_xlfn.IFS(B945="NY","New York",B945="TX","Texas",B945="CA","California")</f>
        <v>New York</v>
      </c>
    </row>
    <row r="946" spans="1:18" x14ac:dyDescent="0.3">
      <c r="A946" t="s">
        <v>1</v>
      </c>
      <c r="B946" t="s">
        <v>6</v>
      </c>
      <c r="C946" s="2">
        <v>43287</v>
      </c>
      <c r="D946" s="11" t="s">
        <v>138</v>
      </c>
      <c r="E946" s="3">
        <f t="shared" ca="1" si="14"/>
        <v>175680013</v>
      </c>
      <c r="F946" t="s">
        <v>12</v>
      </c>
      <c r="G946" t="s">
        <v>14</v>
      </c>
      <c r="H946" s="1" t="s">
        <v>236</v>
      </c>
      <c r="I946" t="s">
        <v>17</v>
      </c>
      <c r="J946" s="4">
        <v>6.4</v>
      </c>
      <c r="K946" s="4">
        <v>90.2</v>
      </c>
      <c r="L946" s="4">
        <v>7</v>
      </c>
      <c r="M946" s="4">
        <v>90.78</v>
      </c>
      <c r="N946" s="4">
        <v>136</v>
      </c>
      <c r="O946" s="4">
        <v>70.56</v>
      </c>
      <c r="P946" s="4">
        <v>3.8764546470000001</v>
      </c>
      <c r="Q946" s="4">
        <v>45.948999999999998</v>
      </c>
      <c r="R946" t="str" cm="1">
        <f t="array" ref="R946">_xlfn.IFS(B946="NY","New York",B946="TX","Texas",B946="CA","California")</f>
        <v>New York</v>
      </c>
    </row>
    <row r="947" spans="1:18" x14ac:dyDescent="0.3">
      <c r="A947" t="s">
        <v>1</v>
      </c>
      <c r="B947" t="s">
        <v>6</v>
      </c>
      <c r="C947" s="2">
        <v>43030</v>
      </c>
      <c r="D947" s="11" t="s">
        <v>184</v>
      </c>
      <c r="E947" s="3">
        <f t="shared" ca="1" si="14"/>
        <v>35047703</v>
      </c>
      <c r="F947" t="s">
        <v>11</v>
      </c>
      <c r="G947" t="s">
        <v>15</v>
      </c>
      <c r="H947" s="1" t="s">
        <v>237</v>
      </c>
      <c r="I947" t="s">
        <v>18</v>
      </c>
      <c r="J947" s="4">
        <v>5</v>
      </c>
      <c r="K947" s="4">
        <v>71.099999999999994</v>
      </c>
      <c r="L947" s="4">
        <v>7</v>
      </c>
      <c r="M947" s="4">
        <v>64.19</v>
      </c>
      <c r="N947" s="4">
        <v>151.69999999999999</v>
      </c>
      <c r="O947" s="4">
        <v>657.16</v>
      </c>
      <c r="P947" s="4">
        <v>3.8764546470000001</v>
      </c>
      <c r="Q947" s="4">
        <v>39.31</v>
      </c>
      <c r="R947" t="str" cm="1">
        <f t="array" ref="R947">_xlfn.IFS(B947="NY","New York",B947="TX","Texas",B947="CA","California")</f>
        <v>New York</v>
      </c>
    </row>
    <row r="948" spans="1:18" x14ac:dyDescent="0.3">
      <c r="A948" t="s">
        <v>2</v>
      </c>
      <c r="B948" t="s">
        <v>7</v>
      </c>
      <c r="C948" s="2">
        <v>43211</v>
      </c>
      <c r="D948" s="11" t="s">
        <v>188</v>
      </c>
      <c r="E948" s="3">
        <f t="shared" ca="1" si="14"/>
        <v>42569499</v>
      </c>
      <c r="F948" t="s">
        <v>12</v>
      </c>
      <c r="G948" t="s">
        <v>14</v>
      </c>
      <c r="H948" s="1" t="s">
        <v>237</v>
      </c>
      <c r="I948" t="s">
        <v>18</v>
      </c>
      <c r="J948" s="4">
        <v>6</v>
      </c>
      <c r="K948" s="4">
        <v>93.3</v>
      </c>
      <c r="L948" s="4">
        <v>2</v>
      </c>
      <c r="M948" s="4">
        <v>36.32</v>
      </c>
      <c r="N948" s="4">
        <v>132.69999999999999</v>
      </c>
      <c r="O948" s="4">
        <v>168.5</v>
      </c>
      <c r="P948" s="4">
        <v>3.8764546470000001</v>
      </c>
      <c r="Q948" s="4">
        <v>73.64</v>
      </c>
      <c r="R948" t="str" cm="1">
        <f t="array" ref="R948">_xlfn.IFS(B948="NY","New York",B948="TX","Texas",B948="CA","California")</f>
        <v>Texas</v>
      </c>
    </row>
    <row r="949" spans="1:18" x14ac:dyDescent="0.3">
      <c r="A949" t="s">
        <v>3</v>
      </c>
      <c r="B949" t="s">
        <v>8</v>
      </c>
      <c r="C949" s="2">
        <v>42910</v>
      </c>
      <c r="D949" s="11" t="s">
        <v>158</v>
      </c>
      <c r="E949" s="3">
        <f t="shared" ca="1" si="14"/>
        <v>458170637</v>
      </c>
      <c r="F949" t="s">
        <v>12</v>
      </c>
      <c r="G949" t="s">
        <v>14</v>
      </c>
      <c r="H949" s="1" t="s">
        <v>235</v>
      </c>
      <c r="I949" t="s">
        <v>22</v>
      </c>
      <c r="J949" s="4">
        <v>1.4</v>
      </c>
      <c r="K949" s="4">
        <v>45.1</v>
      </c>
      <c r="L949" s="4">
        <v>1</v>
      </c>
      <c r="M949" s="4">
        <v>60.27</v>
      </c>
      <c r="N949" s="4">
        <v>104.2</v>
      </c>
      <c r="O949" s="4">
        <v>53.78</v>
      </c>
      <c r="P949" s="4">
        <v>3.8764546470000001</v>
      </c>
      <c r="Q949" s="4">
        <v>12.84</v>
      </c>
      <c r="R949" t="str" cm="1">
        <f t="array" ref="R949">_xlfn.IFS(B949="NY","New York",B949="TX","Texas",B949="CA","California")</f>
        <v>California</v>
      </c>
    </row>
    <row r="950" spans="1:18" x14ac:dyDescent="0.3">
      <c r="A950" t="s">
        <v>2</v>
      </c>
      <c r="B950" t="s">
        <v>7</v>
      </c>
      <c r="C950" s="2">
        <v>43168</v>
      </c>
      <c r="D950" s="11" t="s">
        <v>225</v>
      </c>
      <c r="E950" s="3">
        <f t="shared" ca="1" si="14"/>
        <v>829004249</v>
      </c>
      <c r="F950" t="s">
        <v>12</v>
      </c>
      <c r="G950" t="s">
        <v>14</v>
      </c>
      <c r="H950" s="1" t="s">
        <v>235</v>
      </c>
      <c r="I950" t="s">
        <v>19</v>
      </c>
      <c r="J950" s="4">
        <v>1.8</v>
      </c>
      <c r="K950" s="4">
        <v>45.08</v>
      </c>
      <c r="L950" s="4">
        <v>5</v>
      </c>
      <c r="M950" s="4">
        <v>80.27</v>
      </c>
      <c r="N950" s="4">
        <v>115.2</v>
      </c>
      <c r="O950" s="4">
        <v>179.05</v>
      </c>
      <c r="P950" s="4">
        <v>3.8764546470000001</v>
      </c>
      <c r="Q950" s="4">
        <v>19.53</v>
      </c>
      <c r="R950" t="str" cm="1">
        <f t="array" ref="R950">_xlfn.IFS(B950="NY","New York",B950="TX","Texas",B950="CA","California")</f>
        <v>Texas</v>
      </c>
    </row>
    <row r="951" spans="1:18" x14ac:dyDescent="0.3">
      <c r="A951" t="s">
        <v>3</v>
      </c>
      <c r="B951" t="s">
        <v>8</v>
      </c>
      <c r="C951" s="2">
        <v>43076</v>
      </c>
      <c r="D951" s="11" t="s">
        <v>186</v>
      </c>
      <c r="E951" s="3">
        <f t="shared" ca="1" si="14"/>
        <v>235049507</v>
      </c>
      <c r="F951" t="s">
        <v>11</v>
      </c>
      <c r="G951" t="s">
        <v>15</v>
      </c>
      <c r="H951" s="1" t="s">
        <v>235</v>
      </c>
      <c r="I951" t="s">
        <v>21</v>
      </c>
      <c r="J951" s="4">
        <v>6</v>
      </c>
      <c r="K951" s="4">
        <v>27.6</v>
      </c>
      <c r="L951" s="4">
        <v>8</v>
      </c>
      <c r="M951" s="4">
        <v>62.04</v>
      </c>
      <c r="N951" s="4">
        <v>150.9</v>
      </c>
      <c r="O951" s="4">
        <v>211.44</v>
      </c>
      <c r="P951" s="4">
        <v>3.8764546470000001</v>
      </c>
      <c r="Q951" s="4">
        <v>29.31</v>
      </c>
      <c r="R951" t="str" cm="1">
        <f t="array" ref="R951">_xlfn.IFS(B951="NY","New York",B951="TX","Texas",B951="CA","California")</f>
        <v>California</v>
      </c>
    </row>
    <row r="952" spans="1:18" x14ac:dyDescent="0.3">
      <c r="A952" t="s">
        <v>3</v>
      </c>
      <c r="B952" t="s">
        <v>8</v>
      </c>
      <c r="C952" s="2">
        <v>43385</v>
      </c>
      <c r="D952" s="11" t="s">
        <v>59</v>
      </c>
      <c r="E952" s="3">
        <f t="shared" ca="1" si="14"/>
        <v>45757738</v>
      </c>
      <c r="F952" t="s">
        <v>12</v>
      </c>
      <c r="G952" t="s">
        <v>14</v>
      </c>
      <c r="H952" s="1" t="s">
        <v>235</v>
      </c>
      <c r="I952" t="s">
        <v>17</v>
      </c>
      <c r="J952" s="4">
        <v>2</v>
      </c>
      <c r="K952" s="4">
        <v>61.75</v>
      </c>
      <c r="L952" s="4">
        <v>3</v>
      </c>
      <c r="M952" s="4">
        <v>64.81</v>
      </c>
      <c r="N952" s="4">
        <v>189</v>
      </c>
      <c r="O952" s="4">
        <v>119.73</v>
      </c>
      <c r="P952" s="4">
        <v>3.8764546470000001</v>
      </c>
      <c r="Q952" s="4">
        <v>62.16</v>
      </c>
      <c r="R952" t="str" cm="1">
        <f t="array" ref="R952">_xlfn.IFS(B952="NY","New York",B952="TX","Texas",B952="CA","California")</f>
        <v>California</v>
      </c>
    </row>
    <row r="953" spans="1:18" x14ac:dyDescent="0.3">
      <c r="A953" t="s">
        <v>3</v>
      </c>
      <c r="B953" t="s">
        <v>8</v>
      </c>
      <c r="C953" s="2">
        <v>43000</v>
      </c>
      <c r="D953" s="11" t="s">
        <v>47</v>
      </c>
      <c r="E953" s="3">
        <f t="shared" ca="1" si="14"/>
        <v>33149193</v>
      </c>
      <c r="F953" t="s">
        <v>11</v>
      </c>
      <c r="G953" t="s">
        <v>14</v>
      </c>
      <c r="H953" s="1" t="s">
        <v>235</v>
      </c>
      <c r="I953" t="s">
        <v>19</v>
      </c>
      <c r="J953" s="4">
        <v>1.1000000000000001</v>
      </c>
      <c r="K953" s="4">
        <v>95.9</v>
      </c>
      <c r="L953" s="4">
        <v>3</v>
      </c>
      <c r="M953" s="4">
        <v>52.35</v>
      </c>
      <c r="N953" s="4">
        <v>148.15170000000001</v>
      </c>
      <c r="O953" s="4">
        <v>65.7</v>
      </c>
      <c r="P953" s="4">
        <v>3.8764546470000001</v>
      </c>
      <c r="Q953" s="4">
        <v>15.34</v>
      </c>
      <c r="R953" t="str" cm="1">
        <f t="array" ref="R953">_xlfn.IFS(B953="NY","New York",B953="TX","Texas",B953="CA","California")</f>
        <v>California</v>
      </c>
    </row>
    <row r="954" spans="1:18" x14ac:dyDescent="0.3">
      <c r="A954" t="s">
        <v>3</v>
      </c>
      <c r="B954" t="s">
        <v>8</v>
      </c>
      <c r="C954" s="2">
        <v>43177</v>
      </c>
      <c r="D954" s="11" t="s">
        <v>106</v>
      </c>
      <c r="E954" s="3">
        <f t="shared" ca="1" si="14"/>
        <v>241561319</v>
      </c>
      <c r="F954" t="s">
        <v>11</v>
      </c>
      <c r="G954" t="s">
        <v>14</v>
      </c>
      <c r="H954" s="1" t="s">
        <v>235</v>
      </c>
      <c r="I954" t="s">
        <v>21</v>
      </c>
      <c r="J954" s="4">
        <v>3</v>
      </c>
      <c r="K954" s="4">
        <v>37.44</v>
      </c>
      <c r="L954" s="4">
        <v>4</v>
      </c>
      <c r="M954" s="4">
        <v>64.67</v>
      </c>
      <c r="N954" s="4">
        <v>160.6275</v>
      </c>
      <c r="O954" s="4">
        <v>251.4</v>
      </c>
      <c r="P954" s="4">
        <v>3.8764546470000001</v>
      </c>
      <c r="Q954" s="4">
        <v>72.23</v>
      </c>
      <c r="R954" t="str" cm="1">
        <f t="array" ref="R954">_xlfn.IFS(B954="NY","New York",B954="TX","Texas",B954="CA","California")</f>
        <v>California</v>
      </c>
    </row>
    <row r="955" spans="1:18" x14ac:dyDescent="0.3">
      <c r="A955" t="s">
        <v>2</v>
      </c>
      <c r="B955" t="s">
        <v>7</v>
      </c>
      <c r="C955" s="2">
        <v>42985</v>
      </c>
      <c r="D955" s="11" t="s">
        <v>36</v>
      </c>
      <c r="E955" s="3">
        <f t="shared" ca="1" si="14"/>
        <v>481462672</v>
      </c>
      <c r="F955" t="s">
        <v>11</v>
      </c>
      <c r="G955" t="s">
        <v>14</v>
      </c>
      <c r="H955" s="1" t="s">
        <v>236</v>
      </c>
      <c r="I955" t="s">
        <v>21</v>
      </c>
      <c r="J955" s="4">
        <v>2.5</v>
      </c>
      <c r="K955" s="4">
        <v>55.1</v>
      </c>
      <c r="L955" s="4">
        <v>4</v>
      </c>
      <c r="M955" s="4">
        <v>89.11</v>
      </c>
      <c r="N955" s="4">
        <v>100.42959999999999</v>
      </c>
      <c r="O955" s="4">
        <v>84.16</v>
      </c>
      <c r="P955" s="4">
        <v>3.8764546470000001</v>
      </c>
      <c r="Q955" s="4">
        <v>79.03</v>
      </c>
      <c r="R955" t="str" cm="1">
        <f t="array" ref="R955">_xlfn.IFS(B955="NY","New York",B955="TX","Texas",B955="CA","California")</f>
        <v>Texas</v>
      </c>
    </row>
    <row r="956" spans="1:18" x14ac:dyDescent="0.3">
      <c r="A956" t="s">
        <v>3</v>
      </c>
      <c r="B956" t="s">
        <v>8</v>
      </c>
      <c r="C956" s="2">
        <v>43460</v>
      </c>
      <c r="D956" s="11" t="s">
        <v>207</v>
      </c>
      <c r="E956" s="3">
        <f t="shared" ca="1" si="14"/>
        <v>85727157</v>
      </c>
      <c r="F956" t="s">
        <v>12</v>
      </c>
      <c r="G956" t="s">
        <v>14</v>
      </c>
      <c r="H956" s="1" t="s">
        <v>236</v>
      </c>
      <c r="I956" t="s">
        <v>19</v>
      </c>
      <c r="J956" s="4">
        <v>9</v>
      </c>
      <c r="K956" s="4">
        <v>96.5</v>
      </c>
      <c r="L956" s="4">
        <v>6</v>
      </c>
      <c r="M956" s="4">
        <v>33.380000000000003</v>
      </c>
      <c r="N956" s="4">
        <v>105.47150000000001</v>
      </c>
      <c r="O956" s="4">
        <v>395.46</v>
      </c>
      <c r="P956" s="4">
        <v>3.8764546470000001</v>
      </c>
      <c r="Q956" s="4">
        <v>31.774000000000001</v>
      </c>
      <c r="R956" t="str" cm="1">
        <f t="array" ref="R956">_xlfn.IFS(B956="NY","New York",B956="TX","Texas",B956="CA","California")</f>
        <v>California</v>
      </c>
    </row>
    <row r="957" spans="1:18" x14ac:dyDescent="0.3">
      <c r="A957" t="s">
        <v>1</v>
      </c>
      <c r="B957" t="s">
        <v>6</v>
      </c>
      <c r="C957" s="2">
        <v>43243</v>
      </c>
      <c r="D957" s="11" t="s">
        <v>114</v>
      </c>
      <c r="E957" s="3">
        <f t="shared" ca="1" si="14"/>
        <v>903731144</v>
      </c>
      <c r="F957" t="s">
        <v>11</v>
      </c>
      <c r="G957" t="s">
        <v>15</v>
      </c>
      <c r="H957" s="1" t="s">
        <v>236</v>
      </c>
      <c r="I957" t="s">
        <v>22</v>
      </c>
      <c r="J957" s="4">
        <v>3</v>
      </c>
      <c r="K957" s="4">
        <v>55.9</v>
      </c>
      <c r="L957" s="4">
        <v>7</v>
      </c>
      <c r="M957" s="4">
        <v>49.33</v>
      </c>
      <c r="N957" s="4">
        <v>129.2876</v>
      </c>
      <c r="O957" s="4">
        <v>297.99</v>
      </c>
      <c r="P957" s="4">
        <v>3.8764546470000001</v>
      </c>
      <c r="Q957" s="4">
        <v>51.966000000000001</v>
      </c>
      <c r="R957" t="str" cm="1">
        <f t="array" ref="R957">_xlfn.IFS(B957="NY","New York",B957="TX","Texas",B957="CA","California")</f>
        <v>New York</v>
      </c>
    </row>
    <row r="958" spans="1:18" x14ac:dyDescent="0.3">
      <c r="A958" t="s">
        <v>2</v>
      </c>
      <c r="B958" t="s">
        <v>7</v>
      </c>
      <c r="C958" s="2">
        <v>42804</v>
      </c>
      <c r="D958" s="11" t="s">
        <v>213</v>
      </c>
      <c r="E958" s="3">
        <f t="shared" ca="1" si="14"/>
        <v>555510822</v>
      </c>
      <c r="F958" t="s">
        <v>12</v>
      </c>
      <c r="G958" t="s">
        <v>14</v>
      </c>
      <c r="H958" s="1" t="s">
        <v>236</v>
      </c>
      <c r="I958" t="s">
        <v>21</v>
      </c>
      <c r="J958" s="4">
        <v>6</v>
      </c>
      <c r="K958" s="4">
        <v>59.7</v>
      </c>
      <c r="L958" s="4">
        <v>9</v>
      </c>
      <c r="M958" s="4">
        <v>25.62</v>
      </c>
      <c r="N958" s="4">
        <v>163.97839999999999</v>
      </c>
      <c r="O958" s="4">
        <v>454.41</v>
      </c>
      <c r="P958" s="4">
        <v>3.8764546470000001</v>
      </c>
      <c r="Q958" s="4">
        <v>92.641999999999996</v>
      </c>
      <c r="R958" t="str" cm="1">
        <f t="array" ref="R958">_xlfn.IFS(B958="NY","New York",B958="TX","Texas",B958="CA","California")</f>
        <v>Texas</v>
      </c>
    </row>
    <row r="959" spans="1:18" x14ac:dyDescent="0.3">
      <c r="A959" t="s">
        <v>3</v>
      </c>
      <c r="B959" t="s">
        <v>8</v>
      </c>
      <c r="C959" s="2">
        <v>43126</v>
      </c>
      <c r="D959" s="11" t="s">
        <v>62</v>
      </c>
      <c r="E959" s="3">
        <f t="shared" ca="1" si="14"/>
        <v>786556838</v>
      </c>
      <c r="F959" t="s">
        <v>12</v>
      </c>
      <c r="G959" t="s">
        <v>15</v>
      </c>
      <c r="H959" s="1" t="s">
        <v>236</v>
      </c>
      <c r="I959" t="s">
        <v>18</v>
      </c>
      <c r="J959" s="4">
        <v>7</v>
      </c>
      <c r="K959" s="4">
        <v>74</v>
      </c>
      <c r="L959" s="4">
        <v>6</v>
      </c>
      <c r="M959" s="4">
        <v>47.39</v>
      </c>
      <c r="N959" s="4">
        <v>122.41160000000001</v>
      </c>
      <c r="O959" s="4">
        <v>276.12</v>
      </c>
      <c r="P959" s="4">
        <v>3.8764546470000001</v>
      </c>
      <c r="Q959" s="4">
        <v>70.596000000000004</v>
      </c>
      <c r="R959" t="str" cm="1">
        <f t="array" ref="R959">_xlfn.IFS(B959="NY","New York",B959="TX","Texas",B959="CA","California")</f>
        <v>California</v>
      </c>
    </row>
    <row r="960" spans="1:18" x14ac:dyDescent="0.3">
      <c r="A960" t="s">
        <v>2</v>
      </c>
      <c r="B960" t="s">
        <v>7</v>
      </c>
      <c r="C960" s="2">
        <v>43030</v>
      </c>
      <c r="D960" s="11" t="s">
        <v>221</v>
      </c>
      <c r="E960" s="3">
        <f t="shared" ca="1" si="14"/>
        <v>171537873</v>
      </c>
      <c r="F960" t="s">
        <v>11</v>
      </c>
      <c r="G960" t="s">
        <v>15</v>
      </c>
      <c r="H960" s="1" t="s">
        <v>236</v>
      </c>
      <c r="I960" t="s">
        <v>19</v>
      </c>
      <c r="J960" s="4">
        <v>3.7</v>
      </c>
      <c r="K960" s="4">
        <v>32.21</v>
      </c>
      <c r="L960" s="4">
        <v>10</v>
      </c>
      <c r="M960" s="4">
        <v>36.840000000000003</v>
      </c>
      <c r="N960" s="4">
        <v>149.6</v>
      </c>
      <c r="O960" s="4">
        <v>158</v>
      </c>
      <c r="P960" s="4">
        <v>3.8764546470000001</v>
      </c>
      <c r="Q960" s="4">
        <v>20.832000000000001</v>
      </c>
      <c r="R960" t="str" cm="1">
        <f t="array" ref="R960">_xlfn.IFS(B960="NY","New York",B960="TX","Texas",B960="CA","California")</f>
        <v>Texas</v>
      </c>
    </row>
    <row r="961" spans="1:18" x14ac:dyDescent="0.3">
      <c r="A961" t="s">
        <v>1</v>
      </c>
      <c r="B961" t="s">
        <v>6</v>
      </c>
      <c r="C961" s="2">
        <v>43172</v>
      </c>
      <c r="D961" s="11" t="s">
        <v>136</v>
      </c>
      <c r="E961" s="3">
        <f t="shared" ca="1" si="14"/>
        <v>259732313</v>
      </c>
      <c r="F961" t="s">
        <v>11</v>
      </c>
      <c r="G961" t="s">
        <v>14</v>
      </c>
      <c r="H961" s="1" t="s">
        <v>236</v>
      </c>
      <c r="I961" t="s">
        <v>21</v>
      </c>
      <c r="J961" s="4">
        <v>7.6</v>
      </c>
      <c r="K961" s="4">
        <v>35.82</v>
      </c>
      <c r="L961" s="4">
        <v>9</v>
      </c>
      <c r="M961" s="4">
        <v>18.11</v>
      </c>
      <c r="N961" s="4">
        <v>184.4</v>
      </c>
      <c r="O961" s="4">
        <v>887.94</v>
      </c>
      <c r="P961" s="4">
        <v>3.8764546470000001</v>
      </c>
      <c r="Q961" s="4">
        <v>98.16</v>
      </c>
      <c r="R961" t="str" cm="1">
        <f t="array" ref="R961">_xlfn.IFS(B961="NY","New York",B961="TX","Texas",B961="CA","California")</f>
        <v>New York</v>
      </c>
    </row>
    <row r="962" spans="1:18" x14ac:dyDescent="0.3">
      <c r="A962" t="s">
        <v>2</v>
      </c>
      <c r="B962" t="s">
        <v>7</v>
      </c>
      <c r="C962" s="2">
        <v>42891</v>
      </c>
      <c r="D962" s="11" t="s">
        <v>152</v>
      </c>
      <c r="E962" s="3">
        <f t="shared" ca="1" si="14"/>
        <v>348101061</v>
      </c>
      <c r="F962" t="s">
        <v>12</v>
      </c>
      <c r="G962" t="s">
        <v>14</v>
      </c>
      <c r="H962" s="1" t="s">
        <v>236</v>
      </c>
      <c r="I962" t="s">
        <v>22</v>
      </c>
      <c r="J962" s="4">
        <v>3.5</v>
      </c>
      <c r="K962" s="4">
        <v>18.91</v>
      </c>
      <c r="L962" s="4">
        <v>1</v>
      </c>
      <c r="M962" s="4">
        <v>52.1</v>
      </c>
      <c r="N962" s="4">
        <v>124.6</v>
      </c>
      <c r="O962" s="4">
        <v>91.98</v>
      </c>
      <c r="P962" s="4">
        <v>3.8764546470000001</v>
      </c>
      <c r="Q962" s="4">
        <v>85.46</v>
      </c>
      <c r="R962" t="str" cm="1">
        <f t="array" ref="R962">_xlfn.IFS(B962="NY","New York",B962="TX","Texas",B962="CA","California")</f>
        <v>Texas</v>
      </c>
    </row>
    <row r="963" spans="1:18" x14ac:dyDescent="0.3">
      <c r="A963" t="s">
        <v>1</v>
      </c>
      <c r="B963" t="s">
        <v>6</v>
      </c>
      <c r="C963" s="2">
        <v>42875</v>
      </c>
      <c r="D963" s="11" t="s">
        <v>176</v>
      </c>
      <c r="E963" s="3">
        <f t="shared" ref="E963:E1001" ca="1" si="15">RANDBETWEEN(10000000,1000000000)</f>
        <v>710621668</v>
      </c>
      <c r="F963" t="s">
        <v>12</v>
      </c>
      <c r="G963" t="s">
        <v>14</v>
      </c>
      <c r="H963" s="1" t="s">
        <v>236</v>
      </c>
      <c r="I963" t="s">
        <v>18</v>
      </c>
      <c r="J963" s="4">
        <v>5</v>
      </c>
      <c r="K963" s="4">
        <v>97.6</v>
      </c>
      <c r="L963" s="4">
        <v>2</v>
      </c>
      <c r="M963" s="4">
        <v>43.1</v>
      </c>
      <c r="N963" s="4">
        <v>173.2</v>
      </c>
      <c r="O963" s="4">
        <v>41.78</v>
      </c>
      <c r="P963" s="4">
        <v>3.8764546470000001</v>
      </c>
      <c r="Q963" s="4">
        <v>38.11</v>
      </c>
      <c r="R963" t="str" cm="1">
        <f t="array" ref="R963">_xlfn.IFS(B963="NY","New York",B963="TX","Texas",B963="CA","California")</f>
        <v>New York</v>
      </c>
    </row>
    <row r="964" spans="1:18" x14ac:dyDescent="0.3">
      <c r="A964" t="s">
        <v>1</v>
      </c>
      <c r="B964" t="s">
        <v>6</v>
      </c>
      <c r="C964" s="2">
        <v>43388</v>
      </c>
      <c r="D964" s="11" t="s">
        <v>193</v>
      </c>
      <c r="E964" s="3">
        <f t="shared" ca="1" si="15"/>
        <v>931080673</v>
      </c>
      <c r="F964" t="s">
        <v>11</v>
      </c>
      <c r="G964" t="s">
        <v>15</v>
      </c>
      <c r="H964" s="1" t="s">
        <v>237</v>
      </c>
      <c r="I964" t="s">
        <v>22</v>
      </c>
      <c r="J964" s="4">
        <v>3</v>
      </c>
      <c r="K964" s="4">
        <v>38.35</v>
      </c>
      <c r="L964" s="4">
        <v>1</v>
      </c>
      <c r="M964" s="4">
        <v>60.91</v>
      </c>
      <c r="N964" s="4">
        <v>104.3</v>
      </c>
      <c r="O964" s="4">
        <v>15.5</v>
      </c>
      <c r="P964" s="4">
        <v>3.8764546470000001</v>
      </c>
      <c r="Q964" s="4">
        <v>23.12</v>
      </c>
      <c r="R964" t="str" cm="1">
        <f t="array" ref="R964">_xlfn.IFS(B964="NY","New York",B964="TX","Texas",B964="CA","California")</f>
        <v>New York</v>
      </c>
    </row>
    <row r="965" spans="1:18" x14ac:dyDescent="0.3">
      <c r="A965" t="s">
        <v>2</v>
      </c>
      <c r="B965" t="s">
        <v>7</v>
      </c>
      <c r="C965" s="2">
        <v>43203</v>
      </c>
      <c r="D965" s="11" t="s">
        <v>188</v>
      </c>
      <c r="E965" s="3">
        <f t="shared" ca="1" si="15"/>
        <v>80090010</v>
      </c>
      <c r="F965" t="s">
        <v>12</v>
      </c>
      <c r="G965" t="s">
        <v>14</v>
      </c>
      <c r="H965" s="1" t="s">
        <v>236</v>
      </c>
      <c r="I965" t="s">
        <v>18</v>
      </c>
      <c r="J965" s="4">
        <v>1</v>
      </c>
      <c r="K965" s="4">
        <v>87.45</v>
      </c>
      <c r="L965" s="4">
        <v>3</v>
      </c>
      <c r="M965" s="4">
        <v>76.989999999999995</v>
      </c>
      <c r="N965" s="4">
        <v>167</v>
      </c>
      <c r="O965" s="4">
        <v>290.45999999999998</v>
      </c>
      <c r="P965" s="4">
        <v>3.8764546470000001</v>
      </c>
      <c r="Q965" s="4">
        <v>26.52</v>
      </c>
      <c r="R965" t="str" cm="1">
        <f t="array" ref="R965">_xlfn.IFS(B965="NY","New York",B965="TX","Texas",B965="CA","California")</f>
        <v>Texas</v>
      </c>
    </row>
    <row r="966" spans="1:18" x14ac:dyDescent="0.3">
      <c r="A966" t="s">
        <v>3</v>
      </c>
      <c r="B966" t="s">
        <v>8</v>
      </c>
      <c r="C966" s="2">
        <v>43015</v>
      </c>
      <c r="D966" s="11" t="s">
        <v>108</v>
      </c>
      <c r="E966" s="3">
        <f t="shared" ca="1" si="15"/>
        <v>502312137</v>
      </c>
      <c r="F966" t="s">
        <v>12</v>
      </c>
      <c r="G966" t="s">
        <v>15</v>
      </c>
      <c r="H966" s="1" t="s">
        <v>237</v>
      </c>
      <c r="I966" t="s">
        <v>21</v>
      </c>
      <c r="J966" s="4">
        <v>2</v>
      </c>
      <c r="K966" s="4">
        <v>23.78</v>
      </c>
      <c r="L966" s="4">
        <v>2</v>
      </c>
      <c r="M966" s="4">
        <v>99.59</v>
      </c>
      <c r="N966" s="4">
        <v>141.43360000000001</v>
      </c>
      <c r="O966" s="4">
        <v>66.66</v>
      </c>
      <c r="P966" s="4">
        <v>3.8764546470000001</v>
      </c>
      <c r="Q966" s="4">
        <v>44.838000000000001</v>
      </c>
      <c r="R966" t="str" cm="1">
        <f t="array" ref="R966">_xlfn.IFS(B966="NY","New York",B966="TX","Texas",B966="CA","California")</f>
        <v>California</v>
      </c>
    </row>
    <row r="967" spans="1:18" x14ac:dyDescent="0.3">
      <c r="A967" t="s">
        <v>3</v>
      </c>
      <c r="B967" t="s">
        <v>8</v>
      </c>
      <c r="C967" s="2">
        <v>43340</v>
      </c>
      <c r="D967" s="11" t="s">
        <v>96</v>
      </c>
      <c r="E967" s="3">
        <f t="shared" ca="1" si="15"/>
        <v>728308696</v>
      </c>
      <c r="F967" t="s">
        <v>11</v>
      </c>
      <c r="G967" t="s">
        <v>15</v>
      </c>
      <c r="H967" s="1" t="s">
        <v>237</v>
      </c>
      <c r="I967" t="s">
        <v>18</v>
      </c>
      <c r="J967" s="4">
        <v>10</v>
      </c>
      <c r="K967" s="4">
        <v>83.2</v>
      </c>
      <c r="L967" s="4">
        <v>2</v>
      </c>
      <c r="M967" s="4">
        <v>26.63</v>
      </c>
      <c r="N967" s="4">
        <v>120.4588</v>
      </c>
      <c r="O967" s="4">
        <v>76.540000000000006</v>
      </c>
      <c r="P967" s="4">
        <v>3.8764546470000001</v>
      </c>
      <c r="Q967" s="4">
        <v>36.119999999999997</v>
      </c>
      <c r="R967" t="str" cm="1">
        <f t="array" ref="R967">_xlfn.IFS(B967="NY","New York",B967="TX","Texas",B967="CA","California")</f>
        <v>California</v>
      </c>
    </row>
    <row r="968" spans="1:18" x14ac:dyDescent="0.3">
      <c r="A968" t="s">
        <v>1</v>
      </c>
      <c r="B968" t="s">
        <v>6</v>
      </c>
      <c r="C968" s="2">
        <v>42878</v>
      </c>
      <c r="D968" s="11" t="s">
        <v>207</v>
      </c>
      <c r="E968" s="3">
        <f t="shared" ca="1" si="15"/>
        <v>341179427</v>
      </c>
      <c r="F968" t="s">
        <v>11</v>
      </c>
      <c r="G968" t="s">
        <v>15</v>
      </c>
      <c r="H968" s="1" t="s">
        <v>235</v>
      </c>
      <c r="I968" t="s">
        <v>19</v>
      </c>
      <c r="J968" s="4">
        <v>5</v>
      </c>
      <c r="K968" s="4">
        <v>37.786999999999999</v>
      </c>
      <c r="L968" s="4">
        <v>9</v>
      </c>
      <c r="M968" s="4">
        <v>77.900000000000006</v>
      </c>
      <c r="N968" s="4">
        <v>135.9649</v>
      </c>
      <c r="O968" s="4">
        <v>299.7</v>
      </c>
      <c r="P968" s="4">
        <v>3.8764546470000001</v>
      </c>
      <c r="Q968" s="4">
        <v>41.18</v>
      </c>
      <c r="R968" t="str" cm="1">
        <f t="array" ref="R968">_xlfn.IFS(B968="NY","New York",B968="TX","Texas",B968="CA","California")</f>
        <v>New York</v>
      </c>
    </row>
    <row r="969" spans="1:18" x14ac:dyDescent="0.3">
      <c r="A969" t="s">
        <v>1</v>
      </c>
      <c r="B969" t="s">
        <v>6</v>
      </c>
      <c r="C969" s="2">
        <v>42835</v>
      </c>
      <c r="D969" s="11" t="s">
        <v>175</v>
      </c>
      <c r="E969" s="3">
        <f t="shared" ca="1" si="15"/>
        <v>621386057</v>
      </c>
      <c r="F969" t="s">
        <v>12</v>
      </c>
      <c r="G969" t="s">
        <v>14</v>
      </c>
      <c r="H969" s="1" t="s">
        <v>237</v>
      </c>
      <c r="I969" t="s">
        <v>19</v>
      </c>
      <c r="J969" s="4">
        <v>2</v>
      </c>
      <c r="K969" s="4">
        <v>47.09</v>
      </c>
      <c r="L969" s="4">
        <v>3</v>
      </c>
      <c r="M969" s="4">
        <v>31.36</v>
      </c>
      <c r="N969" s="4">
        <v>111.6311</v>
      </c>
      <c r="O969" s="4">
        <v>243.03</v>
      </c>
      <c r="P969" s="4">
        <v>3.8764546470000001</v>
      </c>
      <c r="Q969" s="4">
        <v>34.4</v>
      </c>
      <c r="R969" t="str" cm="1">
        <f t="array" ref="R969">_xlfn.IFS(B969="NY","New York",B969="TX","Texas",B969="CA","California")</f>
        <v>New York</v>
      </c>
    </row>
    <row r="970" spans="1:18" x14ac:dyDescent="0.3">
      <c r="A970" t="s">
        <v>1</v>
      </c>
      <c r="B970" t="s">
        <v>6</v>
      </c>
      <c r="C970" s="2">
        <v>43149</v>
      </c>
      <c r="D970" s="11" t="s">
        <v>167</v>
      </c>
      <c r="E970" s="3">
        <f t="shared" ca="1" si="15"/>
        <v>368836709</v>
      </c>
      <c r="F970" t="s">
        <v>11</v>
      </c>
      <c r="G970" t="s">
        <v>15</v>
      </c>
      <c r="H970" s="1" t="s">
        <v>236</v>
      </c>
      <c r="I970" t="s">
        <v>17</v>
      </c>
      <c r="J970" s="4">
        <v>2</v>
      </c>
      <c r="K970" s="4">
        <v>70.05</v>
      </c>
      <c r="L970" s="4">
        <v>3</v>
      </c>
      <c r="M970" s="4">
        <v>79.95</v>
      </c>
      <c r="N970" s="4">
        <v>150.86869999999999</v>
      </c>
      <c r="O970" s="4">
        <v>47.4</v>
      </c>
      <c r="P970" s="4">
        <v>3.8764546470000001</v>
      </c>
      <c r="Q970" s="4">
        <v>32.57</v>
      </c>
      <c r="R970" t="str" cm="1">
        <f t="array" ref="R970">_xlfn.IFS(B970="NY","New York",B970="TX","Texas",B970="CA","California")</f>
        <v>New York</v>
      </c>
    </row>
    <row r="971" spans="1:18" x14ac:dyDescent="0.3">
      <c r="A971" t="s">
        <v>3</v>
      </c>
      <c r="B971" t="s">
        <v>8</v>
      </c>
      <c r="C971" s="2">
        <v>43266</v>
      </c>
      <c r="D971" s="11" t="s">
        <v>55</v>
      </c>
      <c r="E971" s="3">
        <f t="shared" ca="1" si="15"/>
        <v>980241738</v>
      </c>
      <c r="F971" t="s">
        <v>11</v>
      </c>
      <c r="G971" t="s">
        <v>14</v>
      </c>
      <c r="H971" s="1" t="s">
        <v>237</v>
      </c>
      <c r="I971" t="s">
        <v>18</v>
      </c>
      <c r="J971" s="4">
        <v>3</v>
      </c>
      <c r="K971" s="4">
        <v>16.2</v>
      </c>
      <c r="L971" s="4">
        <v>5</v>
      </c>
      <c r="M971" s="4">
        <v>78.760000000000005</v>
      </c>
      <c r="N971" s="4">
        <v>146.6549</v>
      </c>
      <c r="O971" s="4">
        <v>172.45</v>
      </c>
      <c r="P971" s="4">
        <v>3.8764546470000001</v>
      </c>
      <c r="Q971" s="4">
        <v>50.98</v>
      </c>
      <c r="R971" t="str" cm="1">
        <f t="array" ref="R971">_xlfn.IFS(B971="NY","New York",B971="TX","Texas",B971="CA","California")</f>
        <v>California</v>
      </c>
    </row>
    <row r="972" spans="1:18" x14ac:dyDescent="0.3">
      <c r="A972" t="s">
        <v>3</v>
      </c>
      <c r="B972" t="s">
        <v>8</v>
      </c>
      <c r="C972" s="2">
        <v>43292</v>
      </c>
      <c r="D972" s="11" t="s">
        <v>44</v>
      </c>
      <c r="E972" s="3">
        <f t="shared" ca="1" si="15"/>
        <v>130438490</v>
      </c>
      <c r="F972" t="s">
        <v>11</v>
      </c>
      <c r="G972" t="s">
        <v>14</v>
      </c>
      <c r="H972" s="1" t="s">
        <v>237</v>
      </c>
      <c r="I972" t="s">
        <v>21</v>
      </c>
      <c r="J972" s="4">
        <v>1</v>
      </c>
      <c r="K972" s="4">
        <v>22.46</v>
      </c>
      <c r="L972" s="4">
        <v>10</v>
      </c>
      <c r="M972" s="4">
        <v>57.89</v>
      </c>
      <c r="N972" s="4">
        <v>118.78660000000001</v>
      </c>
      <c r="O972" s="4">
        <v>846.3</v>
      </c>
      <c r="P972" s="4">
        <v>3.8764546470000001</v>
      </c>
      <c r="Q972" s="4">
        <v>85.07</v>
      </c>
      <c r="R972" t="str" cm="1">
        <f t="array" ref="R972">_xlfn.IFS(B972="NY","New York",B972="TX","Texas",B972="CA","California")</f>
        <v>California</v>
      </c>
    </row>
    <row r="973" spans="1:18" x14ac:dyDescent="0.3">
      <c r="A973" t="s">
        <v>3</v>
      </c>
      <c r="B973" t="s">
        <v>8</v>
      </c>
      <c r="C973" s="2">
        <v>42927</v>
      </c>
      <c r="D973" s="11" t="s">
        <v>199</v>
      </c>
      <c r="E973" s="3">
        <f t="shared" ca="1" si="15"/>
        <v>814071939</v>
      </c>
      <c r="F973" t="s">
        <v>12</v>
      </c>
      <c r="G973" t="s">
        <v>14</v>
      </c>
      <c r="H973" s="1" t="s">
        <v>235</v>
      </c>
      <c r="I973" t="s">
        <v>19</v>
      </c>
      <c r="J973" s="4">
        <v>7</v>
      </c>
      <c r="K973" s="4">
        <v>34.6</v>
      </c>
      <c r="L973" s="4">
        <v>7</v>
      </c>
      <c r="M973" s="4">
        <v>54.58</v>
      </c>
      <c r="N973" s="4">
        <v>143.4</v>
      </c>
      <c r="O973" s="4">
        <v>258.37</v>
      </c>
      <c r="P973" s="4">
        <v>3.8764546470000001</v>
      </c>
      <c r="Q973" s="4">
        <v>58.625999999999998</v>
      </c>
      <c r="R973" t="str" cm="1">
        <f t="array" ref="R973">_xlfn.IFS(B973="NY","New York",B973="TX","Texas",B973="CA","California")</f>
        <v>California</v>
      </c>
    </row>
    <row r="974" spans="1:18" x14ac:dyDescent="0.3">
      <c r="A974" t="s">
        <v>3</v>
      </c>
      <c r="B974" t="s">
        <v>8</v>
      </c>
      <c r="C974" s="2">
        <v>43106</v>
      </c>
      <c r="D974" s="11" t="s">
        <v>64</v>
      </c>
      <c r="E974" s="3">
        <f t="shared" ca="1" si="15"/>
        <v>927973095</v>
      </c>
      <c r="F974" t="s">
        <v>12</v>
      </c>
      <c r="G974" t="s">
        <v>15</v>
      </c>
      <c r="H974" s="1" t="s">
        <v>236</v>
      </c>
      <c r="I974" t="s">
        <v>18</v>
      </c>
      <c r="J974" s="4">
        <v>9</v>
      </c>
      <c r="K974" s="4">
        <v>38.76</v>
      </c>
      <c r="L974" s="4">
        <v>7</v>
      </c>
      <c r="M974" s="4">
        <v>81.64</v>
      </c>
      <c r="N974" s="4">
        <v>175.5</v>
      </c>
      <c r="O974" s="4">
        <v>609.55999999999995</v>
      </c>
      <c r="P974" s="4">
        <v>3.8764546470000001</v>
      </c>
      <c r="Q974" s="4">
        <v>16.140999999999998</v>
      </c>
      <c r="R974" t="str" cm="1">
        <f t="array" ref="R974">_xlfn.IFS(B974="NY","New York",B974="TX","Texas",B974="CA","California")</f>
        <v>California</v>
      </c>
    </row>
    <row r="975" spans="1:18" x14ac:dyDescent="0.3">
      <c r="A975" t="s">
        <v>1</v>
      </c>
      <c r="B975" t="s">
        <v>6</v>
      </c>
      <c r="C975" s="2">
        <v>43208</v>
      </c>
      <c r="D975" s="11" t="s">
        <v>44</v>
      </c>
      <c r="E975" s="3">
        <f t="shared" ca="1" si="15"/>
        <v>340770362</v>
      </c>
      <c r="F975" t="s">
        <v>12</v>
      </c>
      <c r="G975" t="s">
        <v>15</v>
      </c>
      <c r="H975" s="1" t="s">
        <v>236</v>
      </c>
      <c r="I975" t="s">
        <v>19</v>
      </c>
      <c r="J975" s="4">
        <v>6.1</v>
      </c>
      <c r="K975" s="4">
        <v>29.5</v>
      </c>
      <c r="L975" s="4">
        <v>3</v>
      </c>
      <c r="M975" s="4">
        <v>45.42</v>
      </c>
      <c r="N975" s="4">
        <v>158.30000000000001</v>
      </c>
      <c r="O975" s="4">
        <v>240.24</v>
      </c>
      <c r="P975" s="4">
        <v>3.8764546470000001</v>
      </c>
      <c r="Q975" s="4">
        <v>84.262</v>
      </c>
      <c r="R975" t="str" cm="1">
        <f t="array" ref="R975">_xlfn.IFS(B975="NY","New York",B975="TX","Texas",B975="CA","California")</f>
        <v>New York</v>
      </c>
    </row>
    <row r="976" spans="1:18" x14ac:dyDescent="0.3">
      <c r="A976" t="s">
        <v>2</v>
      </c>
      <c r="B976" t="s">
        <v>7</v>
      </c>
      <c r="C976" s="2">
        <v>43031</v>
      </c>
      <c r="D976" s="11" t="s">
        <v>33</v>
      </c>
      <c r="E976" s="3">
        <f t="shared" ca="1" si="15"/>
        <v>95572881</v>
      </c>
      <c r="F976" t="s">
        <v>12</v>
      </c>
      <c r="G976" t="s">
        <v>15</v>
      </c>
      <c r="H976" s="1" t="s">
        <v>236</v>
      </c>
      <c r="I976" t="s">
        <v>22</v>
      </c>
      <c r="J976" s="4">
        <v>5.3</v>
      </c>
      <c r="K976" s="4">
        <v>42.92</v>
      </c>
      <c r="L976" s="4">
        <v>2</v>
      </c>
      <c r="M976" s="4">
        <v>79.37</v>
      </c>
      <c r="N976" s="4">
        <v>170.8</v>
      </c>
      <c r="O976" s="4">
        <v>172.26</v>
      </c>
      <c r="P976" s="4">
        <v>3.8764546470000001</v>
      </c>
      <c r="Q976" s="4">
        <v>44.046999999999997</v>
      </c>
      <c r="R976" t="str" cm="1">
        <f t="array" ref="R976">_xlfn.IFS(B976="NY","New York",B976="TX","Texas",B976="CA","California")</f>
        <v>Texas</v>
      </c>
    </row>
    <row r="977" spans="1:18" x14ac:dyDescent="0.3">
      <c r="A977" t="s">
        <v>3</v>
      </c>
      <c r="B977" t="s">
        <v>8</v>
      </c>
      <c r="C977" s="2">
        <v>42959</v>
      </c>
      <c r="D977" s="11" t="s">
        <v>138</v>
      </c>
      <c r="E977" s="3">
        <f t="shared" ca="1" si="15"/>
        <v>438878552</v>
      </c>
      <c r="F977" t="s">
        <v>12</v>
      </c>
      <c r="G977" t="s">
        <v>14</v>
      </c>
      <c r="H977" s="1" t="s">
        <v>237</v>
      </c>
      <c r="I977" t="s">
        <v>22</v>
      </c>
      <c r="J977" s="4">
        <v>9.5</v>
      </c>
      <c r="K977" s="4">
        <v>72.47</v>
      </c>
      <c r="L977" s="4">
        <v>2</v>
      </c>
      <c r="M977" s="4">
        <v>56.71</v>
      </c>
      <c r="N977" s="4">
        <v>130.4</v>
      </c>
      <c r="O977" s="4">
        <v>99.84</v>
      </c>
      <c r="P977" s="4">
        <v>3.8764546470000001</v>
      </c>
      <c r="Q977" s="4">
        <v>83.97</v>
      </c>
      <c r="R977" t="str" cm="1">
        <f t="array" ref="R977">_xlfn.IFS(B977="NY","New York",B977="TX","Texas",B977="CA","California")</f>
        <v>California</v>
      </c>
    </row>
    <row r="978" spans="1:18" x14ac:dyDescent="0.3">
      <c r="A978" t="s">
        <v>1</v>
      </c>
      <c r="B978" t="s">
        <v>6</v>
      </c>
      <c r="C978" s="2">
        <v>42982</v>
      </c>
      <c r="D978" s="11" t="s">
        <v>217</v>
      </c>
      <c r="E978" s="3">
        <f t="shared" ca="1" si="15"/>
        <v>481056115</v>
      </c>
      <c r="F978" t="s">
        <v>11</v>
      </c>
      <c r="G978" t="s">
        <v>15</v>
      </c>
      <c r="H978" s="1" t="s">
        <v>236</v>
      </c>
      <c r="I978" t="s">
        <v>21</v>
      </c>
      <c r="J978" s="4">
        <v>3.2</v>
      </c>
      <c r="K978" s="4">
        <v>77.2</v>
      </c>
      <c r="L978" s="4">
        <v>4</v>
      </c>
      <c r="M978" s="4">
        <v>64.349999999999994</v>
      </c>
      <c r="N978" s="4">
        <v>131.9333</v>
      </c>
      <c r="O978" s="4">
        <v>298.64</v>
      </c>
      <c r="P978" s="4">
        <v>3.8764546470000001</v>
      </c>
      <c r="Q978" s="4">
        <v>14.62</v>
      </c>
      <c r="R978" t="str" cm="1">
        <f t="array" ref="R978">_xlfn.IFS(B978="NY","New York",B978="TX","Texas",B978="CA","California")</f>
        <v>New York</v>
      </c>
    </row>
    <row r="979" spans="1:18" x14ac:dyDescent="0.3">
      <c r="A979" t="s">
        <v>3</v>
      </c>
      <c r="B979" t="s">
        <v>8</v>
      </c>
      <c r="C979" s="2">
        <v>42974</v>
      </c>
      <c r="D979" s="11" t="s">
        <v>119</v>
      </c>
      <c r="E979" s="3">
        <f t="shared" ca="1" si="15"/>
        <v>675405057</v>
      </c>
      <c r="F979" t="s">
        <v>12</v>
      </c>
      <c r="G979" t="s">
        <v>14</v>
      </c>
      <c r="H979" s="1" t="s">
        <v>235</v>
      </c>
      <c r="I979" t="s">
        <v>21</v>
      </c>
      <c r="J979" s="4">
        <v>4.7</v>
      </c>
      <c r="K979" s="4">
        <v>27.347000000000001</v>
      </c>
      <c r="L979" s="4">
        <v>6</v>
      </c>
      <c r="M979" s="4">
        <v>21.56</v>
      </c>
      <c r="N979" s="4">
        <v>151.9477</v>
      </c>
      <c r="O979" s="4">
        <v>159.6</v>
      </c>
      <c r="P979" s="4">
        <v>3.8764546470000001</v>
      </c>
      <c r="Q979" s="4">
        <v>87.423000000000002</v>
      </c>
      <c r="R979" t="str" cm="1">
        <f t="array" ref="R979">_xlfn.IFS(B979="NY","New York",B979="TX","Texas",B979="CA","California")</f>
        <v>California</v>
      </c>
    </row>
    <row r="980" spans="1:18" x14ac:dyDescent="0.3">
      <c r="A980" t="s">
        <v>3</v>
      </c>
      <c r="B980" t="s">
        <v>8</v>
      </c>
      <c r="C980" s="2">
        <v>43218</v>
      </c>
      <c r="D980" s="11" t="s">
        <v>60</v>
      </c>
      <c r="E980" s="3">
        <f t="shared" ca="1" si="15"/>
        <v>938524914</v>
      </c>
      <c r="F980" t="s">
        <v>11</v>
      </c>
      <c r="G980" t="s">
        <v>15</v>
      </c>
      <c r="H980" s="1" t="s">
        <v>237</v>
      </c>
      <c r="I980" t="s">
        <v>18</v>
      </c>
      <c r="J980" s="4">
        <v>1.1000000000000001</v>
      </c>
      <c r="K980" s="4">
        <v>11.426</v>
      </c>
      <c r="L980" s="4">
        <v>1</v>
      </c>
      <c r="M980" s="4">
        <v>96.96</v>
      </c>
      <c r="N980" s="4">
        <v>174.35419999999999</v>
      </c>
      <c r="O980" s="4">
        <v>25.45</v>
      </c>
      <c r="P980" s="4">
        <v>3.8764546470000001</v>
      </c>
      <c r="Q980" s="4">
        <v>63.982999999999997</v>
      </c>
      <c r="R980" t="str" cm="1">
        <f t="array" ref="R980">_xlfn.IFS(B980="NY","New York",B980="TX","Texas",B980="CA","California")</f>
        <v>California</v>
      </c>
    </row>
    <row r="981" spans="1:18" x14ac:dyDescent="0.3">
      <c r="A981" t="s">
        <v>3</v>
      </c>
      <c r="B981" t="s">
        <v>8</v>
      </c>
      <c r="C981" s="2">
        <v>43137</v>
      </c>
      <c r="D981" s="11" t="s">
        <v>90</v>
      </c>
      <c r="E981" s="3">
        <f t="shared" ca="1" si="15"/>
        <v>423247872</v>
      </c>
      <c r="F981" t="s">
        <v>11</v>
      </c>
      <c r="G981" t="s">
        <v>15</v>
      </c>
      <c r="H981" s="1" t="s">
        <v>237</v>
      </c>
      <c r="I981" t="s">
        <v>21</v>
      </c>
      <c r="J981" s="4">
        <v>2.1</v>
      </c>
      <c r="K981" s="4">
        <v>17.2</v>
      </c>
      <c r="L981" s="4">
        <v>1</v>
      </c>
      <c r="M981" s="4">
        <v>55.25</v>
      </c>
      <c r="N981" s="4">
        <v>147.70320000000001</v>
      </c>
      <c r="O981" s="4">
        <v>67.77</v>
      </c>
      <c r="P981" s="4">
        <v>3.8764546470000001</v>
      </c>
      <c r="Q981" s="4">
        <v>43.447000000000003</v>
      </c>
      <c r="R981" t="str" cm="1">
        <f t="array" ref="R981">_xlfn.IFS(B981="NY","New York",B981="TX","Texas",B981="CA","California")</f>
        <v>California</v>
      </c>
    </row>
    <row r="982" spans="1:18" x14ac:dyDescent="0.3">
      <c r="A982" t="s">
        <v>2</v>
      </c>
      <c r="B982" t="s">
        <v>7</v>
      </c>
      <c r="C982" s="2">
        <v>42920</v>
      </c>
      <c r="D982" s="11" t="s">
        <v>108</v>
      </c>
      <c r="E982" s="3">
        <f t="shared" ca="1" si="15"/>
        <v>797025721</v>
      </c>
      <c r="F982" t="s">
        <v>12</v>
      </c>
      <c r="G982" t="s">
        <v>14</v>
      </c>
      <c r="H982" s="1" t="s">
        <v>236</v>
      </c>
      <c r="I982" t="s">
        <v>21</v>
      </c>
      <c r="J982" s="4">
        <v>2.8</v>
      </c>
      <c r="K982" s="4">
        <v>92.92</v>
      </c>
      <c r="L982" s="4">
        <v>4</v>
      </c>
      <c r="M982" s="4">
        <v>37.75</v>
      </c>
      <c r="N982" s="4">
        <v>101.28060000000001</v>
      </c>
      <c r="O982" s="4">
        <v>238.36</v>
      </c>
      <c r="P982" s="4">
        <v>3.8764546470000001</v>
      </c>
      <c r="Q982" s="4">
        <v>18.763000000000002</v>
      </c>
      <c r="R982" t="str" cm="1">
        <f t="array" ref="R982">_xlfn.IFS(B982="NY","New York",B982="TX","Texas",B982="CA","California")</f>
        <v>Texas</v>
      </c>
    </row>
    <row r="983" spans="1:18" x14ac:dyDescent="0.3">
      <c r="A983" t="s">
        <v>1</v>
      </c>
      <c r="B983" t="s">
        <v>6</v>
      </c>
      <c r="C983" s="2">
        <v>43137</v>
      </c>
      <c r="D983" s="11" t="s">
        <v>87</v>
      </c>
      <c r="E983" s="3">
        <f t="shared" ca="1" si="15"/>
        <v>183211316</v>
      </c>
      <c r="F983" t="s">
        <v>12</v>
      </c>
      <c r="G983" t="s">
        <v>15</v>
      </c>
      <c r="H983" s="1" t="s">
        <v>236</v>
      </c>
      <c r="I983" t="s">
        <v>17</v>
      </c>
      <c r="J983" s="4">
        <v>7.2</v>
      </c>
      <c r="K983" s="4">
        <v>69.13</v>
      </c>
      <c r="L983" s="4">
        <v>4</v>
      </c>
      <c r="M983" s="4">
        <v>87.01</v>
      </c>
      <c r="N983" s="4">
        <v>141.9</v>
      </c>
      <c r="O983" s="4">
        <v>232.6</v>
      </c>
      <c r="P983" s="4">
        <v>3.8764546470000001</v>
      </c>
      <c r="Q983" s="4">
        <v>19.300999999999998</v>
      </c>
      <c r="R983" t="str" cm="1">
        <f t="array" ref="R983">_xlfn.IFS(B983="NY","New York",B983="TX","Texas",B983="CA","California")</f>
        <v>New York</v>
      </c>
    </row>
    <row r="984" spans="1:18" x14ac:dyDescent="0.3">
      <c r="A984" t="s">
        <v>1</v>
      </c>
      <c r="B984" t="s">
        <v>6</v>
      </c>
      <c r="C984" s="2">
        <v>43228</v>
      </c>
      <c r="D984" s="11" t="s">
        <v>90</v>
      </c>
      <c r="E984" s="3">
        <f t="shared" ca="1" si="15"/>
        <v>212940039</v>
      </c>
      <c r="F984" t="s">
        <v>11</v>
      </c>
      <c r="G984" t="s">
        <v>14</v>
      </c>
      <c r="H984" s="1" t="s">
        <v>235</v>
      </c>
      <c r="I984" t="s">
        <v>20</v>
      </c>
      <c r="J984" s="4">
        <v>8.5</v>
      </c>
      <c r="K984" s="4">
        <v>16.66</v>
      </c>
      <c r="L984" s="4">
        <v>9</v>
      </c>
      <c r="M984" s="4">
        <v>84.98</v>
      </c>
      <c r="N984" s="4">
        <v>184.4</v>
      </c>
      <c r="O984" s="4">
        <v>877.32</v>
      </c>
      <c r="P984" s="4">
        <v>3.8764546470000001</v>
      </c>
      <c r="Q984" s="4">
        <v>39.558999999999997</v>
      </c>
      <c r="R984" t="str" cm="1">
        <f t="array" ref="R984">_xlfn.IFS(B984="NY","New York",B984="TX","Texas",B984="CA","California")</f>
        <v>New York</v>
      </c>
    </row>
    <row r="985" spans="1:18" x14ac:dyDescent="0.3">
      <c r="A985" t="s">
        <v>2</v>
      </c>
      <c r="B985" t="s">
        <v>7</v>
      </c>
      <c r="C985" s="2">
        <v>43054</v>
      </c>
      <c r="D985" s="11" t="s">
        <v>188</v>
      </c>
      <c r="E985" s="3">
        <f t="shared" ca="1" si="15"/>
        <v>764035756</v>
      </c>
      <c r="F985" t="s">
        <v>12</v>
      </c>
      <c r="G985" t="s">
        <v>15</v>
      </c>
      <c r="H985" s="1" t="s">
        <v>236</v>
      </c>
      <c r="I985" t="s">
        <v>17</v>
      </c>
      <c r="J985" s="4">
        <v>10</v>
      </c>
      <c r="K985" s="4">
        <v>58.56</v>
      </c>
      <c r="L985" s="4">
        <v>7</v>
      </c>
      <c r="M985" s="4">
        <v>29.25</v>
      </c>
      <c r="N985" s="4">
        <v>101.1</v>
      </c>
      <c r="O985" s="4">
        <v>699.72</v>
      </c>
      <c r="P985" s="4">
        <v>3.8764546470000001</v>
      </c>
      <c r="Q985" s="4">
        <v>67.16</v>
      </c>
      <c r="R985" t="str" cm="1">
        <f t="array" ref="R985">_xlfn.IFS(B985="NY","New York",B985="TX","Texas",B985="CA","California")</f>
        <v>Texas</v>
      </c>
    </row>
    <row r="986" spans="1:18" x14ac:dyDescent="0.3">
      <c r="A986" t="s">
        <v>2</v>
      </c>
      <c r="B986" t="s">
        <v>7</v>
      </c>
      <c r="C986" s="2">
        <v>43083</v>
      </c>
      <c r="D986" s="11" t="s">
        <v>228</v>
      </c>
      <c r="E986" s="3">
        <f t="shared" ca="1" si="15"/>
        <v>915654575</v>
      </c>
      <c r="F986" t="s">
        <v>12</v>
      </c>
      <c r="G986" t="s">
        <v>15</v>
      </c>
      <c r="H986" s="1" t="s">
        <v>236</v>
      </c>
      <c r="I986" t="s">
        <v>18</v>
      </c>
      <c r="J986" s="4">
        <v>2.2999999999999998</v>
      </c>
      <c r="K986" s="4">
        <v>45.292999999999999</v>
      </c>
      <c r="L986" s="4">
        <v>7</v>
      </c>
      <c r="M986" s="4">
        <v>18.96</v>
      </c>
      <c r="N986" s="4">
        <v>159.80000000000001</v>
      </c>
      <c r="O986" s="4">
        <v>674.59</v>
      </c>
      <c r="P986" s="4">
        <v>3.8764546470000001</v>
      </c>
      <c r="Q986" s="4">
        <v>26.09</v>
      </c>
      <c r="R986" t="str" cm="1">
        <f t="array" ref="R986">_xlfn.IFS(B986="NY","New York",B986="TX","Texas",B986="CA","California")</f>
        <v>Texas</v>
      </c>
    </row>
    <row r="987" spans="1:18" x14ac:dyDescent="0.3">
      <c r="A987" t="s">
        <v>3</v>
      </c>
      <c r="B987" t="s">
        <v>8</v>
      </c>
      <c r="C987" s="2">
        <v>43399</v>
      </c>
      <c r="D987" s="11" t="s">
        <v>97</v>
      </c>
      <c r="E987" s="3">
        <f t="shared" ca="1" si="15"/>
        <v>135646130</v>
      </c>
      <c r="F987" t="s">
        <v>11</v>
      </c>
      <c r="G987" t="s">
        <v>15</v>
      </c>
      <c r="H987" s="1" t="s">
        <v>235</v>
      </c>
      <c r="I987" t="s">
        <v>22</v>
      </c>
      <c r="J987" s="4">
        <v>2.2999999999999998</v>
      </c>
      <c r="K987" s="4">
        <v>99.7</v>
      </c>
      <c r="L987" s="4">
        <v>5</v>
      </c>
      <c r="M987" s="4">
        <v>12.51</v>
      </c>
      <c r="N987" s="4">
        <v>122</v>
      </c>
      <c r="O987" s="4">
        <v>318.55</v>
      </c>
      <c r="P987" s="4">
        <v>3.8764546470000001</v>
      </c>
      <c r="Q987" s="4">
        <v>73.323999999999998</v>
      </c>
      <c r="R987" t="str" cm="1">
        <f t="array" ref="R987">_xlfn.IFS(B987="NY","New York",B987="TX","Texas",B987="CA","California")</f>
        <v>California</v>
      </c>
    </row>
    <row r="988" spans="1:18" x14ac:dyDescent="0.3">
      <c r="A988" t="s">
        <v>3</v>
      </c>
      <c r="B988" t="s">
        <v>8</v>
      </c>
      <c r="C988" s="2">
        <v>42860</v>
      </c>
      <c r="D988" s="11" t="s">
        <v>192</v>
      </c>
      <c r="E988" s="3">
        <f t="shared" ca="1" si="15"/>
        <v>517997214</v>
      </c>
      <c r="F988" t="s">
        <v>11</v>
      </c>
      <c r="G988" t="s">
        <v>15</v>
      </c>
      <c r="H988" s="1" t="s">
        <v>235</v>
      </c>
      <c r="I988" t="s">
        <v>17</v>
      </c>
      <c r="J988" s="4">
        <v>5.9</v>
      </c>
      <c r="K988" s="4">
        <v>99.36</v>
      </c>
      <c r="L988" s="4">
        <v>2</v>
      </c>
      <c r="M988" s="4">
        <v>22.31</v>
      </c>
      <c r="N988" s="4">
        <v>168.1</v>
      </c>
      <c r="O988" s="4">
        <v>29.52</v>
      </c>
      <c r="P988" s="4">
        <v>3.8764546470000001</v>
      </c>
      <c r="Q988" s="4">
        <v>98.966999999999999</v>
      </c>
      <c r="R988" t="str" cm="1">
        <f t="array" ref="R988">_xlfn.IFS(B988="NY","New York",B988="TX","Texas",B988="CA","California")</f>
        <v>California</v>
      </c>
    </row>
    <row r="989" spans="1:18" x14ac:dyDescent="0.3">
      <c r="A989" t="s">
        <v>3</v>
      </c>
      <c r="B989" t="s">
        <v>8</v>
      </c>
      <c r="C989" s="2">
        <v>42989</v>
      </c>
      <c r="D989" s="11" t="s">
        <v>113</v>
      </c>
      <c r="E989" s="3">
        <f t="shared" ca="1" si="15"/>
        <v>958848430</v>
      </c>
      <c r="F989" t="s">
        <v>12</v>
      </c>
      <c r="G989" t="s">
        <v>14</v>
      </c>
      <c r="H989" s="1" t="s">
        <v>237</v>
      </c>
      <c r="I989" t="s">
        <v>17</v>
      </c>
      <c r="J989" s="4">
        <v>2.4</v>
      </c>
      <c r="K989" s="4">
        <v>99.998000000000005</v>
      </c>
      <c r="L989" s="4">
        <v>8</v>
      </c>
      <c r="M989" s="4">
        <v>19.12</v>
      </c>
      <c r="N989" s="4">
        <v>183.79939999999999</v>
      </c>
      <c r="O989" s="4">
        <v>496</v>
      </c>
      <c r="P989" s="4">
        <v>3.8764546470000001</v>
      </c>
      <c r="Q989" s="4">
        <v>93.168999999999997</v>
      </c>
      <c r="R989" t="str" cm="1">
        <f t="array" ref="R989">_xlfn.IFS(B989="NY","New York",B989="TX","Texas",B989="CA","California")</f>
        <v>California</v>
      </c>
    </row>
    <row r="990" spans="1:18" x14ac:dyDescent="0.3">
      <c r="A990" t="s">
        <v>2</v>
      </c>
      <c r="B990" t="s">
        <v>7</v>
      </c>
      <c r="C990" s="2">
        <v>43129</v>
      </c>
      <c r="D990" s="11" t="s">
        <v>232</v>
      </c>
      <c r="E990" s="3">
        <f t="shared" ca="1" si="15"/>
        <v>886874742</v>
      </c>
      <c r="F990" t="s">
        <v>12</v>
      </c>
      <c r="G990" t="s">
        <v>14</v>
      </c>
      <c r="H990" s="1" t="s">
        <v>235</v>
      </c>
      <c r="I990" t="s">
        <v>18</v>
      </c>
      <c r="J990" s="4">
        <v>9.6</v>
      </c>
      <c r="K990" s="4">
        <v>39.5</v>
      </c>
      <c r="L990" s="4">
        <v>10</v>
      </c>
      <c r="M990" s="4">
        <v>16.16</v>
      </c>
      <c r="N990" s="4">
        <v>119.0484</v>
      </c>
      <c r="O990" s="4">
        <v>823.4</v>
      </c>
      <c r="P990" s="4">
        <v>3.8764546470000001</v>
      </c>
      <c r="Q990" s="4">
        <v>98.795000000000002</v>
      </c>
      <c r="R990" t="str" cm="1">
        <f t="array" ref="R990">_xlfn.IFS(B990="NY","New York",B990="TX","Texas",B990="CA","California")</f>
        <v>Texas</v>
      </c>
    </row>
    <row r="991" spans="1:18" x14ac:dyDescent="0.3">
      <c r="A991" t="s">
        <v>3</v>
      </c>
      <c r="B991" t="s">
        <v>8</v>
      </c>
      <c r="C991" s="2">
        <v>43148</v>
      </c>
      <c r="D991" s="11" t="s">
        <v>149</v>
      </c>
      <c r="E991" s="3">
        <f t="shared" ca="1" si="15"/>
        <v>428327643</v>
      </c>
      <c r="F991" t="s">
        <v>12</v>
      </c>
      <c r="G991" t="s">
        <v>14</v>
      </c>
      <c r="H991" s="1" t="s">
        <v>237</v>
      </c>
      <c r="I991" t="s">
        <v>17</v>
      </c>
      <c r="J991" s="4">
        <v>1</v>
      </c>
      <c r="K991" s="4">
        <v>90.03</v>
      </c>
      <c r="L991" s="4">
        <v>8</v>
      </c>
      <c r="M991" s="4">
        <v>53.76</v>
      </c>
      <c r="N991" s="4">
        <v>174.9</v>
      </c>
      <c r="O991" s="4">
        <v>602.96</v>
      </c>
      <c r="P991" s="4">
        <v>3.8764546470000001</v>
      </c>
      <c r="Q991" s="4">
        <v>15.037000000000001</v>
      </c>
      <c r="R991" t="str" cm="1">
        <f t="array" ref="R991">_xlfn.IFS(B991="NY","New York",B991="TX","Texas",B991="CA","California")</f>
        <v>California</v>
      </c>
    </row>
    <row r="992" spans="1:18" x14ac:dyDescent="0.3">
      <c r="A992" t="s">
        <v>1</v>
      </c>
      <c r="B992" t="s">
        <v>6</v>
      </c>
      <c r="C992" s="2">
        <v>43216</v>
      </c>
      <c r="D992" s="11" t="s">
        <v>29</v>
      </c>
      <c r="E992" s="3">
        <f t="shared" ca="1" si="15"/>
        <v>261798065</v>
      </c>
      <c r="F992" t="s">
        <v>11</v>
      </c>
      <c r="G992" t="s">
        <v>15</v>
      </c>
      <c r="H992" s="1" t="s">
        <v>237</v>
      </c>
      <c r="I992" t="s">
        <v>21</v>
      </c>
      <c r="J992" s="4">
        <v>1.2</v>
      </c>
      <c r="K992" s="4">
        <v>62.7</v>
      </c>
      <c r="L992" s="4">
        <v>5</v>
      </c>
      <c r="M992" s="4">
        <v>92.64</v>
      </c>
      <c r="N992" s="4">
        <v>114.7</v>
      </c>
      <c r="O992" s="4">
        <v>282.8</v>
      </c>
      <c r="P992" s="4">
        <v>3.8764546470000001</v>
      </c>
      <c r="Q992" s="4">
        <v>78.81</v>
      </c>
      <c r="R992" t="str" cm="1">
        <f t="array" ref="R992">_xlfn.IFS(B992="NY","New York",B992="TX","Texas",B992="CA","California")</f>
        <v>New York</v>
      </c>
    </row>
    <row r="993" spans="1:18" x14ac:dyDescent="0.3">
      <c r="A993" t="s">
        <v>3</v>
      </c>
      <c r="B993" t="s">
        <v>8</v>
      </c>
      <c r="C993" s="2">
        <v>43197</v>
      </c>
      <c r="D993" s="11" t="s">
        <v>48</v>
      </c>
      <c r="E993" s="3">
        <f t="shared" ca="1" si="15"/>
        <v>338968281</v>
      </c>
      <c r="F993" t="s">
        <v>11</v>
      </c>
      <c r="G993" t="s">
        <v>15</v>
      </c>
      <c r="H993" s="1" t="s">
        <v>235</v>
      </c>
      <c r="I993" t="s">
        <v>20</v>
      </c>
      <c r="J993" s="4">
        <v>9.1999999999999993</v>
      </c>
      <c r="K993" s="4">
        <v>27.73</v>
      </c>
      <c r="L993" s="4">
        <v>10</v>
      </c>
      <c r="M993" s="4">
        <v>63.47</v>
      </c>
      <c r="N993" s="4">
        <v>150.6</v>
      </c>
      <c r="O993" s="4">
        <v>766</v>
      </c>
      <c r="P993" s="4">
        <v>3.8764546470000001</v>
      </c>
      <c r="Q993" s="4">
        <v>14.361000000000001</v>
      </c>
      <c r="R993" t="str" cm="1">
        <f t="array" ref="R993">_xlfn.IFS(B993="NY","New York",B993="TX","Texas",B993="CA","California")</f>
        <v>California</v>
      </c>
    </row>
    <row r="994" spans="1:18" x14ac:dyDescent="0.3">
      <c r="A994" t="s">
        <v>1</v>
      </c>
      <c r="B994" t="s">
        <v>6</v>
      </c>
      <c r="C994" s="2">
        <v>42883</v>
      </c>
      <c r="D994" s="11" t="s">
        <v>70</v>
      </c>
      <c r="E994" s="3">
        <f t="shared" ca="1" si="15"/>
        <v>258352773</v>
      </c>
      <c r="F994" t="s">
        <v>12</v>
      </c>
      <c r="G994" t="s">
        <v>15</v>
      </c>
      <c r="H994" s="1" t="s">
        <v>235</v>
      </c>
      <c r="I994" t="s">
        <v>18</v>
      </c>
      <c r="J994" s="4">
        <v>8.5</v>
      </c>
      <c r="K994" s="4">
        <v>85.6</v>
      </c>
      <c r="L994" s="4">
        <v>2</v>
      </c>
      <c r="M994" s="4">
        <v>52.65</v>
      </c>
      <c r="N994" s="4">
        <v>132.5</v>
      </c>
      <c r="O994" s="4">
        <v>116.06</v>
      </c>
      <c r="P994" s="4">
        <v>3.8764546470000001</v>
      </c>
      <c r="Q994" s="4">
        <v>38.206000000000003</v>
      </c>
      <c r="R994" t="str" cm="1">
        <f t="array" ref="R994">_xlfn.IFS(B994="NY","New York",B994="TX","Texas",B994="CA","California")</f>
        <v>New York</v>
      </c>
    </row>
    <row r="995" spans="1:18" x14ac:dyDescent="0.3">
      <c r="A995" t="s">
        <v>3</v>
      </c>
      <c r="B995" t="s">
        <v>8</v>
      </c>
      <c r="C995" s="2">
        <v>42940</v>
      </c>
      <c r="D995" s="11" t="s">
        <v>55</v>
      </c>
      <c r="E995" s="3">
        <f t="shared" ca="1" si="15"/>
        <v>192690857</v>
      </c>
      <c r="F995" t="s">
        <v>12</v>
      </c>
      <c r="G995" t="s">
        <v>15</v>
      </c>
      <c r="H995" s="1" t="s">
        <v>235</v>
      </c>
      <c r="I995" t="s">
        <v>22</v>
      </c>
      <c r="J995" s="4">
        <v>9.3000000000000007</v>
      </c>
      <c r="K995" s="4">
        <v>21.399000000000001</v>
      </c>
      <c r="L995" s="4">
        <v>10</v>
      </c>
      <c r="M995" s="4">
        <v>35.99</v>
      </c>
      <c r="N995" s="4">
        <v>146.1</v>
      </c>
      <c r="O995" s="4">
        <v>174.9</v>
      </c>
      <c r="P995" s="4">
        <v>3.8764546470000001</v>
      </c>
      <c r="Q995" s="4">
        <v>26.17</v>
      </c>
      <c r="R995" t="str" cm="1">
        <f t="array" ref="R995">_xlfn.IFS(B995="NY","New York",B995="TX","Texas",B995="CA","California")</f>
        <v>California</v>
      </c>
    </row>
    <row r="996" spans="1:18" x14ac:dyDescent="0.3">
      <c r="A996" t="s">
        <v>2</v>
      </c>
      <c r="B996" t="s">
        <v>7</v>
      </c>
      <c r="C996" s="2">
        <v>43421</v>
      </c>
      <c r="D996" s="11" t="s">
        <v>186</v>
      </c>
      <c r="E996" s="3">
        <f t="shared" ca="1" si="15"/>
        <v>692643403</v>
      </c>
      <c r="F996" t="s">
        <v>11</v>
      </c>
      <c r="G996" t="s">
        <v>14</v>
      </c>
      <c r="H996" s="1" t="s">
        <v>235</v>
      </c>
      <c r="I996" t="s">
        <v>18</v>
      </c>
      <c r="J996" s="4">
        <v>3</v>
      </c>
      <c r="K996" s="4">
        <v>23.01</v>
      </c>
      <c r="L996" s="4">
        <v>1</v>
      </c>
      <c r="M996" s="4">
        <v>11.83</v>
      </c>
      <c r="N996" s="4">
        <v>102.9978</v>
      </c>
      <c r="O996" s="4">
        <v>60.95</v>
      </c>
      <c r="P996" s="4">
        <v>3.8764546470000001</v>
      </c>
      <c r="Q996" s="4">
        <v>96.346000000000004</v>
      </c>
      <c r="R996" t="str" cm="1">
        <f t="array" ref="R996">_xlfn.IFS(B996="NY","New York",B996="TX","Texas",B996="CA","California")</f>
        <v>Texas</v>
      </c>
    </row>
    <row r="997" spans="1:18" x14ac:dyDescent="0.3">
      <c r="A997" t="s">
        <v>2</v>
      </c>
      <c r="B997" t="s">
        <v>7</v>
      </c>
      <c r="C997" s="2">
        <v>43117</v>
      </c>
      <c r="D997" s="11" t="s">
        <v>145</v>
      </c>
      <c r="E997" s="3">
        <f t="shared" ca="1" si="15"/>
        <v>822076635</v>
      </c>
      <c r="F997" t="s">
        <v>12</v>
      </c>
      <c r="G997" t="s">
        <v>15</v>
      </c>
      <c r="H997" s="1" t="s">
        <v>235</v>
      </c>
      <c r="I997" t="s">
        <v>17</v>
      </c>
      <c r="J997" s="4">
        <v>6</v>
      </c>
      <c r="K997" s="4">
        <v>16.739999999999998</v>
      </c>
      <c r="L997" s="4">
        <v>1</v>
      </c>
      <c r="M997" s="4">
        <v>68.38</v>
      </c>
      <c r="N997" s="4">
        <v>171.9452</v>
      </c>
      <c r="O997" s="4">
        <v>40.35</v>
      </c>
      <c r="P997" s="4">
        <v>3.8764546470000001</v>
      </c>
      <c r="Q997" s="4">
        <v>45.523000000000003</v>
      </c>
      <c r="R997" t="str" cm="1">
        <f t="array" ref="R997">_xlfn.IFS(B997="NY","New York",B997="TX","Texas",B997="CA","California")</f>
        <v>Texas</v>
      </c>
    </row>
    <row r="998" spans="1:18" x14ac:dyDescent="0.3">
      <c r="A998" t="s">
        <v>3</v>
      </c>
      <c r="B998" t="s">
        <v>8</v>
      </c>
      <c r="C998" s="2">
        <v>42855</v>
      </c>
      <c r="D998" s="11" t="s">
        <v>231</v>
      </c>
      <c r="E998" s="3">
        <f t="shared" ca="1" si="15"/>
        <v>255102576</v>
      </c>
      <c r="F998" t="s">
        <v>11</v>
      </c>
      <c r="G998" t="s">
        <v>15</v>
      </c>
      <c r="H998" s="1" t="s">
        <v>235</v>
      </c>
      <c r="I998" t="s">
        <v>19</v>
      </c>
      <c r="J998" s="4">
        <v>8</v>
      </c>
      <c r="K998" s="4">
        <v>58.826999999999998</v>
      </c>
      <c r="L998" s="4">
        <v>10</v>
      </c>
      <c r="M998" s="4">
        <v>49.82</v>
      </c>
      <c r="N998" s="4">
        <v>135.96469999999999</v>
      </c>
      <c r="O998" s="4">
        <v>973.8</v>
      </c>
      <c r="P998" s="4">
        <v>3.8764546470000001</v>
      </c>
      <c r="Q998" s="4">
        <v>66.992999999999995</v>
      </c>
      <c r="R998" t="str" cm="1">
        <f t="array" ref="R998">_xlfn.IFS(B998="NY","New York",B998="TX","Texas",B998="CA","California")</f>
        <v>California</v>
      </c>
    </row>
    <row r="999" spans="1:18" x14ac:dyDescent="0.3">
      <c r="A999" t="s">
        <v>1</v>
      </c>
      <c r="B999" t="s">
        <v>6</v>
      </c>
      <c r="C999" s="2">
        <v>42807</v>
      </c>
      <c r="D999" s="11" t="s">
        <v>81</v>
      </c>
      <c r="E999" s="3">
        <f t="shared" ca="1" si="15"/>
        <v>596987192</v>
      </c>
      <c r="F999" t="s">
        <v>12</v>
      </c>
      <c r="G999" t="s">
        <v>14</v>
      </c>
      <c r="H999" s="1" t="s">
        <v>236</v>
      </c>
      <c r="I999" t="s">
        <v>21</v>
      </c>
      <c r="J999" s="4">
        <v>3.1</v>
      </c>
      <c r="K999" s="4">
        <v>23.202999999999999</v>
      </c>
      <c r="L999" s="4">
        <v>1</v>
      </c>
      <c r="M999" s="4">
        <v>46.04</v>
      </c>
      <c r="N999" s="4">
        <v>147.6</v>
      </c>
      <c r="O999" s="4">
        <v>31.84</v>
      </c>
      <c r="P999" s="4">
        <v>3.8764546470000001</v>
      </c>
      <c r="Q999" s="4">
        <v>25.780999999999999</v>
      </c>
      <c r="R999" t="str" cm="1">
        <f t="array" ref="R999">_xlfn.IFS(B999="NY","New York",B999="TX","Texas",B999="CA","California")</f>
        <v>New York</v>
      </c>
    </row>
    <row r="1000" spans="1:18" x14ac:dyDescent="0.3">
      <c r="A1000" t="s">
        <v>1</v>
      </c>
      <c r="B1000" t="s">
        <v>6</v>
      </c>
      <c r="C1000" s="2">
        <v>42995</v>
      </c>
      <c r="D1000" s="11" t="s">
        <v>145</v>
      </c>
      <c r="E1000" s="3">
        <f t="shared" ca="1" si="15"/>
        <v>121008066</v>
      </c>
      <c r="F1000" t="s">
        <v>12</v>
      </c>
      <c r="G1000" t="s">
        <v>15</v>
      </c>
      <c r="H1000" s="1" t="s">
        <v>236</v>
      </c>
      <c r="I1000" t="s">
        <v>19</v>
      </c>
      <c r="J1000" s="4">
        <v>2.1</v>
      </c>
      <c r="K1000" s="4">
        <v>26.32</v>
      </c>
      <c r="L1000" s="4">
        <v>1</v>
      </c>
      <c r="M1000" s="4">
        <v>49.34</v>
      </c>
      <c r="N1000" s="4">
        <v>186.9</v>
      </c>
      <c r="O1000" s="4">
        <v>65.819999999999993</v>
      </c>
      <c r="P1000" s="4">
        <v>3.8764546470000001</v>
      </c>
      <c r="Q1000" s="4">
        <v>75.344999999999999</v>
      </c>
      <c r="R1000" t="str" cm="1">
        <f t="array" ref="R1000">_xlfn.IFS(B1000="NY","New York",B1000="TX","Texas",B1000="CA","California")</f>
        <v>New York</v>
      </c>
    </row>
    <row r="1001" spans="1:18" x14ac:dyDescent="0.3">
      <c r="A1001" t="s">
        <v>1</v>
      </c>
      <c r="B1001" t="s">
        <v>6</v>
      </c>
      <c r="C1001" s="2">
        <v>43166</v>
      </c>
      <c r="D1001" s="11" t="s">
        <v>41</v>
      </c>
      <c r="E1001" s="3">
        <f t="shared" ca="1" si="15"/>
        <v>325722403</v>
      </c>
      <c r="F1001" t="s">
        <v>11</v>
      </c>
      <c r="G1001" t="s">
        <v>14</v>
      </c>
      <c r="H1001" s="1" t="s">
        <v>236</v>
      </c>
      <c r="I1001" t="s">
        <v>22</v>
      </c>
      <c r="J1001" s="4">
        <v>6</v>
      </c>
      <c r="K1001" s="4">
        <v>15.58</v>
      </c>
      <c r="L1001" s="4">
        <v>7</v>
      </c>
      <c r="M1001" s="4">
        <v>74.67</v>
      </c>
      <c r="N1001" s="4">
        <v>138.80000000000001</v>
      </c>
      <c r="O1001" s="4">
        <v>618.38</v>
      </c>
      <c r="P1001" s="4">
        <v>3.8764546470000001</v>
      </c>
      <c r="Q1001" s="4">
        <v>94.51</v>
      </c>
      <c r="R1001" t="str" cm="1">
        <f t="array" ref="R1001">_xlfn.IFS(B1001="NY","New York",B1001="TX","Texas",B1001="CA","California")</f>
        <v>New York</v>
      </c>
    </row>
    <row r="1002" spans="1:18" x14ac:dyDescent="0.3">
      <c r="C1002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FDB7-A1A4-4782-BD09-AC58F7C9E6AC}">
  <sheetPr codeName="Sheet2"/>
  <dimension ref="A1:R1001"/>
  <sheetViews>
    <sheetView workbookViewId="0">
      <selection activeCell="E6" sqref="E6"/>
    </sheetView>
  </sheetViews>
  <sheetFormatPr defaultRowHeight="14.4" x14ac:dyDescent="0.3"/>
  <cols>
    <col min="1" max="1" width="9.33203125" customWidth="1"/>
    <col min="2" max="2" width="8.88671875" style="3"/>
    <col min="3" max="3" width="10.5546875" bestFit="1" customWidth="1"/>
    <col min="4" max="4" width="11.33203125" style="10" bestFit="1" customWidth="1"/>
    <col min="5" max="5" width="10" bestFit="1" customWidth="1"/>
    <col min="18" max="18" width="11.33203125" bestFit="1" customWidth="1"/>
  </cols>
  <sheetData>
    <row r="1" spans="1:18" ht="57.6" x14ac:dyDescent="0.3">
      <c r="A1" t="s">
        <v>9</v>
      </c>
      <c r="B1" s="3" t="s">
        <v>5</v>
      </c>
      <c r="C1" s="1" t="s">
        <v>27</v>
      </c>
      <c r="D1" s="9" t="s">
        <v>28</v>
      </c>
      <c r="E1" t="s">
        <v>0</v>
      </c>
      <c r="F1" t="s">
        <v>10</v>
      </c>
      <c r="G1" t="s">
        <v>13</v>
      </c>
      <c r="H1" s="1" t="s">
        <v>234</v>
      </c>
      <c r="I1" t="s">
        <v>16</v>
      </c>
      <c r="J1" s="1" t="s">
        <v>241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238</v>
      </c>
      <c r="P1" s="1" t="s">
        <v>239</v>
      </c>
      <c r="Q1" s="1" t="s">
        <v>240</v>
      </c>
    </row>
    <row r="2" spans="1:18" x14ac:dyDescent="0.3">
      <c r="A2" t="s">
        <v>1</v>
      </c>
      <c r="B2" s="3" t="s">
        <v>279</v>
      </c>
      <c r="C2" s="2">
        <v>43224</v>
      </c>
      <c r="D2" s="9">
        <v>0.74861111111111112</v>
      </c>
      <c r="E2" s="3">
        <f ca="1">RANDBETWEEN(10000000,1000000000)</f>
        <v>497546360</v>
      </c>
      <c r="F2" t="s">
        <v>11</v>
      </c>
      <c r="G2" t="s">
        <v>14</v>
      </c>
      <c r="H2" s="1" t="s">
        <v>235</v>
      </c>
      <c r="I2" t="s">
        <v>17</v>
      </c>
      <c r="J2" s="4">
        <v>3.5</v>
      </c>
      <c r="K2" s="4">
        <v>55.61</v>
      </c>
      <c r="L2" s="4">
        <v>7</v>
      </c>
      <c r="M2" s="4">
        <v>94.02</v>
      </c>
      <c r="N2" s="4">
        <v>166.3963</v>
      </c>
      <c r="O2" s="4">
        <v>522.83000000000004</v>
      </c>
      <c r="P2" s="4">
        <v>3.8764546470000001</v>
      </c>
      <c r="Q2" s="4">
        <v>85.176000000000002</v>
      </c>
      <c r="R2" s="10"/>
    </row>
    <row r="3" spans="1:18" x14ac:dyDescent="0.3">
      <c r="A3" t="s">
        <v>2</v>
      </c>
      <c r="B3" s="3" t="s">
        <v>280</v>
      </c>
      <c r="C3" s="2">
        <v>43087</v>
      </c>
      <c r="D3" s="9">
        <v>0.9868055555555556</v>
      </c>
      <c r="E3" s="3">
        <f t="shared" ref="E3:E66" ca="1" si="0">RANDBETWEEN(10000000,1000000000)</f>
        <v>181303556</v>
      </c>
      <c r="F3" t="s">
        <v>11</v>
      </c>
      <c r="G3" t="s">
        <v>15</v>
      </c>
      <c r="H3" s="1" t="s">
        <v>236</v>
      </c>
      <c r="I3" t="s">
        <v>18</v>
      </c>
      <c r="J3" s="4">
        <v>2.1</v>
      </c>
      <c r="K3" s="4">
        <v>93.45</v>
      </c>
      <c r="L3" s="4">
        <v>5</v>
      </c>
      <c r="M3" s="4">
        <v>77.12</v>
      </c>
      <c r="N3" s="4">
        <v>171.83840000000001</v>
      </c>
      <c r="O3" s="4">
        <v>76.400000000000006</v>
      </c>
      <c r="P3" s="4">
        <v>3.8764546470000001</v>
      </c>
      <c r="Q3" s="4">
        <v>7.62</v>
      </c>
      <c r="R3" s="10"/>
    </row>
    <row r="4" spans="1:18" ht="28.8" x14ac:dyDescent="0.3">
      <c r="A4" t="s">
        <v>1</v>
      </c>
      <c r="B4" s="3" t="s">
        <v>279</v>
      </c>
      <c r="C4" s="2">
        <v>43104</v>
      </c>
      <c r="D4" s="9">
        <v>0.23819444444444443</v>
      </c>
      <c r="E4" s="3">
        <f t="shared" ca="1" si="0"/>
        <v>838559427</v>
      </c>
      <c r="F4" t="s">
        <v>12</v>
      </c>
      <c r="G4" t="s">
        <v>15</v>
      </c>
      <c r="H4" s="1" t="s">
        <v>237</v>
      </c>
      <c r="I4" t="s">
        <v>19</v>
      </c>
      <c r="J4" s="4">
        <v>1.7</v>
      </c>
      <c r="K4" s="4">
        <v>46.97</v>
      </c>
      <c r="L4" s="4">
        <v>7</v>
      </c>
      <c r="M4" s="4">
        <v>32.21</v>
      </c>
      <c r="N4" s="4">
        <v>148.1456</v>
      </c>
      <c r="O4" s="4">
        <v>324.31</v>
      </c>
      <c r="P4" s="4">
        <v>3.8764546470000001</v>
      </c>
      <c r="Q4" s="4">
        <v>16.216000000000001</v>
      </c>
      <c r="R4" s="10"/>
    </row>
    <row r="5" spans="1:18" x14ac:dyDescent="0.3">
      <c r="A5" t="s">
        <v>1</v>
      </c>
      <c r="B5" s="3" t="s">
        <v>279</v>
      </c>
      <c r="C5" s="2">
        <v>43359</v>
      </c>
      <c r="D5" s="9">
        <v>0.7</v>
      </c>
      <c r="E5" s="3">
        <f t="shared" ca="1" si="0"/>
        <v>855688830</v>
      </c>
      <c r="F5" t="s">
        <v>12</v>
      </c>
      <c r="G5" t="s">
        <v>14</v>
      </c>
      <c r="H5" s="1" t="s">
        <v>235</v>
      </c>
      <c r="I5" t="s">
        <v>17</v>
      </c>
      <c r="J5" s="4">
        <v>3.2</v>
      </c>
      <c r="K5" s="4">
        <v>45.18</v>
      </c>
      <c r="L5" s="4">
        <v>8</v>
      </c>
      <c r="M5" s="4">
        <v>56.88</v>
      </c>
      <c r="N5" s="4">
        <v>159.86779999999999</v>
      </c>
      <c r="O5" s="4">
        <v>465.76</v>
      </c>
      <c r="P5" s="4">
        <v>3.8764546470000001</v>
      </c>
      <c r="Q5" s="4">
        <v>23.288</v>
      </c>
      <c r="R5" s="10"/>
    </row>
    <row r="6" spans="1:18" x14ac:dyDescent="0.3">
      <c r="A6" t="s">
        <v>1</v>
      </c>
      <c r="B6" s="3" t="s">
        <v>279</v>
      </c>
      <c r="C6" s="2">
        <v>43030</v>
      </c>
      <c r="D6" s="9">
        <v>0.4909722222222222</v>
      </c>
      <c r="E6" s="3">
        <f t="shared" ca="1" si="0"/>
        <v>943895918</v>
      </c>
      <c r="F6" t="s">
        <v>12</v>
      </c>
      <c r="G6" t="s">
        <v>15</v>
      </c>
      <c r="H6" s="1" t="s">
        <v>235</v>
      </c>
      <c r="I6" t="s">
        <v>20</v>
      </c>
      <c r="J6" s="4">
        <v>7.3</v>
      </c>
      <c r="K6" s="4">
        <v>80.17</v>
      </c>
      <c r="L6" s="4">
        <v>7</v>
      </c>
      <c r="M6" s="4">
        <v>26.94</v>
      </c>
      <c r="N6" s="4">
        <v>185.9512</v>
      </c>
      <c r="O6" s="4">
        <v>604.16999999999996</v>
      </c>
      <c r="P6" s="4">
        <v>3.8764546470000001</v>
      </c>
      <c r="Q6" s="4">
        <v>54.66</v>
      </c>
      <c r="R6" s="10"/>
    </row>
    <row r="7" spans="1:18" x14ac:dyDescent="0.3">
      <c r="A7" t="s">
        <v>2</v>
      </c>
      <c r="B7" s="3" t="s">
        <v>280</v>
      </c>
      <c r="C7" s="2">
        <v>42918</v>
      </c>
      <c r="D7" s="9">
        <v>0.25763888888888886</v>
      </c>
      <c r="E7" s="3">
        <f t="shared" ca="1" si="0"/>
        <v>565966207</v>
      </c>
      <c r="F7" t="s">
        <v>12</v>
      </c>
      <c r="G7" t="s">
        <v>15</v>
      </c>
      <c r="H7" s="1" t="s">
        <v>235</v>
      </c>
      <c r="I7" t="s">
        <v>18</v>
      </c>
      <c r="J7" s="4">
        <v>2.1</v>
      </c>
      <c r="K7" s="4">
        <v>64.72</v>
      </c>
      <c r="L7" s="4">
        <v>7</v>
      </c>
      <c r="M7" s="4">
        <v>56.1</v>
      </c>
      <c r="N7" s="4">
        <v>187.7021</v>
      </c>
      <c r="O7" s="4">
        <v>597.73</v>
      </c>
      <c r="P7" s="4">
        <v>3.8764546470000001</v>
      </c>
      <c r="Q7" s="4">
        <v>62.27</v>
      </c>
      <c r="R7" s="10"/>
    </row>
    <row r="8" spans="1:18" x14ac:dyDescent="0.3">
      <c r="A8" t="s">
        <v>1</v>
      </c>
      <c r="B8" s="3" t="s">
        <v>279</v>
      </c>
      <c r="C8" s="2">
        <v>43409</v>
      </c>
      <c r="D8" s="9">
        <v>0.21388888888888888</v>
      </c>
      <c r="E8" s="3">
        <f t="shared" ca="1" si="0"/>
        <v>747304787</v>
      </c>
      <c r="F8" t="s">
        <v>11</v>
      </c>
      <c r="G8" t="s">
        <v>14</v>
      </c>
      <c r="H8" s="1" t="s">
        <v>235</v>
      </c>
      <c r="I8" t="s">
        <v>18</v>
      </c>
      <c r="J8" s="4">
        <v>6.4</v>
      </c>
      <c r="K8" s="4">
        <v>17.670000000000002</v>
      </c>
      <c r="L8" s="4">
        <v>6</v>
      </c>
      <c r="M8" s="4">
        <v>15.8</v>
      </c>
      <c r="N8" s="4">
        <v>122.1711</v>
      </c>
      <c r="O8" s="4">
        <v>413.04</v>
      </c>
      <c r="P8" s="4">
        <v>3.8764546470000001</v>
      </c>
      <c r="Q8" s="4">
        <v>69.995000000000005</v>
      </c>
      <c r="R8" s="10"/>
    </row>
    <row r="9" spans="1:18" x14ac:dyDescent="0.3">
      <c r="A9" t="s">
        <v>2</v>
      </c>
      <c r="B9" s="3" t="s">
        <v>280</v>
      </c>
      <c r="C9" s="2">
        <v>43325</v>
      </c>
      <c r="D9" s="9">
        <v>0.68541666666666667</v>
      </c>
      <c r="E9" s="3">
        <f t="shared" ca="1" si="0"/>
        <v>660689257</v>
      </c>
      <c r="F9" t="s">
        <v>11</v>
      </c>
      <c r="G9" t="s">
        <v>15</v>
      </c>
      <c r="H9" s="1" t="s">
        <v>235</v>
      </c>
      <c r="I9" t="s">
        <v>19</v>
      </c>
      <c r="J9" s="4">
        <v>3.1</v>
      </c>
      <c r="K9" s="4">
        <v>10.98</v>
      </c>
      <c r="L9" s="4">
        <v>10</v>
      </c>
      <c r="M9" s="4">
        <v>21.8</v>
      </c>
      <c r="N9" s="4">
        <v>124.5346</v>
      </c>
      <c r="O9" s="4">
        <v>735.6</v>
      </c>
      <c r="P9" s="4">
        <v>3.8764546470000001</v>
      </c>
      <c r="Q9" s="4">
        <v>20.393999999999998</v>
      </c>
      <c r="R9" s="10"/>
    </row>
    <row r="10" spans="1:18" ht="28.8" x14ac:dyDescent="0.3">
      <c r="A10" t="s">
        <v>1</v>
      </c>
      <c r="B10" s="3" t="s">
        <v>279</v>
      </c>
      <c r="C10" s="2">
        <v>43215</v>
      </c>
      <c r="D10" s="9">
        <v>0.67569444444444449</v>
      </c>
      <c r="E10" s="3">
        <f t="shared" ca="1" si="0"/>
        <v>655821471</v>
      </c>
      <c r="F10" t="s">
        <v>11</v>
      </c>
      <c r="G10" t="s">
        <v>14</v>
      </c>
      <c r="H10" s="1" t="s">
        <v>237</v>
      </c>
      <c r="I10" t="s">
        <v>17</v>
      </c>
      <c r="J10" s="4">
        <v>1.6</v>
      </c>
      <c r="K10" s="4">
        <v>50.48</v>
      </c>
      <c r="L10" s="4">
        <v>2</v>
      </c>
      <c r="M10" s="4">
        <v>30.17</v>
      </c>
      <c r="N10" s="4">
        <v>137.89590000000001</v>
      </c>
      <c r="O10" s="4">
        <v>72.52</v>
      </c>
      <c r="P10" s="4">
        <v>3.8764546470000001</v>
      </c>
      <c r="Q10" s="4">
        <v>52.308999999999997</v>
      </c>
      <c r="R10" s="10"/>
    </row>
    <row r="11" spans="1:18" ht="28.8" x14ac:dyDescent="0.3">
      <c r="A11" t="s">
        <v>3</v>
      </c>
      <c r="B11" s="3" t="s">
        <v>281</v>
      </c>
      <c r="C11" s="2">
        <v>42824</v>
      </c>
      <c r="D11" s="9">
        <v>0.52986111111111112</v>
      </c>
      <c r="E11" s="3">
        <f t="shared" ca="1" si="0"/>
        <v>580593995</v>
      </c>
      <c r="F11" t="s">
        <v>11</v>
      </c>
      <c r="G11" t="s">
        <v>14</v>
      </c>
      <c r="H11" s="1" t="s">
        <v>237</v>
      </c>
      <c r="I11" t="s">
        <v>21</v>
      </c>
      <c r="J11" s="4">
        <v>8.5</v>
      </c>
      <c r="K11" s="4">
        <v>41.01</v>
      </c>
      <c r="L11" s="4">
        <v>3</v>
      </c>
      <c r="M11" s="4">
        <v>91.88</v>
      </c>
      <c r="N11" s="4">
        <v>169.2268</v>
      </c>
      <c r="O11" s="4">
        <v>164.52</v>
      </c>
      <c r="P11" s="4">
        <v>3.8764546470000001</v>
      </c>
      <c r="Q11" s="4">
        <v>69.45</v>
      </c>
      <c r="R11" s="10"/>
    </row>
    <row r="12" spans="1:18" x14ac:dyDescent="0.3">
      <c r="A12" t="s">
        <v>3</v>
      </c>
      <c r="B12" s="3" t="s">
        <v>281</v>
      </c>
      <c r="C12" s="2">
        <v>43168</v>
      </c>
      <c r="D12" s="9">
        <v>0.87013888888888891</v>
      </c>
      <c r="E12" s="3">
        <f t="shared" ca="1" si="0"/>
        <v>749823411</v>
      </c>
      <c r="F12" t="s">
        <v>11</v>
      </c>
      <c r="G12" t="s">
        <v>14</v>
      </c>
      <c r="H12" s="1" t="s">
        <v>235</v>
      </c>
      <c r="I12" t="s">
        <v>22</v>
      </c>
      <c r="J12" s="4">
        <v>7.1</v>
      </c>
      <c r="K12" s="4">
        <v>27.76</v>
      </c>
      <c r="L12" s="4">
        <v>4</v>
      </c>
      <c r="M12" s="4">
        <v>93.86</v>
      </c>
      <c r="N12" s="4">
        <v>140.94980000000001</v>
      </c>
      <c r="O12" s="4">
        <v>57.92</v>
      </c>
      <c r="P12" s="4">
        <v>3.8764546470000001</v>
      </c>
      <c r="Q12" s="4">
        <v>45.807000000000002</v>
      </c>
      <c r="R12" s="10"/>
    </row>
    <row r="13" spans="1:18" x14ac:dyDescent="0.3">
      <c r="A13" t="s">
        <v>1</v>
      </c>
      <c r="B13" s="3" t="s">
        <v>281</v>
      </c>
      <c r="C13" s="2">
        <v>42889</v>
      </c>
      <c r="D13" s="9">
        <v>0.92847222222222225</v>
      </c>
      <c r="E13" s="3">
        <f t="shared" ca="1" si="0"/>
        <v>458274079</v>
      </c>
      <c r="F13" t="s">
        <v>11</v>
      </c>
      <c r="G13" t="s">
        <v>14</v>
      </c>
      <c r="H13" s="1" t="s">
        <v>235</v>
      </c>
      <c r="I13" t="s">
        <v>18</v>
      </c>
      <c r="J13" s="4">
        <v>2.2000000000000002</v>
      </c>
      <c r="K13" s="4">
        <v>85.2</v>
      </c>
      <c r="L13" s="4">
        <v>4</v>
      </c>
      <c r="M13" s="4">
        <v>98.78</v>
      </c>
      <c r="N13" s="4">
        <v>129.1413</v>
      </c>
      <c r="O13" s="4">
        <v>102.04</v>
      </c>
      <c r="P13" s="4">
        <v>3.8764546470000001</v>
      </c>
      <c r="Q13" s="4">
        <v>82.531999999999996</v>
      </c>
      <c r="R13" s="10"/>
    </row>
    <row r="14" spans="1:18" x14ac:dyDescent="0.3">
      <c r="A14" t="s">
        <v>1</v>
      </c>
      <c r="B14" s="3" t="s">
        <v>279</v>
      </c>
      <c r="C14" s="2">
        <v>43059</v>
      </c>
      <c r="D14" s="9">
        <v>9.7222222222222224E-2</v>
      </c>
      <c r="E14" s="3">
        <f t="shared" ca="1" si="0"/>
        <v>563751595</v>
      </c>
      <c r="F14" t="s">
        <v>11</v>
      </c>
      <c r="G14" t="s">
        <v>15</v>
      </c>
      <c r="H14" s="1" t="s">
        <v>235</v>
      </c>
      <c r="I14" t="s">
        <v>18</v>
      </c>
      <c r="J14" s="4">
        <v>7.8</v>
      </c>
      <c r="K14" s="4">
        <v>58.06</v>
      </c>
      <c r="L14" s="4">
        <v>5</v>
      </c>
      <c r="M14" s="4">
        <v>15.13</v>
      </c>
      <c r="N14" s="4">
        <v>155.6739</v>
      </c>
      <c r="O14" s="4">
        <v>234.75</v>
      </c>
      <c r="P14" s="4">
        <v>3.8764546470000001</v>
      </c>
      <c r="Q14" s="4">
        <v>61.408999999999999</v>
      </c>
      <c r="R14" s="10"/>
    </row>
    <row r="15" spans="1:18" x14ac:dyDescent="0.3">
      <c r="A15" t="s">
        <v>1</v>
      </c>
      <c r="B15" s="3" t="s">
        <v>279</v>
      </c>
      <c r="C15" s="2">
        <v>43011</v>
      </c>
      <c r="D15" s="9">
        <v>0.21875</v>
      </c>
      <c r="E15" s="3">
        <f t="shared" ca="1" si="0"/>
        <v>627900507</v>
      </c>
      <c r="F15" t="s">
        <v>11</v>
      </c>
      <c r="G15" t="s">
        <v>15</v>
      </c>
      <c r="H15" s="1" t="s">
        <v>235</v>
      </c>
      <c r="I15" t="s">
        <v>21</v>
      </c>
      <c r="J15" s="4">
        <v>4.7</v>
      </c>
      <c r="K15" s="4">
        <v>78.239999999999995</v>
      </c>
      <c r="L15" s="4">
        <v>10</v>
      </c>
      <c r="M15" s="4">
        <v>33.549999999999997</v>
      </c>
      <c r="N15" s="4">
        <v>168.82900000000001</v>
      </c>
      <c r="O15" s="4">
        <v>431.9</v>
      </c>
      <c r="P15" s="4">
        <v>3.8764546470000001</v>
      </c>
      <c r="Q15" s="4">
        <v>49.89</v>
      </c>
      <c r="R15" s="10"/>
    </row>
    <row r="16" spans="1:18" x14ac:dyDescent="0.3">
      <c r="A16" t="s">
        <v>1</v>
      </c>
      <c r="B16" s="3" t="s">
        <v>279</v>
      </c>
      <c r="C16" s="2">
        <v>42921</v>
      </c>
      <c r="D16" s="9">
        <v>0.15069444444444444</v>
      </c>
      <c r="E16" s="3">
        <f t="shared" ca="1" si="0"/>
        <v>824873085</v>
      </c>
      <c r="F16" t="s">
        <v>11</v>
      </c>
      <c r="G16" t="s">
        <v>15</v>
      </c>
      <c r="H16" s="1" t="s">
        <v>235</v>
      </c>
      <c r="I16" t="s">
        <v>17</v>
      </c>
      <c r="J16" s="4">
        <v>3.8</v>
      </c>
      <c r="K16" s="4">
        <v>30.54</v>
      </c>
      <c r="L16" s="4">
        <v>10</v>
      </c>
      <c r="M16" s="4">
        <v>90.5</v>
      </c>
      <c r="N16" s="4">
        <v>136.7594</v>
      </c>
      <c r="O16" s="4">
        <v>713.8</v>
      </c>
      <c r="P16" s="4">
        <v>3.8764546470000001</v>
      </c>
      <c r="Q16" s="4">
        <v>18.100000000000001</v>
      </c>
      <c r="R16" s="10"/>
    </row>
    <row r="17" spans="1:18" x14ac:dyDescent="0.3">
      <c r="A17" t="s">
        <v>3</v>
      </c>
      <c r="B17" s="3" t="s">
        <v>281</v>
      </c>
      <c r="C17" s="2">
        <v>42807</v>
      </c>
      <c r="D17" s="9">
        <v>0.82152777777777775</v>
      </c>
      <c r="E17" s="3">
        <f t="shared" ca="1" si="0"/>
        <v>844485378</v>
      </c>
      <c r="F17" t="s">
        <v>11</v>
      </c>
      <c r="G17" t="s">
        <v>14</v>
      </c>
      <c r="H17" s="1" t="s">
        <v>235</v>
      </c>
      <c r="I17" t="s">
        <v>20</v>
      </c>
      <c r="J17" s="4">
        <v>9.5</v>
      </c>
      <c r="K17" s="4">
        <v>36.020000000000003</v>
      </c>
      <c r="L17" s="4">
        <v>6</v>
      </c>
      <c r="M17" s="4">
        <v>85.37</v>
      </c>
      <c r="N17" s="4">
        <v>182.09819999999999</v>
      </c>
      <c r="O17" s="4">
        <v>562.32000000000005</v>
      </c>
      <c r="P17" s="4">
        <v>3.8764546470000001</v>
      </c>
      <c r="Q17" s="4">
        <v>67.150000000000006</v>
      </c>
      <c r="R17" s="10"/>
    </row>
    <row r="18" spans="1:18" ht="28.8" x14ac:dyDescent="0.3">
      <c r="A18" t="s">
        <v>1</v>
      </c>
      <c r="B18" s="3" t="s">
        <v>279</v>
      </c>
      <c r="C18" s="2">
        <v>43423</v>
      </c>
      <c r="D18" s="9">
        <v>0.74375000000000002</v>
      </c>
      <c r="E18" s="3">
        <f t="shared" ca="1" si="0"/>
        <v>940694646</v>
      </c>
      <c r="F18" t="s">
        <v>11</v>
      </c>
      <c r="G18" t="s">
        <v>14</v>
      </c>
      <c r="H18" s="1" t="s">
        <v>237</v>
      </c>
      <c r="I18" t="s">
        <v>17</v>
      </c>
      <c r="J18" s="4">
        <v>4.3</v>
      </c>
      <c r="K18" s="4">
        <v>80.39</v>
      </c>
      <c r="L18" s="4">
        <v>7</v>
      </c>
      <c r="M18" s="4">
        <v>96.99</v>
      </c>
      <c r="N18" s="4">
        <v>105.9696</v>
      </c>
      <c r="O18" s="4">
        <v>482.51</v>
      </c>
      <c r="P18" s="4">
        <v>3.8764546470000001</v>
      </c>
      <c r="Q18" s="4">
        <v>26.43</v>
      </c>
      <c r="R18" s="10"/>
    </row>
    <row r="19" spans="1:18" ht="28.8" x14ac:dyDescent="0.3">
      <c r="A19" t="s">
        <v>1</v>
      </c>
      <c r="B19" s="3" t="s">
        <v>279</v>
      </c>
      <c r="C19" s="2">
        <v>42824</v>
      </c>
      <c r="D19" s="9">
        <v>0.3888888888888889</v>
      </c>
      <c r="E19" s="3">
        <f t="shared" ca="1" si="0"/>
        <v>424678573</v>
      </c>
      <c r="F19" t="s">
        <v>11</v>
      </c>
      <c r="G19" t="s">
        <v>14</v>
      </c>
      <c r="H19" s="1" t="s">
        <v>237</v>
      </c>
      <c r="I19" t="s">
        <v>20</v>
      </c>
      <c r="J19" s="4">
        <v>8.5</v>
      </c>
      <c r="K19" s="4">
        <v>89.88</v>
      </c>
      <c r="L19" s="4">
        <v>6</v>
      </c>
      <c r="M19" s="4">
        <v>10.4</v>
      </c>
      <c r="N19" s="4">
        <v>152.48140000000001</v>
      </c>
      <c r="O19" s="4">
        <v>435.66</v>
      </c>
      <c r="P19" s="4">
        <v>3.8764546470000001</v>
      </c>
      <c r="Q19" s="4">
        <v>35.74</v>
      </c>
      <c r="R19" s="10"/>
    </row>
    <row r="20" spans="1:18" ht="28.8" x14ac:dyDescent="0.3">
      <c r="A20" t="s">
        <v>1</v>
      </c>
      <c r="B20" s="3" t="s">
        <v>279</v>
      </c>
      <c r="C20" s="2">
        <v>43118</v>
      </c>
      <c r="D20" s="9">
        <v>0.26250000000000001</v>
      </c>
      <c r="E20" s="3">
        <f t="shared" ca="1" si="0"/>
        <v>382284460</v>
      </c>
      <c r="F20" t="s">
        <v>11</v>
      </c>
      <c r="G20" t="s">
        <v>14</v>
      </c>
      <c r="H20" s="1" t="s">
        <v>237</v>
      </c>
      <c r="I20" t="s">
        <v>21</v>
      </c>
      <c r="J20" s="4">
        <v>3.3</v>
      </c>
      <c r="K20" s="4">
        <v>63.2</v>
      </c>
      <c r="L20" s="4">
        <v>3</v>
      </c>
      <c r="M20" s="4">
        <v>44.13</v>
      </c>
      <c r="N20" s="4">
        <v>111.2116</v>
      </c>
      <c r="O20" s="4">
        <v>164.01</v>
      </c>
      <c r="P20" s="4">
        <v>3.8764546470000001</v>
      </c>
      <c r="Q20" s="4">
        <v>16.100000000000001</v>
      </c>
      <c r="R20" s="10"/>
    </row>
    <row r="21" spans="1:18" x14ac:dyDescent="0.3">
      <c r="A21" t="s">
        <v>3</v>
      </c>
      <c r="B21" s="3" t="s">
        <v>281</v>
      </c>
      <c r="C21" s="2">
        <v>43064</v>
      </c>
      <c r="D21" s="9">
        <v>0.85555555555555551</v>
      </c>
      <c r="E21" s="3">
        <f t="shared" ca="1" si="0"/>
        <v>54118498</v>
      </c>
      <c r="F21" t="s">
        <v>11</v>
      </c>
      <c r="G21" t="s">
        <v>14</v>
      </c>
      <c r="H21" s="1" t="s">
        <v>235</v>
      </c>
      <c r="I21" t="s">
        <v>19</v>
      </c>
      <c r="J21" s="4">
        <v>2</v>
      </c>
      <c r="K21" s="4">
        <v>13.17</v>
      </c>
      <c r="L21" s="4">
        <v>2</v>
      </c>
      <c r="M21" s="4">
        <v>98.4</v>
      </c>
      <c r="N21" s="4">
        <v>148.92580000000001</v>
      </c>
      <c r="O21" s="4">
        <v>80.599999999999994</v>
      </c>
      <c r="P21" s="4">
        <v>3.8764546470000001</v>
      </c>
      <c r="Q21" s="4">
        <v>61.506</v>
      </c>
      <c r="R21" s="10"/>
    </row>
    <row r="22" spans="1:18" x14ac:dyDescent="0.3">
      <c r="A22" t="s">
        <v>2</v>
      </c>
      <c r="B22" s="3" t="s">
        <v>280</v>
      </c>
      <c r="C22" s="2">
        <v>42936</v>
      </c>
      <c r="D22" s="9">
        <v>0.61736111111111114</v>
      </c>
      <c r="E22" s="3">
        <f t="shared" ca="1" si="0"/>
        <v>673783461</v>
      </c>
      <c r="F22" t="s">
        <v>11</v>
      </c>
      <c r="G22" t="s">
        <v>14</v>
      </c>
      <c r="H22" s="1" t="s">
        <v>235</v>
      </c>
      <c r="I22" t="s">
        <v>18</v>
      </c>
      <c r="J22" s="4">
        <v>4</v>
      </c>
      <c r="K22" s="4">
        <v>24.82</v>
      </c>
      <c r="L22" s="4">
        <v>5</v>
      </c>
      <c r="M22" s="4">
        <v>87.7</v>
      </c>
      <c r="N22" s="4">
        <v>162.8416</v>
      </c>
      <c r="O22" s="4">
        <v>430.2</v>
      </c>
      <c r="P22" s="4">
        <v>3.8764546470000001</v>
      </c>
      <c r="Q22" s="4">
        <v>91.545000000000002</v>
      </c>
      <c r="R22" s="10"/>
    </row>
    <row r="23" spans="1:18" x14ac:dyDescent="0.3">
      <c r="A23" t="s">
        <v>3</v>
      </c>
      <c r="B23" s="3" t="s">
        <v>281</v>
      </c>
      <c r="C23" s="2">
        <v>43434</v>
      </c>
      <c r="D23" s="9">
        <v>0.78749999999999998</v>
      </c>
      <c r="E23" s="3">
        <f t="shared" ca="1" si="0"/>
        <v>213925220</v>
      </c>
      <c r="F23" t="s">
        <v>11</v>
      </c>
      <c r="G23" t="s">
        <v>14</v>
      </c>
      <c r="H23" s="1" t="s">
        <v>235</v>
      </c>
      <c r="I23" t="s">
        <v>17</v>
      </c>
      <c r="J23" s="4">
        <v>1.9</v>
      </c>
      <c r="K23" s="4">
        <v>39.380000000000003</v>
      </c>
      <c r="L23" s="4">
        <v>3</v>
      </c>
      <c r="M23" s="4">
        <v>68.22</v>
      </c>
      <c r="N23" s="4">
        <v>144.99940000000001</v>
      </c>
      <c r="O23" s="4">
        <v>263.94</v>
      </c>
      <c r="P23" s="4">
        <v>3.8764546470000001</v>
      </c>
      <c r="Q23" s="4">
        <v>89.932000000000002</v>
      </c>
      <c r="R23" s="10"/>
    </row>
    <row r="24" spans="1:18" ht="28.8" x14ac:dyDescent="0.3">
      <c r="A24" t="s">
        <v>3</v>
      </c>
      <c r="B24" s="3" t="s">
        <v>281</v>
      </c>
      <c r="C24" s="2">
        <v>42870</v>
      </c>
      <c r="D24" s="9">
        <v>0.32569444444444445</v>
      </c>
      <c r="E24" s="3">
        <f t="shared" ca="1" si="0"/>
        <v>103936615</v>
      </c>
      <c r="F24" t="s">
        <v>12</v>
      </c>
      <c r="G24" t="s">
        <v>14</v>
      </c>
      <c r="H24" s="1" t="s">
        <v>237</v>
      </c>
      <c r="I24" t="s">
        <v>19</v>
      </c>
      <c r="J24" s="4">
        <v>2.4</v>
      </c>
      <c r="K24" s="4">
        <v>83.74</v>
      </c>
      <c r="L24" s="4">
        <v>2</v>
      </c>
      <c r="M24" s="4">
        <v>72.3</v>
      </c>
      <c r="N24" s="4">
        <v>126.435</v>
      </c>
      <c r="O24" s="4">
        <v>66.400000000000006</v>
      </c>
      <c r="P24" s="4">
        <v>3.8764546470000001</v>
      </c>
      <c r="Q24" s="4">
        <v>60.322000000000003</v>
      </c>
      <c r="R24" s="10"/>
    </row>
    <row r="25" spans="1:18" x14ac:dyDescent="0.3">
      <c r="A25" t="s">
        <v>1</v>
      </c>
      <c r="B25" s="3" t="s">
        <v>279</v>
      </c>
      <c r="C25" s="2">
        <v>43083</v>
      </c>
      <c r="D25" s="9">
        <v>0.30625000000000002</v>
      </c>
      <c r="E25" s="3">
        <f t="shared" ca="1" si="0"/>
        <v>147624518</v>
      </c>
      <c r="F25" t="s">
        <v>12</v>
      </c>
      <c r="G25" t="s">
        <v>14</v>
      </c>
      <c r="H25" s="1" t="s">
        <v>235</v>
      </c>
      <c r="I25" t="s">
        <v>18</v>
      </c>
      <c r="J25" s="4">
        <v>9.6</v>
      </c>
      <c r="K25" s="4">
        <v>89.41</v>
      </c>
      <c r="L25" s="4">
        <v>5</v>
      </c>
      <c r="M25" s="4">
        <v>36.06</v>
      </c>
      <c r="N25" s="4">
        <v>152.48140000000001</v>
      </c>
      <c r="O25" s="4">
        <v>172.8</v>
      </c>
      <c r="P25" s="4">
        <v>3.8764546470000001</v>
      </c>
      <c r="Q25" s="4">
        <v>13.359</v>
      </c>
      <c r="R25" s="10"/>
    </row>
    <row r="26" spans="1:18" x14ac:dyDescent="0.3">
      <c r="A26" t="s">
        <v>1</v>
      </c>
      <c r="B26" s="3" t="s">
        <v>279</v>
      </c>
      <c r="C26" s="2">
        <v>43125</v>
      </c>
      <c r="D26" s="9">
        <v>0.77777777777777779</v>
      </c>
      <c r="E26" s="3">
        <f t="shared" ca="1" si="0"/>
        <v>662819889</v>
      </c>
      <c r="F26" t="s">
        <v>12</v>
      </c>
      <c r="G26" t="s">
        <v>14</v>
      </c>
      <c r="H26" s="1" t="s">
        <v>235</v>
      </c>
      <c r="I26" t="s">
        <v>20</v>
      </c>
      <c r="J26" s="4">
        <v>1.4</v>
      </c>
      <c r="K26" s="4">
        <v>28.33</v>
      </c>
      <c r="L26" s="4">
        <v>3</v>
      </c>
      <c r="M26" s="4">
        <v>93.4</v>
      </c>
      <c r="N26" s="4">
        <v>115.28530000000001</v>
      </c>
      <c r="O26" s="4">
        <v>265.89</v>
      </c>
      <c r="P26" s="4">
        <v>3.8764546470000001</v>
      </c>
      <c r="Q26" s="4">
        <v>67.103999999999999</v>
      </c>
      <c r="R26" s="10"/>
    </row>
    <row r="27" spans="1:18" ht="28.8" x14ac:dyDescent="0.3">
      <c r="A27" t="s">
        <v>1</v>
      </c>
      <c r="B27" s="3" t="s">
        <v>279</v>
      </c>
      <c r="C27" s="2">
        <v>43000</v>
      </c>
      <c r="D27" s="9">
        <v>0.45694444444444443</v>
      </c>
      <c r="E27" s="3">
        <f t="shared" ca="1" si="0"/>
        <v>971203827</v>
      </c>
      <c r="F27" t="s">
        <v>11</v>
      </c>
      <c r="G27" t="s">
        <v>14</v>
      </c>
      <c r="H27" s="1" t="s">
        <v>237</v>
      </c>
      <c r="I27" t="s">
        <v>19</v>
      </c>
      <c r="J27" s="4">
        <v>9.3000000000000007</v>
      </c>
      <c r="K27" s="4">
        <v>56.28</v>
      </c>
      <c r="L27" s="4">
        <v>8</v>
      </c>
      <c r="M27" s="4">
        <v>10.130000000000001</v>
      </c>
      <c r="N27" s="4">
        <v>142.1541</v>
      </c>
      <c r="O27" s="4">
        <v>420.72</v>
      </c>
      <c r="P27" s="4">
        <v>3.8764546470000001</v>
      </c>
      <c r="Q27" s="4">
        <v>42.417000000000002</v>
      </c>
      <c r="R27" s="10"/>
    </row>
    <row r="28" spans="1:18" x14ac:dyDescent="0.3">
      <c r="A28" t="s">
        <v>3</v>
      </c>
      <c r="B28" s="3" t="s">
        <v>281</v>
      </c>
      <c r="C28" s="2">
        <v>42977</v>
      </c>
      <c r="D28" s="9">
        <v>0.66111111111111109</v>
      </c>
      <c r="E28" s="3">
        <f t="shared" ca="1" si="0"/>
        <v>531688335</v>
      </c>
      <c r="F28" t="s">
        <v>12</v>
      </c>
      <c r="G28" t="s">
        <v>15</v>
      </c>
      <c r="H28" s="1" t="s">
        <v>236</v>
      </c>
      <c r="I28" t="s">
        <v>22</v>
      </c>
      <c r="J28" s="4">
        <v>5.4</v>
      </c>
      <c r="K28" s="4">
        <v>95.42</v>
      </c>
      <c r="L28" s="4">
        <v>1</v>
      </c>
      <c r="M28" s="4">
        <v>62.84</v>
      </c>
      <c r="N28" s="4">
        <v>174.66290000000001</v>
      </c>
      <c r="O28" s="4">
        <v>33.520000000000003</v>
      </c>
      <c r="P28" s="4">
        <v>3.8764546470000001</v>
      </c>
      <c r="Q28" s="4">
        <v>42.44</v>
      </c>
      <c r="R28" s="10"/>
    </row>
    <row r="29" spans="1:18" ht="28.8" x14ac:dyDescent="0.3">
      <c r="A29" t="s">
        <v>1</v>
      </c>
      <c r="B29" s="3" t="s">
        <v>279</v>
      </c>
      <c r="C29" s="2">
        <v>43027</v>
      </c>
      <c r="D29" s="9">
        <v>0.31111111111111112</v>
      </c>
      <c r="E29" s="3">
        <f t="shared" ca="1" si="0"/>
        <v>583915196</v>
      </c>
      <c r="F29" t="s">
        <v>11</v>
      </c>
      <c r="G29" t="s">
        <v>15</v>
      </c>
      <c r="H29" s="1" t="s">
        <v>237</v>
      </c>
      <c r="I29" t="s">
        <v>22</v>
      </c>
      <c r="J29" s="4">
        <v>2</v>
      </c>
      <c r="K29" s="4">
        <v>64.95</v>
      </c>
      <c r="L29" s="4">
        <v>2</v>
      </c>
      <c r="M29" s="4">
        <v>29.21</v>
      </c>
      <c r="N29" s="4">
        <v>114.69710000000001</v>
      </c>
      <c r="O29" s="4">
        <v>175.34</v>
      </c>
      <c r="P29" s="4">
        <v>3.8764546470000001</v>
      </c>
      <c r="Q29" s="4">
        <v>14.422000000000001</v>
      </c>
      <c r="R29" s="10"/>
    </row>
    <row r="30" spans="1:18" x14ac:dyDescent="0.3">
      <c r="A30" t="s">
        <v>3</v>
      </c>
      <c r="B30" s="3" t="s">
        <v>281</v>
      </c>
      <c r="C30" s="2">
        <v>43417</v>
      </c>
      <c r="D30" s="9">
        <v>0.22361111111111112</v>
      </c>
      <c r="E30" s="3">
        <f t="shared" ca="1" si="0"/>
        <v>167580305</v>
      </c>
      <c r="F30" t="s">
        <v>11</v>
      </c>
      <c r="G30" t="s">
        <v>15</v>
      </c>
      <c r="H30" s="1" t="s">
        <v>236</v>
      </c>
      <c r="I30" t="s">
        <v>21</v>
      </c>
      <c r="J30" s="4">
        <v>4</v>
      </c>
      <c r="K30" s="4">
        <v>72.430000000000007</v>
      </c>
      <c r="L30" s="4">
        <v>5</v>
      </c>
      <c r="M30" s="4">
        <v>92.95</v>
      </c>
      <c r="N30" s="4">
        <v>137.6557</v>
      </c>
      <c r="O30" s="4">
        <v>441.8</v>
      </c>
      <c r="P30" s="4">
        <v>3.8764546470000001</v>
      </c>
      <c r="Q30" s="4">
        <v>59.29</v>
      </c>
      <c r="R30" s="10"/>
    </row>
    <row r="31" spans="1:18" x14ac:dyDescent="0.3">
      <c r="A31" t="s">
        <v>1</v>
      </c>
      <c r="B31" s="3" t="s">
        <v>279</v>
      </c>
      <c r="C31" s="2">
        <v>42831</v>
      </c>
      <c r="D31" s="9">
        <v>0.72916666666666663</v>
      </c>
      <c r="E31" s="3">
        <f t="shared" ca="1" si="0"/>
        <v>73831328</v>
      </c>
      <c r="F31" t="s">
        <v>12</v>
      </c>
      <c r="G31" t="s">
        <v>15</v>
      </c>
      <c r="H31" s="1" t="s">
        <v>236</v>
      </c>
      <c r="I31" t="s">
        <v>17</v>
      </c>
      <c r="J31" s="4">
        <v>2</v>
      </c>
      <c r="K31" s="4">
        <v>14.69</v>
      </c>
      <c r="L31" s="4">
        <v>9</v>
      </c>
      <c r="M31" s="4">
        <v>25.1</v>
      </c>
      <c r="N31" s="4">
        <v>116.9248</v>
      </c>
      <c r="O31" s="4">
        <v>224.01</v>
      </c>
      <c r="P31" s="4">
        <v>3.8764546470000001</v>
      </c>
      <c r="Q31" s="4">
        <v>39.106000000000002</v>
      </c>
      <c r="R31" s="10"/>
    </row>
    <row r="32" spans="1:18" ht="28.8" x14ac:dyDescent="0.3">
      <c r="A32" t="s">
        <v>3</v>
      </c>
      <c r="B32" s="3" t="s">
        <v>281</v>
      </c>
      <c r="C32" s="2">
        <v>42810</v>
      </c>
      <c r="D32" s="9">
        <v>0.27708333333333335</v>
      </c>
      <c r="E32" s="3">
        <f t="shared" ca="1" si="0"/>
        <v>648794007</v>
      </c>
      <c r="F32" t="s">
        <v>12</v>
      </c>
      <c r="G32" t="s">
        <v>15</v>
      </c>
      <c r="H32" s="1" t="s">
        <v>237</v>
      </c>
      <c r="I32" t="s">
        <v>22</v>
      </c>
      <c r="J32" s="4">
        <v>3</v>
      </c>
      <c r="K32" s="4">
        <v>24.56</v>
      </c>
      <c r="L32" s="4">
        <v>5</v>
      </c>
      <c r="M32" s="4">
        <v>87.14</v>
      </c>
      <c r="N32" s="4">
        <v>187.52760000000001</v>
      </c>
      <c r="O32" s="4">
        <v>470.65</v>
      </c>
      <c r="P32" s="4">
        <v>3.8764546470000001</v>
      </c>
      <c r="Q32" s="4">
        <v>18.02</v>
      </c>
      <c r="R32" s="10"/>
    </row>
    <row r="33" spans="1:18" x14ac:dyDescent="0.3">
      <c r="A33" t="s">
        <v>3</v>
      </c>
      <c r="B33" s="3" t="s">
        <v>281</v>
      </c>
      <c r="C33" s="2">
        <v>42883</v>
      </c>
      <c r="D33" s="9">
        <v>0.18958333333333333</v>
      </c>
      <c r="E33" s="3">
        <f t="shared" ca="1" si="0"/>
        <v>921454194</v>
      </c>
      <c r="F33" t="s">
        <v>12</v>
      </c>
      <c r="G33" t="s">
        <v>15</v>
      </c>
      <c r="H33" s="1" t="s">
        <v>236</v>
      </c>
      <c r="I33" t="s">
        <v>20</v>
      </c>
      <c r="J33" s="4">
        <v>7</v>
      </c>
      <c r="K33" s="4">
        <v>32.28</v>
      </c>
      <c r="L33" s="4">
        <v>9</v>
      </c>
      <c r="M33" s="4">
        <v>44.07</v>
      </c>
      <c r="N33" s="4">
        <v>161.79419999999999</v>
      </c>
      <c r="O33" s="4">
        <v>702.63</v>
      </c>
      <c r="P33" s="4">
        <v>3.8764546470000001</v>
      </c>
      <c r="Q33" s="4">
        <v>64.138000000000005</v>
      </c>
      <c r="R33" s="10"/>
    </row>
    <row r="34" spans="1:18" x14ac:dyDescent="0.3">
      <c r="A34" t="s">
        <v>3</v>
      </c>
      <c r="B34" s="3" t="s">
        <v>281</v>
      </c>
      <c r="C34" s="2">
        <v>42913</v>
      </c>
      <c r="D34" s="9">
        <v>0.5395833333333333</v>
      </c>
      <c r="E34" s="3">
        <f t="shared" ca="1" si="0"/>
        <v>957222574</v>
      </c>
      <c r="F34" t="s">
        <v>12</v>
      </c>
      <c r="G34" t="s">
        <v>15</v>
      </c>
      <c r="H34" s="1" t="s">
        <v>236</v>
      </c>
      <c r="I34" t="s">
        <v>20</v>
      </c>
      <c r="J34" s="4">
        <v>8</v>
      </c>
      <c r="K34" s="4">
        <v>23.58</v>
      </c>
      <c r="L34" s="4">
        <v>8</v>
      </c>
      <c r="M34" s="4">
        <v>71.3</v>
      </c>
      <c r="N34" s="4">
        <v>100.9837</v>
      </c>
      <c r="O34" s="4">
        <v>670.24</v>
      </c>
      <c r="P34" s="4">
        <v>3.8764546470000001</v>
      </c>
      <c r="Q34" s="4">
        <v>44.511000000000003</v>
      </c>
      <c r="R34" s="10"/>
    </row>
    <row r="35" spans="1:18" ht="28.8" x14ac:dyDescent="0.3">
      <c r="A35" t="s">
        <v>1</v>
      </c>
      <c r="B35" s="3" t="s">
        <v>279</v>
      </c>
      <c r="C35" s="2">
        <v>42797</v>
      </c>
      <c r="D35" s="9">
        <v>0.94791666666666663</v>
      </c>
      <c r="E35" s="3">
        <f t="shared" ca="1" si="0"/>
        <v>56710029</v>
      </c>
      <c r="F35" t="s">
        <v>12</v>
      </c>
      <c r="G35" t="s">
        <v>15</v>
      </c>
      <c r="H35" s="1" t="s">
        <v>237</v>
      </c>
      <c r="I35" t="s">
        <v>17</v>
      </c>
      <c r="J35" s="4">
        <v>7</v>
      </c>
      <c r="K35" s="4">
        <v>45.62</v>
      </c>
      <c r="L35" s="4">
        <v>2</v>
      </c>
      <c r="M35" s="4">
        <v>45.45</v>
      </c>
      <c r="N35" s="4">
        <v>149.61660000000001</v>
      </c>
      <c r="O35" s="4">
        <v>193.16</v>
      </c>
      <c r="P35" s="4">
        <v>3.8764546470000001</v>
      </c>
      <c r="Q35" s="4">
        <v>66.75</v>
      </c>
      <c r="R35" s="10"/>
    </row>
    <row r="36" spans="1:18" x14ac:dyDescent="0.3">
      <c r="A36" t="s">
        <v>2</v>
      </c>
      <c r="B36" s="3" t="s">
        <v>280</v>
      </c>
      <c r="C36" s="2">
        <v>43035</v>
      </c>
      <c r="D36" s="9">
        <v>0.9819444444444444</v>
      </c>
      <c r="E36" s="3">
        <f t="shared" ca="1" si="0"/>
        <v>614666107</v>
      </c>
      <c r="F36" t="s">
        <v>12</v>
      </c>
      <c r="G36" t="s">
        <v>15</v>
      </c>
      <c r="H36" s="1" t="s">
        <v>235</v>
      </c>
      <c r="I36" t="s">
        <v>21</v>
      </c>
      <c r="J36" s="4">
        <v>1</v>
      </c>
      <c r="K36" s="4">
        <v>83.56</v>
      </c>
      <c r="L36" s="4">
        <v>4</v>
      </c>
      <c r="M36" s="4">
        <v>13.6</v>
      </c>
      <c r="N36" s="4">
        <v>135.20140000000001</v>
      </c>
      <c r="O36" s="4">
        <v>397.68</v>
      </c>
      <c r="P36" s="4">
        <v>3.8764546470000001</v>
      </c>
      <c r="Q36" s="4">
        <v>26.34</v>
      </c>
      <c r="R36" s="10"/>
    </row>
    <row r="37" spans="1:18" x14ac:dyDescent="0.3">
      <c r="A37" t="s">
        <v>2</v>
      </c>
      <c r="B37" s="3" t="s">
        <v>280</v>
      </c>
      <c r="C37" s="2">
        <v>43142</v>
      </c>
      <c r="D37" s="9">
        <v>9.7222222222222224E-2</v>
      </c>
      <c r="E37" s="3">
        <f t="shared" ca="1" si="0"/>
        <v>669413943</v>
      </c>
      <c r="F37" t="s">
        <v>12</v>
      </c>
      <c r="G37" t="s">
        <v>14</v>
      </c>
      <c r="H37" s="1" t="s">
        <v>235</v>
      </c>
      <c r="I37" t="s">
        <v>20</v>
      </c>
      <c r="J37" s="4">
        <v>10</v>
      </c>
      <c r="K37" s="4">
        <v>71.5</v>
      </c>
      <c r="L37" s="4">
        <v>1</v>
      </c>
      <c r="M37" s="4">
        <v>16.5</v>
      </c>
      <c r="N37" s="4">
        <v>122.84869999999999</v>
      </c>
      <c r="O37" s="4">
        <v>68.12</v>
      </c>
      <c r="P37" s="4">
        <v>3.8764546470000001</v>
      </c>
      <c r="Q37" s="4">
        <v>32.9</v>
      </c>
      <c r="R37" s="10"/>
    </row>
    <row r="38" spans="1:18" x14ac:dyDescent="0.3">
      <c r="A38" t="s">
        <v>1</v>
      </c>
      <c r="B38" s="3" t="s">
        <v>279</v>
      </c>
      <c r="C38" s="2">
        <v>43052</v>
      </c>
      <c r="D38" s="9">
        <v>0.90902777777777777</v>
      </c>
      <c r="E38" s="3">
        <f t="shared" ca="1" si="0"/>
        <v>566237795</v>
      </c>
      <c r="F38" t="s">
        <v>12</v>
      </c>
      <c r="G38" t="s">
        <v>14</v>
      </c>
      <c r="H38" s="1" t="s">
        <v>235</v>
      </c>
      <c r="I38" t="s">
        <v>20</v>
      </c>
      <c r="J38" s="4">
        <v>9.5</v>
      </c>
      <c r="K38" s="4">
        <v>36.43</v>
      </c>
      <c r="L38" s="4">
        <v>5</v>
      </c>
      <c r="M38" s="4">
        <v>82.4</v>
      </c>
      <c r="N38" s="4">
        <v>114.8165</v>
      </c>
      <c r="O38" s="4">
        <v>313.10000000000002</v>
      </c>
      <c r="P38" s="4">
        <v>3.8764546470000001</v>
      </c>
      <c r="Q38" s="4">
        <v>74.819999999999993</v>
      </c>
      <c r="R38" s="10"/>
    </row>
    <row r="39" spans="1:18" x14ac:dyDescent="0.3">
      <c r="A39" t="s">
        <v>1</v>
      </c>
      <c r="B39" s="3" t="s">
        <v>279</v>
      </c>
      <c r="C39" s="2">
        <v>42837</v>
      </c>
      <c r="D39" s="9">
        <v>0.91874999999999996</v>
      </c>
      <c r="E39" s="3">
        <f t="shared" ca="1" si="0"/>
        <v>863023371</v>
      </c>
      <c r="F39" t="s">
        <v>11</v>
      </c>
      <c r="G39" t="s">
        <v>15</v>
      </c>
      <c r="H39" s="1" t="s">
        <v>235</v>
      </c>
      <c r="I39" t="s">
        <v>18</v>
      </c>
      <c r="J39" s="4">
        <v>6.5</v>
      </c>
      <c r="K39" s="4">
        <v>89.19</v>
      </c>
      <c r="L39" s="4">
        <v>9</v>
      </c>
      <c r="M39" s="4">
        <v>39.9</v>
      </c>
      <c r="N39" s="4">
        <v>159.06979999999999</v>
      </c>
      <c r="O39" s="4">
        <v>547.91999999999996</v>
      </c>
      <c r="P39" s="4">
        <v>3.8764546470000001</v>
      </c>
      <c r="Q39" s="4">
        <v>55.92</v>
      </c>
      <c r="R39" s="10"/>
    </row>
    <row r="40" spans="1:18" x14ac:dyDescent="0.3">
      <c r="A40" t="s">
        <v>2</v>
      </c>
      <c r="B40" s="3" t="s">
        <v>280</v>
      </c>
      <c r="C40" s="2">
        <v>43193</v>
      </c>
      <c r="D40" s="9">
        <v>0.62708333333333333</v>
      </c>
      <c r="E40" s="3">
        <f t="shared" ca="1" si="0"/>
        <v>654556154</v>
      </c>
      <c r="F40" t="s">
        <v>11</v>
      </c>
      <c r="G40" t="s">
        <v>15</v>
      </c>
      <c r="H40" s="1" t="s">
        <v>235</v>
      </c>
      <c r="I40" t="s">
        <v>17</v>
      </c>
      <c r="J40" s="4">
        <v>9.4</v>
      </c>
      <c r="K40" s="4">
        <v>97.42</v>
      </c>
      <c r="L40" s="4">
        <v>7</v>
      </c>
      <c r="M40" s="4">
        <v>15.9</v>
      </c>
      <c r="N40" s="4">
        <v>139.63239999999999</v>
      </c>
      <c r="O40" s="4">
        <v>439.36</v>
      </c>
      <c r="P40" s="4">
        <v>3.8764546470000001</v>
      </c>
      <c r="Q40" s="4">
        <v>63.881</v>
      </c>
      <c r="R40" s="10"/>
    </row>
    <row r="41" spans="1:18" x14ac:dyDescent="0.3">
      <c r="A41" t="s">
        <v>3</v>
      </c>
      <c r="B41" s="3" t="s">
        <v>281</v>
      </c>
      <c r="C41" s="2">
        <v>42991</v>
      </c>
      <c r="D41" s="9">
        <v>0.97222222222222221</v>
      </c>
      <c r="E41" s="3">
        <f t="shared" ca="1" si="0"/>
        <v>393981846</v>
      </c>
      <c r="F41" t="s">
        <v>12</v>
      </c>
      <c r="G41" t="s">
        <v>14</v>
      </c>
      <c r="H41" s="1" t="s">
        <v>236</v>
      </c>
      <c r="I41" t="s">
        <v>19</v>
      </c>
      <c r="J41" s="4">
        <v>6.4</v>
      </c>
      <c r="K41" s="4">
        <v>49</v>
      </c>
      <c r="L41" s="4">
        <v>8</v>
      </c>
      <c r="M41" s="4">
        <v>52.2</v>
      </c>
      <c r="N41" s="4">
        <v>112.48520000000001</v>
      </c>
      <c r="O41" s="4">
        <v>240.96</v>
      </c>
      <c r="P41" s="4">
        <v>3.8764546470000001</v>
      </c>
      <c r="Q41" s="4">
        <v>60.203000000000003</v>
      </c>
      <c r="R41" s="10"/>
    </row>
    <row r="42" spans="1:18" x14ac:dyDescent="0.3">
      <c r="A42" t="s">
        <v>3</v>
      </c>
      <c r="B42" s="3" t="s">
        <v>281</v>
      </c>
      <c r="C42" s="2">
        <v>43206</v>
      </c>
      <c r="D42" s="9">
        <v>3.888888888888889E-2</v>
      </c>
      <c r="E42" s="3">
        <f t="shared" ca="1" si="0"/>
        <v>587591165</v>
      </c>
      <c r="F42" t="s">
        <v>11</v>
      </c>
      <c r="G42" t="s">
        <v>14</v>
      </c>
      <c r="H42" s="1" t="s">
        <v>235</v>
      </c>
      <c r="I42" t="s">
        <v>19</v>
      </c>
      <c r="J42" s="4">
        <v>2</v>
      </c>
      <c r="K42" s="4">
        <v>62.22</v>
      </c>
      <c r="L42" s="4">
        <v>1</v>
      </c>
      <c r="M42" s="4">
        <v>27.24</v>
      </c>
      <c r="N42" s="4">
        <v>158.6123</v>
      </c>
      <c r="O42" s="4">
        <v>86.72</v>
      </c>
      <c r="P42" s="4">
        <v>3.8764546470000001</v>
      </c>
      <c r="Q42" s="4">
        <v>32.095999999999997</v>
      </c>
      <c r="R42" s="10"/>
    </row>
    <row r="43" spans="1:18" x14ac:dyDescent="0.3">
      <c r="A43" t="s">
        <v>2</v>
      </c>
      <c r="B43" s="3" t="s">
        <v>280</v>
      </c>
      <c r="C43" s="2">
        <v>43235</v>
      </c>
      <c r="D43" s="9">
        <v>0.64652777777777781</v>
      </c>
      <c r="E43" s="3">
        <f t="shared" ca="1" si="0"/>
        <v>416297334</v>
      </c>
      <c r="F43" t="s">
        <v>12</v>
      </c>
      <c r="G43" t="s">
        <v>14</v>
      </c>
      <c r="H43" s="1" t="s">
        <v>236</v>
      </c>
      <c r="I43" t="s">
        <v>19</v>
      </c>
      <c r="J43" s="4">
        <v>8.9</v>
      </c>
      <c r="K43" s="4">
        <v>11.73</v>
      </c>
      <c r="L43" s="4">
        <v>2</v>
      </c>
      <c r="M43" s="4">
        <v>89.82</v>
      </c>
      <c r="N43" s="4">
        <v>185.5282</v>
      </c>
      <c r="O43" s="4">
        <v>112.22</v>
      </c>
      <c r="P43" s="4">
        <v>3.8764546470000001</v>
      </c>
      <c r="Q43" s="4">
        <v>99.51</v>
      </c>
      <c r="R43" s="10"/>
    </row>
    <row r="44" spans="1:18" x14ac:dyDescent="0.3">
      <c r="A44" t="s">
        <v>3</v>
      </c>
      <c r="B44" s="3" t="s">
        <v>281</v>
      </c>
      <c r="C44" s="2">
        <v>43028</v>
      </c>
      <c r="D44" s="9">
        <v>0.56874999999999998</v>
      </c>
      <c r="E44" s="3">
        <f t="shared" ca="1" si="0"/>
        <v>384403374</v>
      </c>
      <c r="F44" t="s">
        <v>11</v>
      </c>
      <c r="G44" t="s">
        <v>14</v>
      </c>
      <c r="H44" s="1" t="s">
        <v>236</v>
      </c>
      <c r="I44" t="s">
        <v>20</v>
      </c>
      <c r="J44" s="4">
        <v>2</v>
      </c>
      <c r="K44" s="4">
        <v>16.79</v>
      </c>
      <c r="L44" s="4">
        <v>6</v>
      </c>
      <c r="M44" s="4">
        <v>38.03</v>
      </c>
      <c r="N44" s="4">
        <v>106.426</v>
      </c>
      <c r="O44" s="4">
        <v>414.72</v>
      </c>
      <c r="P44" s="4">
        <v>3.8764546470000001</v>
      </c>
      <c r="Q44" s="4">
        <v>13.72</v>
      </c>
      <c r="R44" s="10"/>
    </row>
    <row r="45" spans="1:18" x14ac:dyDescent="0.3">
      <c r="A45" t="s">
        <v>2</v>
      </c>
      <c r="B45" s="3" t="s">
        <v>280</v>
      </c>
      <c r="C45" s="2">
        <v>43286</v>
      </c>
      <c r="D45" s="9">
        <v>0.63680555555555551</v>
      </c>
      <c r="E45" s="3">
        <f t="shared" ca="1" si="0"/>
        <v>440264143</v>
      </c>
      <c r="F45" t="s">
        <v>11</v>
      </c>
      <c r="G45" t="s">
        <v>14</v>
      </c>
      <c r="H45" s="1" t="s">
        <v>236</v>
      </c>
      <c r="I45" t="s">
        <v>21</v>
      </c>
      <c r="J45" s="4">
        <v>2</v>
      </c>
      <c r="K45" s="4">
        <v>68.59</v>
      </c>
      <c r="L45" s="4">
        <v>8</v>
      </c>
      <c r="M45" s="4">
        <v>62.45</v>
      </c>
      <c r="N45" s="4">
        <v>177.90870000000001</v>
      </c>
      <c r="O45" s="4">
        <v>789.6</v>
      </c>
      <c r="P45" s="4">
        <v>3.8764546470000001</v>
      </c>
      <c r="Q45" s="4">
        <v>59.92</v>
      </c>
      <c r="R45" s="10"/>
    </row>
    <row r="46" spans="1:18" x14ac:dyDescent="0.3">
      <c r="A46" t="s">
        <v>2</v>
      </c>
      <c r="B46" s="3" t="s">
        <v>280</v>
      </c>
      <c r="C46" s="2">
        <v>43192</v>
      </c>
      <c r="D46" s="9">
        <v>9.2361111111111116E-2</v>
      </c>
      <c r="E46" s="3">
        <f t="shared" ca="1" si="0"/>
        <v>681570508</v>
      </c>
      <c r="F46" t="s">
        <v>12</v>
      </c>
      <c r="G46" t="s">
        <v>14</v>
      </c>
      <c r="H46" s="1" t="s">
        <v>236</v>
      </c>
      <c r="I46" t="s">
        <v>17</v>
      </c>
      <c r="J46" s="4">
        <v>8</v>
      </c>
      <c r="K46" s="4">
        <v>13.52</v>
      </c>
      <c r="L46" s="4">
        <v>2</v>
      </c>
      <c r="M46" s="4">
        <v>49.26</v>
      </c>
      <c r="N46" s="4">
        <v>146.0977</v>
      </c>
      <c r="O46" s="4">
        <v>30.74</v>
      </c>
      <c r="P46" s="4">
        <v>3.8764546470000001</v>
      </c>
      <c r="Q46" s="4">
        <v>54.56</v>
      </c>
      <c r="R46" s="10"/>
    </row>
    <row r="47" spans="1:18" x14ac:dyDescent="0.3">
      <c r="A47" t="s">
        <v>3</v>
      </c>
      <c r="B47" s="3" t="s">
        <v>281</v>
      </c>
      <c r="C47" s="2">
        <v>42993</v>
      </c>
      <c r="D47" s="9">
        <v>0.79236111111111107</v>
      </c>
      <c r="E47" s="3">
        <f t="shared" ca="1" si="0"/>
        <v>970762477</v>
      </c>
      <c r="F47" t="s">
        <v>11</v>
      </c>
      <c r="G47" t="s">
        <v>14</v>
      </c>
      <c r="H47" s="1" t="s">
        <v>236</v>
      </c>
      <c r="I47" t="s">
        <v>18</v>
      </c>
      <c r="J47" s="4">
        <v>2</v>
      </c>
      <c r="K47" s="4">
        <v>74.489999999999995</v>
      </c>
      <c r="L47" s="4">
        <v>4</v>
      </c>
      <c r="M47" s="4">
        <v>23.06</v>
      </c>
      <c r="N47" s="4">
        <v>186.1969</v>
      </c>
      <c r="O47" s="4">
        <v>375.84</v>
      </c>
      <c r="P47" s="4">
        <v>3.8764546470000001</v>
      </c>
      <c r="Q47" s="4">
        <v>60.19</v>
      </c>
      <c r="R47" s="10"/>
    </row>
    <row r="48" spans="1:18" ht="28.8" x14ac:dyDescent="0.3">
      <c r="A48" t="s">
        <v>3</v>
      </c>
      <c r="B48" s="3" t="s">
        <v>281</v>
      </c>
      <c r="C48" s="2">
        <v>43248</v>
      </c>
      <c r="D48" s="9">
        <v>0.59305555555555556</v>
      </c>
      <c r="E48" s="3">
        <f t="shared" ca="1" si="0"/>
        <v>252223317</v>
      </c>
      <c r="F48" t="s">
        <v>12</v>
      </c>
      <c r="G48" t="s">
        <v>14</v>
      </c>
      <c r="H48" s="1" t="s">
        <v>237</v>
      </c>
      <c r="I48" t="s">
        <v>17</v>
      </c>
      <c r="J48" s="4">
        <v>5</v>
      </c>
      <c r="K48" s="4">
        <v>71.25</v>
      </c>
      <c r="L48" s="4">
        <v>9</v>
      </c>
      <c r="M48" s="4">
        <v>59.9</v>
      </c>
      <c r="N48" s="4">
        <v>155.98349999999999</v>
      </c>
      <c r="O48" s="4">
        <v>510.21</v>
      </c>
      <c r="P48" s="4">
        <v>3.8764546470000001</v>
      </c>
      <c r="Q48" s="4">
        <v>53.286999999999999</v>
      </c>
      <c r="R48" s="10"/>
    </row>
    <row r="49" spans="1:18" x14ac:dyDescent="0.3">
      <c r="A49" t="s">
        <v>3</v>
      </c>
      <c r="B49" s="3" t="s">
        <v>281</v>
      </c>
      <c r="C49" s="2">
        <v>43342</v>
      </c>
      <c r="D49" s="9">
        <v>0.32569444444444445</v>
      </c>
      <c r="E49" s="3">
        <f t="shared" ca="1" si="0"/>
        <v>754141474</v>
      </c>
      <c r="F49" t="s">
        <v>11</v>
      </c>
      <c r="G49" t="s">
        <v>14</v>
      </c>
      <c r="H49" s="1" t="s">
        <v>235</v>
      </c>
      <c r="I49" t="s">
        <v>21</v>
      </c>
      <c r="J49" s="4">
        <v>2</v>
      </c>
      <c r="K49" s="4">
        <v>54.01</v>
      </c>
      <c r="L49" s="4">
        <v>9</v>
      </c>
      <c r="M49" s="4">
        <v>56.9</v>
      </c>
      <c r="N49" s="4">
        <v>162.92740000000001</v>
      </c>
      <c r="O49" s="4">
        <v>180.09</v>
      </c>
      <c r="P49" s="4">
        <v>3.8764546470000001</v>
      </c>
      <c r="Q49" s="4">
        <v>47.84</v>
      </c>
      <c r="R49" s="10"/>
    </row>
    <row r="50" spans="1:18" ht="28.8" x14ac:dyDescent="0.3">
      <c r="A50" t="s">
        <v>3</v>
      </c>
      <c r="B50" s="3" t="s">
        <v>281</v>
      </c>
      <c r="C50" s="2">
        <v>42933</v>
      </c>
      <c r="D50" s="9">
        <v>0.70972222222222225</v>
      </c>
      <c r="E50" s="3">
        <f t="shared" ca="1" si="0"/>
        <v>992009506</v>
      </c>
      <c r="F50" t="s">
        <v>12</v>
      </c>
      <c r="G50" t="s">
        <v>14</v>
      </c>
      <c r="H50" s="1" t="s">
        <v>237</v>
      </c>
      <c r="I50" t="s">
        <v>18</v>
      </c>
      <c r="J50" s="4">
        <v>9.1999999999999993</v>
      </c>
      <c r="K50" s="4">
        <v>72.12</v>
      </c>
      <c r="L50" s="4">
        <v>6</v>
      </c>
      <c r="M50" s="4">
        <v>68.900000000000006</v>
      </c>
      <c r="N50" s="4">
        <v>166.97460000000001</v>
      </c>
      <c r="O50" s="4">
        <v>113.58</v>
      </c>
      <c r="P50" s="4">
        <v>3.8764546470000001</v>
      </c>
      <c r="Q50" s="4">
        <v>77.677000000000007</v>
      </c>
      <c r="R50" s="10"/>
    </row>
    <row r="51" spans="1:18" x14ac:dyDescent="0.3">
      <c r="A51" t="s">
        <v>2</v>
      </c>
      <c r="B51" s="3" t="s">
        <v>280</v>
      </c>
      <c r="C51" s="2">
        <v>43331</v>
      </c>
      <c r="D51" s="9">
        <v>0.29166666666666669</v>
      </c>
      <c r="E51" s="3">
        <f t="shared" ca="1" si="0"/>
        <v>514386746</v>
      </c>
      <c r="F51" t="s">
        <v>11</v>
      </c>
      <c r="G51" t="s">
        <v>14</v>
      </c>
      <c r="H51" s="1" t="s">
        <v>235</v>
      </c>
      <c r="I51" t="s">
        <v>22</v>
      </c>
      <c r="J51" s="4">
        <v>7.9</v>
      </c>
      <c r="K51" s="4">
        <v>59.58</v>
      </c>
      <c r="L51" s="4">
        <v>10</v>
      </c>
      <c r="M51" s="4">
        <v>56.73</v>
      </c>
      <c r="N51" s="4">
        <v>159.9666</v>
      </c>
      <c r="O51" s="4">
        <v>826.3</v>
      </c>
      <c r="P51" s="4">
        <v>3.8764546470000001</v>
      </c>
      <c r="Q51" s="4">
        <v>52.116999999999997</v>
      </c>
      <c r="R51" s="10"/>
    </row>
    <row r="52" spans="1:18" x14ac:dyDescent="0.3">
      <c r="A52" t="s">
        <v>2</v>
      </c>
      <c r="B52" s="3" t="s">
        <v>280</v>
      </c>
      <c r="C52" s="2">
        <v>42895</v>
      </c>
      <c r="D52" s="9">
        <v>0.80208333333333337</v>
      </c>
      <c r="E52" s="3">
        <f t="shared" ca="1" si="0"/>
        <v>604828799</v>
      </c>
      <c r="F52" t="s">
        <v>11</v>
      </c>
      <c r="G52" t="s">
        <v>14</v>
      </c>
      <c r="H52" s="1" t="s">
        <v>236</v>
      </c>
      <c r="I52" t="s">
        <v>21</v>
      </c>
      <c r="J52" s="4">
        <v>6.7</v>
      </c>
      <c r="K52" s="4">
        <v>66.900000000000006</v>
      </c>
      <c r="L52" s="4">
        <v>7</v>
      </c>
      <c r="M52" s="4">
        <v>10.68</v>
      </c>
      <c r="N52" s="4">
        <v>170.0883</v>
      </c>
      <c r="O52" s="4">
        <v>639.79999999999995</v>
      </c>
      <c r="P52" s="4">
        <v>3.8764546470000001</v>
      </c>
      <c r="Q52" s="4">
        <v>44.323</v>
      </c>
      <c r="R52" s="10"/>
    </row>
    <row r="53" spans="1:18" x14ac:dyDescent="0.3">
      <c r="A53" t="s">
        <v>1</v>
      </c>
      <c r="B53" s="3" t="s">
        <v>279</v>
      </c>
      <c r="C53" s="2">
        <v>43038</v>
      </c>
      <c r="D53" s="9">
        <v>0.33541666666666664</v>
      </c>
      <c r="E53" s="3">
        <f t="shared" ca="1" si="0"/>
        <v>674699062</v>
      </c>
      <c r="F53" t="s">
        <v>11</v>
      </c>
      <c r="G53" t="s">
        <v>14</v>
      </c>
      <c r="H53" s="1" t="s">
        <v>236</v>
      </c>
      <c r="I53" t="s">
        <v>21</v>
      </c>
      <c r="J53" s="4">
        <v>3.2</v>
      </c>
      <c r="K53" s="4">
        <v>44.52</v>
      </c>
      <c r="L53" s="4">
        <v>5</v>
      </c>
      <c r="M53" s="4">
        <v>48.24</v>
      </c>
      <c r="N53" s="4">
        <v>184.56319999999999</v>
      </c>
      <c r="O53" s="4">
        <v>222.95</v>
      </c>
      <c r="P53" s="4">
        <v>3.8764546470000001</v>
      </c>
      <c r="Q53" s="4">
        <v>46.7</v>
      </c>
      <c r="R53" s="10"/>
    </row>
    <row r="54" spans="1:18" x14ac:dyDescent="0.3">
      <c r="A54" t="s">
        <v>3</v>
      </c>
      <c r="B54" s="3" t="s">
        <v>281</v>
      </c>
      <c r="C54" s="2">
        <v>42883</v>
      </c>
      <c r="D54" s="9">
        <v>0.45694444444444443</v>
      </c>
      <c r="E54" s="3">
        <f t="shared" ca="1" si="0"/>
        <v>870499745</v>
      </c>
      <c r="F54" t="s">
        <v>11</v>
      </c>
      <c r="G54" t="s">
        <v>14</v>
      </c>
      <c r="H54" s="1" t="s">
        <v>235</v>
      </c>
      <c r="I54" t="s">
        <v>22</v>
      </c>
      <c r="J54" s="4">
        <v>7.9</v>
      </c>
      <c r="K54" s="4">
        <v>67.95</v>
      </c>
      <c r="L54" s="4">
        <v>4</v>
      </c>
      <c r="M54" s="4">
        <v>99.48</v>
      </c>
      <c r="N54" s="4">
        <v>113.79170000000001</v>
      </c>
      <c r="O54" s="4">
        <v>71.48</v>
      </c>
      <c r="P54" s="4">
        <v>3.8764546470000001</v>
      </c>
      <c r="Q54" s="4">
        <v>84.962000000000003</v>
      </c>
      <c r="R54" s="10"/>
    </row>
    <row r="55" spans="1:18" ht="28.8" x14ac:dyDescent="0.3">
      <c r="A55" t="s">
        <v>2</v>
      </c>
      <c r="B55" s="3" t="s">
        <v>280</v>
      </c>
      <c r="C55" s="2">
        <v>43001</v>
      </c>
      <c r="D55" s="9">
        <v>0.33055555555555555</v>
      </c>
      <c r="E55" s="3">
        <f t="shared" ca="1" si="0"/>
        <v>326294010</v>
      </c>
      <c r="F55" t="s">
        <v>11</v>
      </c>
      <c r="G55" t="s">
        <v>14</v>
      </c>
      <c r="H55" s="1" t="s">
        <v>237</v>
      </c>
      <c r="I55" t="s">
        <v>22</v>
      </c>
      <c r="J55" s="4">
        <v>2.1</v>
      </c>
      <c r="K55" s="4">
        <v>96.58</v>
      </c>
      <c r="L55" s="4">
        <v>1</v>
      </c>
      <c r="M55" s="4">
        <v>75.099999999999994</v>
      </c>
      <c r="N55" s="4">
        <v>149.8306</v>
      </c>
      <c r="O55" s="4">
        <v>15.43</v>
      </c>
      <c r="P55" s="4">
        <v>3.8764546470000001</v>
      </c>
      <c r="Q55" s="4">
        <v>75.503</v>
      </c>
      <c r="R55" s="10"/>
    </row>
    <row r="56" spans="1:18" x14ac:dyDescent="0.3">
      <c r="A56" t="s">
        <v>3</v>
      </c>
      <c r="B56" s="3" t="s">
        <v>281</v>
      </c>
      <c r="C56" s="2">
        <v>43149</v>
      </c>
      <c r="D56" s="9">
        <v>0.61736111111111114</v>
      </c>
      <c r="E56" s="3">
        <f t="shared" ca="1" si="0"/>
        <v>488725029</v>
      </c>
      <c r="F56" t="s">
        <v>11</v>
      </c>
      <c r="G56" t="s">
        <v>14</v>
      </c>
      <c r="H56" s="1" t="s">
        <v>235</v>
      </c>
      <c r="I56" t="s">
        <v>19</v>
      </c>
      <c r="J56" s="4">
        <v>6.9</v>
      </c>
      <c r="K56" s="4">
        <v>13</v>
      </c>
      <c r="L56" s="4">
        <v>2</v>
      </c>
      <c r="M56" s="4">
        <v>50.9</v>
      </c>
      <c r="N56" s="4">
        <v>148.31200000000001</v>
      </c>
      <c r="O56" s="4">
        <v>32.32</v>
      </c>
      <c r="P56" s="4">
        <v>3.8764546470000001</v>
      </c>
      <c r="Q56" s="4">
        <v>59.191000000000003</v>
      </c>
      <c r="R56" s="10"/>
    </row>
    <row r="57" spans="1:18" x14ac:dyDescent="0.3">
      <c r="A57" t="s">
        <v>2</v>
      </c>
      <c r="B57" s="3" t="s">
        <v>280</v>
      </c>
      <c r="C57" s="2">
        <v>43132</v>
      </c>
      <c r="D57" s="9">
        <v>0.30138888888888887</v>
      </c>
      <c r="E57" s="3">
        <f t="shared" ca="1" si="0"/>
        <v>729603340</v>
      </c>
      <c r="F57" t="s">
        <v>11</v>
      </c>
      <c r="G57" t="s">
        <v>15</v>
      </c>
      <c r="H57" s="1" t="s">
        <v>236</v>
      </c>
      <c r="I57" t="s">
        <v>18</v>
      </c>
      <c r="J57" s="4">
        <v>2</v>
      </c>
      <c r="K57" s="4">
        <v>73.59</v>
      </c>
      <c r="L57" s="4">
        <v>8</v>
      </c>
      <c r="M57" s="4">
        <v>89.6</v>
      </c>
      <c r="N57" s="4">
        <v>136.15119999999999</v>
      </c>
      <c r="O57" s="4">
        <v>687.84</v>
      </c>
      <c r="P57" s="4">
        <v>3.8764546470000001</v>
      </c>
      <c r="Q57" s="4">
        <v>58.137</v>
      </c>
      <c r="R57" s="10"/>
    </row>
    <row r="58" spans="1:18" x14ac:dyDescent="0.3">
      <c r="A58" t="s">
        <v>1</v>
      </c>
      <c r="B58" s="3" t="s">
        <v>279</v>
      </c>
      <c r="C58" s="2">
        <v>43213</v>
      </c>
      <c r="D58" s="9">
        <v>0.21875</v>
      </c>
      <c r="E58" s="3">
        <f t="shared" ca="1" si="0"/>
        <v>192067129</v>
      </c>
      <c r="F58" t="s">
        <v>12</v>
      </c>
      <c r="G58" t="s">
        <v>14</v>
      </c>
      <c r="H58" s="1" t="s">
        <v>236</v>
      </c>
      <c r="I58" t="s">
        <v>19</v>
      </c>
      <c r="J58" s="4">
        <v>3.4</v>
      </c>
      <c r="K58" s="4">
        <v>91.14</v>
      </c>
      <c r="L58" s="4">
        <v>2</v>
      </c>
      <c r="M58" s="4">
        <v>86.6</v>
      </c>
      <c r="N58" s="4">
        <v>143.5949</v>
      </c>
      <c r="O58" s="4">
        <v>88.68</v>
      </c>
      <c r="P58" s="4">
        <v>3.8764546470000001</v>
      </c>
      <c r="Q58" s="4">
        <v>27.501000000000001</v>
      </c>
      <c r="R58" s="10"/>
    </row>
    <row r="59" spans="1:18" x14ac:dyDescent="0.3">
      <c r="A59" t="s">
        <v>1</v>
      </c>
      <c r="B59" s="3" t="s">
        <v>279</v>
      </c>
      <c r="C59" s="2">
        <v>43096</v>
      </c>
      <c r="D59" s="9">
        <v>0.56874999999999998</v>
      </c>
      <c r="E59" s="3">
        <f t="shared" ca="1" si="0"/>
        <v>739228252</v>
      </c>
      <c r="F59" t="s">
        <v>12</v>
      </c>
      <c r="G59" t="s">
        <v>15</v>
      </c>
      <c r="H59" s="1" t="s">
        <v>235</v>
      </c>
      <c r="I59" t="s">
        <v>17</v>
      </c>
      <c r="J59" s="4">
        <v>6.5</v>
      </c>
      <c r="K59" s="4">
        <v>33.69</v>
      </c>
      <c r="L59" s="4">
        <v>8</v>
      </c>
      <c r="M59" s="4">
        <v>68.44</v>
      </c>
      <c r="N59" s="4">
        <v>133.22219999999999</v>
      </c>
      <c r="O59" s="4">
        <v>716.8</v>
      </c>
      <c r="P59" s="4">
        <v>3.8764546470000001</v>
      </c>
      <c r="Q59" s="4">
        <v>41.41</v>
      </c>
      <c r="R59" s="10"/>
    </row>
    <row r="60" spans="1:18" x14ac:dyDescent="0.3">
      <c r="A60" t="s">
        <v>1</v>
      </c>
      <c r="B60" s="3" t="s">
        <v>279</v>
      </c>
      <c r="C60" s="2">
        <v>43381</v>
      </c>
      <c r="D60" s="9">
        <v>0.46180555555555558</v>
      </c>
      <c r="E60" s="3">
        <f t="shared" ca="1" si="0"/>
        <v>741333400</v>
      </c>
      <c r="F60" t="s">
        <v>11</v>
      </c>
      <c r="G60" t="s">
        <v>14</v>
      </c>
      <c r="H60" s="1" t="s">
        <v>236</v>
      </c>
      <c r="I60" t="s">
        <v>19</v>
      </c>
      <c r="J60" s="4">
        <v>2.5</v>
      </c>
      <c r="K60" s="4">
        <v>51.21</v>
      </c>
      <c r="L60" s="4">
        <v>10</v>
      </c>
      <c r="M60" s="4">
        <v>10.24</v>
      </c>
      <c r="N60" s="4">
        <v>180.78399999999999</v>
      </c>
      <c r="O60" s="4">
        <v>723.5</v>
      </c>
      <c r="P60" s="4">
        <v>3.8764546470000001</v>
      </c>
      <c r="Q60" s="4">
        <v>22.356999999999999</v>
      </c>
      <c r="R60" s="10"/>
    </row>
    <row r="61" spans="1:18" x14ac:dyDescent="0.3">
      <c r="A61" t="s">
        <v>2</v>
      </c>
      <c r="B61" s="3" t="s">
        <v>280</v>
      </c>
      <c r="C61" s="2">
        <v>42875</v>
      </c>
      <c r="D61" s="9">
        <v>0.28194444444444444</v>
      </c>
      <c r="E61" s="3">
        <f t="shared" ca="1" si="0"/>
        <v>109488186</v>
      </c>
      <c r="F61" t="s">
        <v>12</v>
      </c>
      <c r="G61" t="s">
        <v>15</v>
      </c>
      <c r="H61" s="1" t="s">
        <v>236</v>
      </c>
      <c r="I61" t="s">
        <v>18</v>
      </c>
      <c r="J61" s="4">
        <v>2</v>
      </c>
      <c r="K61" s="4">
        <v>48.26</v>
      </c>
      <c r="L61" s="4">
        <v>6</v>
      </c>
      <c r="M61" s="4">
        <v>92.9</v>
      </c>
      <c r="N61" s="4">
        <v>129.09180000000001</v>
      </c>
      <c r="O61" s="4">
        <v>183.66</v>
      </c>
      <c r="P61" s="4">
        <v>3.8764546470000001</v>
      </c>
      <c r="Q61" s="4">
        <v>31.984000000000002</v>
      </c>
      <c r="R61" s="10"/>
    </row>
    <row r="62" spans="1:18" ht="28.8" x14ac:dyDescent="0.3">
      <c r="A62" t="s">
        <v>2</v>
      </c>
      <c r="B62" s="3" t="s">
        <v>280</v>
      </c>
      <c r="C62" s="2">
        <v>43358</v>
      </c>
      <c r="D62" s="9">
        <v>0.35</v>
      </c>
      <c r="E62" s="3">
        <f t="shared" ca="1" si="0"/>
        <v>916658041</v>
      </c>
      <c r="F62" t="s">
        <v>11</v>
      </c>
      <c r="G62" t="s">
        <v>14</v>
      </c>
      <c r="H62" s="1" t="s">
        <v>237</v>
      </c>
      <c r="I62" t="s">
        <v>20</v>
      </c>
      <c r="J62" s="4">
        <v>8</v>
      </c>
      <c r="K62" s="4">
        <v>93.47</v>
      </c>
      <c r="L62" s="4">
        <v>3</v>
      </c>
      <c r="M62" s="4">
        <v>74.400000000000006</v>
      </c>
      <c r="N62" s="4">
        <v>150.79669999999999</v>
      </c>
      <c r="O62" s="4">
        <v>74.22</v>
      </c>
      <c r="P62" s="4">
        <v>3.8764546470000001</v>
      </c>
      <c r="Q62" s="4">
        <v>84.462999999999994</v>
      </c>
      <c r="R62" s="10"/>
    </row>
    <row r="63" spans="1:18" x14ac:dyDescent="0.3">
      <c r="A63" t="s">
        <v>2</v>
      </c>
      <c r="B63" s="3" t="s">
        <v>280</v>
      </c>
      <c r="C63" s="2">
        <v>43074</v>
      </c>
      <c r="D63" s="9">
        <v>0.50069444444444444</v>
      </c>
      <c r="E63" s="3">
        <f t="shared" ca="1" si="0"/>
        <v>712026814</v>
      </c>
      <c r="F63" t="s">
        <v>12</v>
      </c>
      <c r="G63" t="s">
        <v>15</v>
      </c>
      <c r="H63" s="1" t="s">
        <v>235</v>
      </c>
      <c r="I63" t="s">
        <v>19</v>
      </c>
      <c r="J63" s="4">
        <v>5</v>
      </c>
      <c r="K63" s="4">
        <v>26.19</v>
      </c>
      <c r="L63" s="4">
        <v>6</v>
      </c>
      <c r="M63" s="4">
        <v>82.5</v>
      </c>
      <c r="N63" s="4">
        <v>157.1764</v>
      </c>
      <c r="O63" s="4">
        <v>334.38</v>
      </c>
      <c r="P63" s="4">
        <v>3.8764546470000001</v>
      </c>
      <c r="Q63" s="4">
        <v>84.701999999999998</v>
      </c>
      <c r="R63" s="10"/>
    </row>
    <row r="64" spans="1:18" x14ac:dyDescent="0.3">
      <c r="A64" t="s">
        <v>3</v>
      </c>
      <c r="B64" s="3" t="s">
        <v>281</v>
      </c>
      <c r="C64" s="2">
        <v>43337</v>
      </c>
      <c r="D64" s="9">
        <v>0.99652777777777779</v>
      </c>
      <c r="E64" s="3">
        <f t="shared" ca="1" si="0"/>
        <v>384924233</v>
      </c>
      <c r="F64" t="s">
        <v>11</v>
      </c>
      <c r="G64" t="s">
        <v>14</v>
      </c>
      <c r="H64" s="1" t="s">
        <v>235</v>
      </c>
      <c r="I64" t="s">
        <v>20</v>
      </c>
      <c r="J64" s="4">
        <v>7.8</v>
      </c>
      <c r="K64" s="4">
        <v>47.66</v>
      </c>
      <c r="L64" s="4">
        <v>9</v>
      </c>
      <c r="M64" s="4">
        <v>35.200000000000003</v>
      </c>
      <c r="N64" s="4">
        <v>140.1095</v>
      </c>
      <c r="O64" s="4">
        <v>495.63</v>
      </c>
      <c r="P64" s="4">
        <v>3.8764546470000001</v>
      </c>
      <c r="Q64" s="4">
        <v>65.150000000000006</v>
      </c>
      <c r="R64" s="10"/>
    </row>
    <row r="65" spans="1:18" ht="28.8" x14ac:dyDescent="0.3">
      <c r="A65" t="s">
        <v>1</v>
      </c>
      <c r="B65" s="3" t="s">
        <v>279</v>
      </c>
      <c r="C65" s="2">
        <v>42965</v>
      </c>
      <c r="D65" s="9">
        <v>0.93333333333333335</v>
      </c>
      <c r="E65" s="3">
        <f t="shared" ca="1" si="0"/>
        <v>902274170</v>
      </c>
      <c r="F65" t="s">
        <v>12</v>
      </c>
      <c r="G65" t="s">
        <v>14</v>
      </c>
      <c r="H65" s="1" t="s">
        <v>237</v>
      </c>
      <c r="I65" t="s">
        <v>20</v>
      </c>
      <c r="J65" s="4">
        <v>7</v>
      </c>
      <c r="K65" s="4">
        <v>63.17</v>
      </c>
      <c r="L65" s="4">
        <v>10</v>
      </c>
      <c r="M65" s="4">
        <v>88.66</v>
      </c>
      <c r="N65" s="4">
        <v>115.2321</v>
      </c>
      <c r="O65" s="4">
        <v>158.1</v>
      </c>
      <c r="P65" s="4">
        <v>3.8764546470000001</v>
      </c>
      <c r="Q65" s="4">
        <v>40.299999999999997</v>
      </c>
      <c r="R65" s="10"/>
    </row>
    <row r="66" spans="1:18" x14ac:dyDescent="0.3">
      <c r="A66" t="s">
        <v>3</v>
      </c>
      <c r="B66" s="3" t="s">
        <v>281</v>
      </c>
      <c r="C66" s="2">
        <v>43067</v>
      </c>
      <c r="D66" s="9">
        <v>0.48125000000000001</v>
      </c>
      <c r="E66" s="3">
        <f t="shared" ca="1" si="0"/>
        <v>919592300</v>
      </c>
      <c r="F66" t="s">
        <v>11</v>
      </c>
      <c r="G66" t="s">
        <v>14</v>
      </c>
      <c r="H66" s="1" t="s">
        <v>236</v>
      </c>
      <c r="I66" t="s">
        <v>17</v>
      </c>
      <c r="J66" s="4">
        <v>8.9</v>
      </c>
      <c r="K66" s="4">
        <v>75.540000000000006</v>
      </c>
      <c r="L66" s="4">
        <v>4</v>
      </c>
      <c r="M66" s="4">
        <v>23.67</v>
      </c>
      <c r="N66" s="4">
        <v>108.9449</v>
      </c>
      <c r="O66" s="4">
        <v>302.95999999999998</v>
      </c>
      <c r="P66" s="4">
        <v>3.8764546470000001</v>
      </c>
      <c r="Q66" s="4">
        <v>25.63</v>
      </c>
      <c r="R66" s="10"/>
    </row>
    <row r="67" spans="1:18" x14ac:dyDescent="0.3">
      <c r="A67" t="s">
        <v>1</v>
      </c>
      <c r="B67" s="3" t="s">
        <v>279</v>
      </c>
      <c r="C67" s="2">
        <v>43339</v>
      </c>
      <c r="D67" s="9">
        <v>0.35486111111111113</v>
      </c>
      <c r="E67" s="3">
        <f t="shared" ref="E67:E130" ca="1" si="1">RANDBETWEEN(10000000,1000000000)</f>
        <v>890308551</v>
      </c>
      <c r="F67" t="s">
        <v>11</v>
      </c>
      <c r="G67" t="s">
        <v>14</v>
      </c>
      <c r="H67" s="1" t="s">
        <v>236</v>
      </c>
      <c r="I67" t="s">
        <v>17</v>
      </c>
      <c r="J67" s="4">
        <v>2.2000000000000002</v>
      </c>
      <c r="K67" s="4">
        <v>70.430000000000007</v>
      </c>
      <c r="L67" s="4">
        <v>10</v>
      </c>
      <c r="M67" s="4">
        <v>94.35</v>
      </c>
      <c r="N67" s="4">
        <v>137.7191</v>
      </c>
      <c r="O67" s="4">
        <v>158.69999999999999</v>
      </c>
      <c r="P67" s="4">
        <v>3.8764546470000001</v>
      </c>
      <c r="Q67" s="4">
        <v>67.2</v>
      </c>
      <c r="R67" s="10"/>
    </row>
    <row r="68" spans="1:18" x14ac:dyDescent="0.3">
      <c r="A68" t="s">
        <v>2</v>
      </c>
      <c r="B68" s="3" t="s">
        <v>280</v>
      </c>
      <c r="C68" s="2">
        <v>42850</v>
      </c>
      <c r="D68" s="9">
        <v>0.39861111111111114</v>
      </c>
      <c r="E68" s="3">
        <f t="shared" ca="1" si="1"/>
        <v>449108481</v>
      </c>
      <c r="F68" t="s">
        <v>11</v>
      </c>
      <c r="G68" t="s">
        <v>15</v>
      </c>
      <c r="H68" s="1" t="s">
        <v>235</v>
      </c>
      <c r="I68" t="s">
        <v>17</v>
      </c>
      <c r="J68" s="4">
        <v>5.7</v>
      </c>
      <c r="K68" s="4">
        <v>22.61</v>
      </c>
      <c r="L68" s="4">
        <v>2</v>
      </c>
      <c r="M68" s="4">
        <v>66.16</v>
      </c>
      <c r="N68" s="4">
        <v>184.7593</v>
      </c>
      <c r="O68" s="4">
        <v>66.94</v>
      </c>
      <c r="P68" s="4">
        <v>3.8764546470000001</v>
      </c>
      <c r="Q68" s="4">
        <v>80.638999999999996</v>
      </c>
      <c r="R68" s="10"/>
    </row>
    <row r="69" spans="1:18" x14ac:dyDescent="0.3">
      <c r="A69" t="s">
        <v>3</v>
      </c>
      <c r="B69" s="3" t="s">
        <v>281</v>
      </c>
      <c r="C69" s="2">
        <v>42826</v>
      </c>
      <c r="D69" s="9">
        <v>0.9916666666666667</v>
      </c>
      <c r="E69" s="3">
        <f t="shared" ca="1" si="1"/>
        <v>887270474</v>
      </c>
      <c r="F69" t="s">
        <v>11</v>
      </c>
      <c r="G69" t="s">
        <v>14</v>
      </c>
      <c r="H69" s="1" t="s">
        <v>235</v>
      </c>
      <c r="I69" t="s">
        <v>22</v>
      </c>
      <c r="J69" s="4">
        <v>3.2</v>
      </c>
      <c r="K69" s="4">
        <v>62.6</v>
      </c>
      <c r="L69" s="4">
        <v>6</v>
      </c>
      <c r="M69" s="4">
        <v>31.18</v>
      </c>
      <c r="N69" s="4">
        <v>167.4752</v>
      </c>
      <c r="O69" s="4">
        <v>585.66</v>
      </c>
      <c r="P69" s="4">
        <v>3.8764546470000001</v>
      </c>
      <c r="Q69" s="4">
        <v>31.76</v>
      </c>
      <c r="R69" s="10"/>
    </row>
    <row r="70" spans="1:18" x14ac:dyDescent="0.3">
      <c r="A70" t="s">
        <v>1</v>
      </c>
      <c r="B70" s="3" t="s">
        <v>279</v>
      </c>
      <c r="C70" s="2">
        <v>42869</v>
      </c>
      <c r="D70" s="9">
        <v>0.85069444444444442</v>
      </c>
      <c r="E70" s="3">
        <f t="shared" ca="1" si="1"/>
        <v>987543255</v>
      </c>
      <c r="F70" t="s">
        <v>12</v>
      </c>
      <c r="G70" t="s">
        <v>15</v>
      </c>
      <c r="H70" s="1" t="s">
        <v>236</v>
      </c>
      <c r="I70" t="s">
        <v>20</v>
      </c>
      <c r="J70" s="4">
        <v>1.3</v>
      </c>
      <c r="K70" s="4">
        <v>41.65</v>
      </c>
      <c r="L70" s="4">
        <v>10</v>
      </c>
      <c r="M70" s="4">
        <v>86.94</v>
      </c>
      <c r="N70" s="4">
        <v>117.6182</v>
      </c>
      <c r="O70" s="4">
        <v>787.7</v>
      </c>
      <c r="P70" s="4">
        <v>3.8764546470000001</v>
      </c>
      <c r="Q70" s="4">
        <v>45.688000000000002</v>
      </c>
      <c r="R70" s="10"/>
    </row>
    <row r="71" spans="1:18" x14ac:dyDescent="0.3">
      <c r="A71" t="s">
        <v>1</v>
      </c>
      <c r="B71" s="3" t="s">
        <v>279</v>
      </c>
      <c r="C71" s="2">
        <v>43133</v>
      </c>
      <c r="D71" s="9">
        <v>0.51527777777777772</v>
      </c>
      <c r="E71" s="3">
        <f t="shared" ca="1" si="1"/>
        <v>385734278</v>
      </c>
      <c r="F71" t="s">
        <v>11</v>
      </c>
      <c r="G71" t="s">
        <v>14</v>
      </c>
      <c r="H71" s="1" t="s">
        <v>236</v>
      </c>
      <c r="I71" t="s">
        <v>17</v>
      </c>
      <c r="J71" s="4">
        <v>6.1</v>
      </c>
      <c r="K71" s="4">
        <v>74.87</v>
      </c>
      <c r="L71" s="4">
        <v>1</v>
      </c>
      <c r="M71" s="4">
        <v>37.049999999999997</v>
      </c>
      <c r="N71" s="4">
        <v>159.7612</v>
      </c>
      <c r="O71" s="4">
        <v>18.329999999999998</v>
      </c>
      <c r="P71" s="4">
        <v>3.8764546470000001</v>
      </c>
      <c r="Q71" s="4">
        <v>50</v>
      </c>
      <c r="R71" s="10"/>
    </row>
    <row r="72" spans="1:18" ht="28.8" x14ac:dyDescent="0.3">
      <c r="A72" t="s">
        <v>2</v>
      </c>
      <c r="B72" s="3" t="s">
        <v>280</v>
      </c>
      <c r="C72" s="2">
        <v>43087</v>
      </c>
      <c r="D72" s="9">
        <v>6.3194444444444442E-2</v>
      </c>
      <c r="E72" s="3">
        <f t="shared" ca="1" si="1"/>
        <v>157688045</v>
      </c>
      <c r="F72" t="s">
        <v>12</v>
      </c>
      <c r="G72" t="s">
        <v>15</v>
      </c>
      <c r="H72" s="1" t="s">
        <v>237</v>
      </c>
      <c r="I72" t="s">
        <v>21</v>
      </c>
      <c r="J72" s="4">
        <v>6</v>
      </c>
      <c r="K72" s="4">
        <v>94.17</v>
      </c>
      <c r="L72" s="4">
        <v>10</v>
      </c>
      <c r="M72" s="4">
        <v>47</v>
      </c>
      <c r="N72" s="4">
        <v>125.1067</v>
      </c>
      <c r="O72" s="4">
        <v>894.8</v>
      </c>
      <c r="P72" s="4">
        <v>3.8764546470000001</v>
      </c>
      <c r="Q72" s="4">
        <v>67.2</v>
      </c>
      <c r="R72" s="10"/>
    </row>
    <row r="73" spans="1:18" x14ac:dyDescent="0.3">
      <c r="A73" t="s">
        <v>2</v>
      </c>
      <c r="B73" s="3" t="s">
        <v>280</v>
      </c>
      <c r="C73" s="2">
        <v>43122</v>
      </c>
      <c r="D73" s="9">
        <v>0.44236111111111109</v>
      </c>
      <c r="E73" s="3">
        <f t="shared" ca="1" si="1"/>
        <v>304166820</v>
      </c>
      <c r="F73" t="s">
        <v>12</v>
      </c>
      <c r="G73" t="s">
        <v>15</v>
      </c>
      <c r="H73" s="1" t="s">
        <v>236</v>
      </c>
      <c r="I73" t="s">
        <v>22</v>
      </c>
      <c r="J73" s="4">
        <v>9.8000000000000007</v>
      </c>
      <c r="K73" s="4">
        <v>17.18</v>
      </c>
      <c r="L73" s="4">
        <v>10</v>
      </c>
      <c r="M73" s="4">
        <v>98.14</v>
      </c>
      <c r="N73" s="4">
        <v>157.8115</v>
      </c>
      <c r="O73" s="4">
        <v>621.20000000000005</v>
      </c>
      <c r="P73" s="4">
        <v>3.8764546470000001</v>
      </c>
      <c r="Q73" s="4">
        <v>61.89</v>
      </c>
      <c r="R73" s="10"/>
    </row>
    <row r="74" spans="1:18" x14ac:dyDescent="0.3">
      <c r="A74" t="s">
        <v>3</v>
      </c>
      <c r="B74" s="3" t="s">
        <v>281</v>
      </c>
      <c r="C74" s="2">
        <v>43376</v>
      </c>
      <c r="D74" s="9">
        <v>0.72430555555555554</v>
      </c>
      <c r="E74" s="3">
        <f t="shared" ca="1" si="1"/>
        <v>213940872</v>
      </c>
      <c r="F74" t="s">
        <v>11</v>
      </c>
      <c r="G74" t="s">
        <v>14</v>
      </c>
      <c r="H74" s="1" t="s">
        <v>235</v>
      </c>
      <c r="I74" t="s">
        <v>21</v>
      </c>
      <c r="J74" s="4">
        <v>2</v>
      </c>
      <c r="K74" s="4">
        <v>76.52</v>
      </c>
      <c r="L74" s="4">
        <v>3</v>
      </c>
      <c r="M74" s="4">
        <v>71.67</v>
      </c>
      <c r="N74" s="4">
        <v>121.0557</v>
      </c>
      <c r="O74" s="4">
        <v>145.56</v>
      </c>
      <c r="P74" s="4">
        <v>3.8764546470000001</v>
      </c>
      <c r="Q74" s="4">
        <v>89.88</v>
      </c>
      <c r="R74" s="10"/>
    </row>
    <row r="75" spans="1:18" x14ac:dyDescent="0.3">
      <c r="A75" t="s">
        <v>2</v>
      </c>
      <c r="B75" s="3" t="s">
        <v>280</v>
      </c>
      <c r="C75" s="2">
        <v>42987</v>
      </c>
      <c r="D75" s="9">
        <v>0.32569444444444445</v>
      </c>
      <c r="E75" s="3">
        <f t="shared" ca="1" si="1"/>
        <v>990558919</v>
      </c>
      <c r="F75" t="s">
        <v>11</v>
      </c>
      <c r="G75" t="s">
        <v>15</v>
      </c>
      <c r="H75" s="1" t="s">
        <v>236</v>
      </c>
      <c r="I75" t="s">
        <v>18</v>
      </c>
      <c r="J75" s="4">
        <v>4.5999999999999996</v>
      </c>
      <c r="K75" s="4">
        <v>58.5</v>
      </c>
      <c r="L75" s="4">
        <v>6</v>
      </c>
      <c r="M75" s="4">
        <v>93.11</v>
      </c>
      <c r="N75" s="4">
        <v>165.1121</v>
      </c>
      <c r="O75" s="4">
        <v>455.46</v>
      </c>
      <c r="P75" s="4">
        <v>3.8764546470000001</v>
      </c>
      <c r="Q75" s="4">
        <v>68.959999999999994</v>
      </c>
      <c r="R75" s="10"/>
    </row>
    <row r="76" spans="1:18" x14ac:dyDescent="0.3">
      <c r="A76" t="s">
        <v>1</v>
      </c>
      <c r="B76" s="3" t="s">
        <v>279</v>
      </c>
      <c r="C76" s="2">
        <v>43053</v>
      </c>
      <c r="D76" s="9">
        <v>0.96250000000000002</v>
      </c>
      <c r="E76" s="3">
        <f t="shared" ca="1" si="1"/>
        <v>81448810</v>
      </c>
      <c r="F76" t="s">
        <v>12</v>
      </c>
      <c r="G76" t="s">
        <v>15</v>
      </c>
      <c r="H76" s="1" t="s">
        <v>235</v>
      </c>
      <c r="I76" t="s">
        <v>19</v>
      </c>
      <c r="J76" s="4">
        <v>7.9</v>
      </c>
      <c r="K76" s="4">
        <v>22.26</v>
      </c>
      <c r="L76" s="4">
        <v>9</v>
      </c>
      <c r="M76" s="4">
        <v>36.1</v>
      </c>
      <c r="N76" s="4">
        <v>180.197</v>
      </c>
      <c r="O76" s="4">
        <v>672.03</v>
      </c>
      <c r="P76" s="4">
        <v>3.8764546470000001</v>
      </c>
      <c r="Q76" s="4">
        <v>34.06</v>
      </c>
      <c r="R76" s="10"/>
    </row>
    <row r="77" spans="1:18" ht="28.8" x14ac:dyDescent="0.3">
      <c r="A77" t="s">
        <v>2</v>
      </c>
      <c r="B77" s="3" t="s">
        <v>280</v>
      </c>
      <c r="C77" s="2">
        <v>43195</v>
      </c>
      <c r="D77" s="9">
        <v>0.74861111111111112</v>
      </c>
      <c r="E77" s="3">
        <f t="shared" ca="1" si="1"/>
        <v>644708209</v>
      </c>
      <c r="F77" t="s">
        <v>11</v>
      </c>
      <c r="G77" t="s">
        <v>15</v>
      </c>
      <c r="H77" s="1" t="s">
        <v>237</v>
      </c>
      <c r="I77" t="s">
        <v>18</v>
      </c>
      <c r="J77" s="4">
        <v>2.2000000000000002</v>
      </c>
      <c r="K77" s="4">
        <v>19.350000000000001</v>
      </c>
      <c r="L77" s="4">
        <v>10</v>
      </c>
      <c r="M77" s="4">
        <v>19.53</v>
      </c>
      <c r="N77" s="4">
        <v>183.96379999999999</v>
      </c>
      <c r="O77" s="4">
        <v>416.5</v>
      </c>
      <c r="P77" s="4">
        <v>3.8764546470000001</v>
      </c>
      <c r="Q77" s="4">
        <v>75.44</v>
      </c>
      <c r="R77" s="10"/>
    </row>
    <row r="78" spans="1:18" ht="28.8" x14ac:dyDescent="0.3">
      <c r="A78" t="s">
        <v>2</v>
      </c>
      <c r="B78" s="3" t="s">
        <v>280</v>
      </c>
      <c r="C78" s="2">
        <v>42957</v>
      </c>
      <c r="D78" s="9">
        <v>0.29166666666666669</v>
      </c>
      <c r="E78" s="3">
        <f t="shared" ca="1" si="1"/>
        <v>184265791</v>
      </c>
      <c r="F78" t="s">
        <v>12</v>
      </c>
      <c r="G78" t="s">
        <v>14</v>
      </c>
      <c r="H78" s="1" t="s">
        <v>237</v>
      </c>
      <c r="I78" t="s">
        <v>22</v>
      </c>
      <c r="J78" s="4">
        <v>1.2</v>
      </c>
      <c r="K78" s="4">
        <v>59.89</v>
      </c>
      <c r="L78" s="4">
        <v>9</v>
      </c>
      <c r="M78" s="4">
        <v>50.64</v>
      </c>
      <c r="N78" s="4">
        <v>173.48869999999999</v>
      </c>
      <c r="O78" s="4">
        <v>441.36</v>
      </c>
      <c r="P78" s="4">
        <v>3.8764546470000001</v>
      </c>
      <c r="Q78" s="4">
        <v>78.92</v>
      </c>
      <c r="R78" s="10"/>
    </row>
    <row r="79" spans="1:18" ht="28.8" x14ac:dyDescent="0.3">
      <c r="A79" t="s">
        <v>1</v>
      </c>
      <c r="B79" s="3" t="s">
        <v>279</v>
      </c>
      <c r="C79" s="2">
        <v>42963</v>
      </c>
      <c r="D79" s="9">
        <v>0.34513888888888888</v>
      </c>
      <c r="E79" s="3">
        <f t="shared" ca="1" si="1"/>
        <v>69191334</v>
      </c>
      <c r="F79" t="s">
        <v>11</v>
      </c>
      <c r="G79" t="s">
        <v>14</v>
      </c>
      <c r="H79" s="1" t="s">
        <v>237</v>
      </c>
      <c r="I79" t="s">
        <v>22</v>
      </c>
      <c r="J79" s="4">
        <v>5</v>
      </c>
      <c r="K79" s="4">
        <v>71.69</v>
      </c>
      <c r="L79" s="4">
        <v>9</v>
      </c>
      <c r="M79" s="4">
        <v>94.4</v>
      </c>
      <c r="N79" s="4">
        <v>121.3931</v>
      </c>
      <c r="O79" s="4">
        <v>180.09</v>
      </c>
      <c r="P79" s="4">
        <v>3.8764546470000001</v>
      </c>
      <c r="Q79" s="4">
        <v>42.000999999999998</v>
      </c>
      <c r="R79" s="10"/>
    </row>
    <row r="80" spans="1:18" x14ac:dyDescent="0.3">
      <c r="A80" t="s">
        <v>2</v>
      </c>
      <c r="B80" s="3" t="s">
        <v>280</v>
      </c>
      <c r="C80" s="2">
        <v>42848</v>
      </c>
      <c r="D80" s="9">
        <v>0.78263888888888888</v>
      </c>
      <c r="E80" s="3">
        <f t="shared" ca="1" si="1"/>
        <v>972897881</v>
      </c>
      <c r="F80" t="s">
        <v>11</v>
      </c>
      <c r="G80" t="s">
        <v>14</v>
      </c>
      <c r="H80" s="1" t="s">
        <v>235</v>
      </c>
      <c r="I80" t="s">
        <v>21</v>
      </c>
      <c r="J80" s="4">
        <v>5.7</v>
      </c>
      <c r="K80" s="4">
        <v>15.67</v>
      </c>
      <c r="L80" s="4">
        <v>10</v>
      </c>
      <c r="M80" s="4">
        <v>69.739999999999995</v>
      </c>
      <c r="N80" s="4">
        <v>162.8897</v>
      </c>
      <c r="O80" s="4">
        <v>783.1</v>
      </c>
      <c r="P80" s="4">
        <v>3.8764546470000001</v>
      </c>
      <c r="Q80" s="4">
        <v>62.58</v>
      </c>
      <c r="R80" s="10"/>
    </row>
    <row r="81" spans="1:18" x14ac:dyDescent="0.3">
      <c r="A81" t="s">
        <v>2</v>
      </c>
      <c r="B81" s="3" t="s">
        <v>280</v>
      </c>
      <c r="C81" s="2">
        <v>43269</v>
      </c>
      <c r="D81" s="9">
        <v>0.44236111111111109</v>
      </c>
      <c r="E81" s="3">
        <f t="shared" ca="1" si="1"/>
        <v>424976369</v>
      </c>
      <c r="F81" t="s">
        <v>11</v>
      </c>
      <c r="G81" t="s">
        <v>14</v>
      </c>
      <c r="H81" s="1" t="s">
        <v>236</v>
      </c>
      <c r="I81" t="s">
        <v>17</v>
      </c>
      <c r="J81" s="4">
        <v>7.5</v>
      </c>
      <c r="K81" s="4">
        <v>78.89</v>
      </c>
      <c r="L81" s="4">
        <v>5</v>
      </c>
      <c r="M81" s="4">
        <v>15.6</v>
      </c>
      <c r="N81" s="4">
        <v>147.52860000000001</v>
      </c>
      <c r="O81" s="4">
        <v>101.9</v>
      </c>
      <c r="P81" s="4">
        <v>3.8764546470000001</v>
      </c>
      <c r="Q81" s="4">
        <v>97.805000000000007</v>
      </c>
      <c r="R81" s="10"/>
    </row>
    <row r="82" spans="1:18" ht="28.8" x14ac:dyDescent="0.3">
      <c r="A82" t="s">
        <v>2</v>
      </c>
      <c r="B82" s="3" t="s">
        <v>280</v>
      </c>
      <c r="C82" s="2">
        <v>43422</v>
      </c>
      <c r="D82" s="9">
        <v>0.74375000000000002</v>
      </c>
      <c r="E82" s="3">
        <f t="shared" ca="1" si="1"/>
        <v>686923502</v>
      </c>
      <c r="F82" t="s">
        <v>11</v>
      </c>
      <c r="G82" t="s">
        <v>14</v>
      </c>
      <c r="H82" s="1" t="s">
        <v>237</v>
      </c>
      <c r="I82" t="s">
        <v>17</v>
      </c>
      <c r="J82" s="4">
        <v>4.4000000000000004</v>
      </c>
      <c r="K82" s="4">
        <v>53.28</v>
      </c>
      <c r="L82" s="4">
        <v>6</v>
      </c>
      <c r="M82" s="4">
        <v>82.86</v>
      </c>
      <c r="N82" s="4">
        <v>119.4041</v>
      </c>
      <c r="O82" s="4">
        <v>595.14</v>
      </c>
      <c r="P82" s="4">
        <v>3.8764546470000001</v>
      </c>
      <c r="Q82" s="4">
        <v>17.315000000000001</v>
      </c>
      <c r="R82" s="10"/>
    </row>
    <row r="83" spans="1:18" x14ac:dyDescent="0.3">
      <c r="A83" t="s">
        <v>3</v>
      </c>
      <c r="B83" s="3" t="s">
        <v>281</v>
      </c>
      <c r="C83" s="2">
        <v>43434</v>
      </c>
      <c r="D83" s="9">
        <v>0.95763888888888893</v>
      </c>
      <c r="E83" s="3">
        <f t="shared" ca="1" si="1"/>
        <v>585810763</v>
      </c>
      <c r="F83" t="s">
        <v>11</v>
      </c>
      <c r="G83" t="s">
        <v>14</v>
      </c>
      <c r="H83" s="1" t="s">
        <v>235</v>
      </c>
      <c r="I83" t="s">
        <v>21</v>
      </c>
      <c r="J83" s="4">
        <v>4</v>
      </c>
      <c r="K83" s="4">
        <v>50.96</v>
      </c>
      <c r="L83" s="4">
        <v>3</v>
      </c>
      <c r="M83" s="4">
        <v>65.739999999999995</v>
      </c>
      <c r="N83" s="4">
        <v>124.9208</v>
      </c>
      <c r="O83" s="4">
        <v>290.04000000000002</v>
      </c>
      <c r="P83" s="4">
        <v>3.8764546470000001</v>
      </c>
      <c r="Q83" s="4">
        <v>38.24</v>
      </c>
      <c r="R83" s="10"/>
    </row>
    <row r="84" spans="1:18" x14ac:dyDescent="0.3">
      <c r="A84" t="s">
        <v>2</v>
      </c>
      <c r="B84" s="3" t="s">
        <v>280</v>
      </c>
      <c r="C84" s="2">
        <v>42795</v>
      </c>
      <c r="D84" s="9">
        <v>0.59791666666666665</v>
      </c>
      <c r="E84" s="3">
        <f t="shared" ca="1" si="1"/>
        <v>562525791</v>
      </c>
      <c r="F84" t="s">
        <v>12</v>
      </c>
      <c r="G84" t="s">
        <v>15</v>
      </c>
      <c r="H84" s="1" t="s">
        <v>235</v>
      </c>
      <c r="I84" t="s">
        <v>21</v>
      </c>
      <c r="J84" s="4">
        <v>4</v>
      </c>
      <c r="K84" s="4">
        <v>85.61</v>
      </c>
      <c r="L84" s="4">
        <v>8</v>
      </c>
      <c r="M84" s="4">
        <v>56.9</v>
      </c>
      <c r="N84" s="4">
        <v>161.26439999999999</v>
      </c>
      <c r="O84" s="4">
        <v>154</v>
      </c>
      <c r="P84" s="4">
        <v>3.8764546470000001</v>
      </c>
      <c r="Q84" s="4">
        <v>65.459999999999994</v>
      </c>
      <c r="R84" s="10"/>
    </row>
    <row r="85" spans="1:18" ht="28.8" x14ac:dyDescent="0.3">
      <c r="A85" t="s">
        <v>2</v>
      </c>
      <c r="B85" s="3" t="s">
        <v>280</v>
      </c>
      <c r="C85" s="2">
        <v>42842</v>
      </c>
      <c r="D85" s="9">
        <v>0.66597222222222219</v>
      </c>
      <c r="E85" s="3">
        <f t="shared" ca="1" si="1"/>
        <v>401059693</v>
      </c>
      <c r="F85" t="s">
        <v>11</v>
      </c>
      <c r="G85" t="s">
        <v>14</v>
      </c>
      <c r="H85" s="1" t="s">
        <v>237</v>
      </c>
      <c r="I85" t="s">
        <v>21</v>
      </c>
      <c r="J85" s="4">
        <v>5</v>
      </c>
      <c r="K85" s="4">
        <v>63.72</v>
      </c>
      <c r="L85" s="4">
        <v>4</v>
      </c>
      <c r="M85" s="4">
        <v>81.849999999999994</v>
      </c>
      <c r="N85" s="4">
        <v>141.80690000000001</v>
      </c>
      <c r="O85" s="4">
        <v>321.44</v>
      </c>
      <c r="P85" s="4">
        <v>3.8764546470000001</v>
      </c>
      <c r="Q85" s="4">
        <v>33.590000000000003</v>
      </c>
      <c r="R85" s="10"/>
    </row>
    <row r="86" spans="1:18" x14ac:dyDescent="0.3">
      <c r="A86" t="s">
        <v>2</v>
      </c>
      <c r="B86" s="3" t="s">
        <v>280</v>
      </c>
      <c r="C86" s="2">
        <v>43245</v>
      </c>
      <c r="D86" s="9">
        <v>0.44236111111111109</v>
      </c>
      <c r="E86" s="3">
        <f t="shared" ca="1" si="1"/>
        <v>449989301</v>
      </c>
      <c r="F86" t="s">
        <v>12</v>
      </c>
      <c r="G86" t="s">
        <v>14</v>
      </c>
      <c r="H86" s="1" t="s">
        <v>236</v>
      </c>
      <c r="I86" t="s">
        <v>20</v>
      </c>
      <c r="J86" s="4">
        <v>8</v>
      </c>
      <c r="K86" s="4">
        <v>23.35</v>
      </c>
      <c r="L86" s="4">
        <v>5</v>
      </c>
      <c r="M86" s="4">
        <v>74.5</v>
      </c>
      <c r="N86" s="4">
        <v>107.38809999999999</v>
      </c>
      <c r="O86" s="4">
        <v>244.55</v>
      </c>
      <c r="P86" s="4">
        <v>3.8764546470000001</v>
      </c>
      <c r="Q86" s="4">
        <v>28.63</v>
      </c>
      <c r="R86" s="10"/>
    </row>
    <row r="87" spans="1:18" x14ac:dyDescent="0.3">
      <c r="A87" t="s">
        <v>2</v>
      </c>
      <c r="B87" s="3" t="s">
        <v>280</v>
      </c>
      <c r="C87" s="2">
        <v>42983</v>
      </c>
      <c r="D87" s="9">
        <v>0.50069444444444444</v>
      </c>
      <c r="E87" s="3">
        <f t="shared" ca="1" si="1"/>
        <v>88664008</v>
      </c>
      <c r="F87" t="s">
        <v>11</v>
      </c>
      <c r="G87" t="s">
        <v>15</v>
      </c>
      <c r="H87" s="1" t="s">
        <v>235</v>
      </c>
      <c r="I87" t="s">
        <v>20</v>
      </c>
      <c r="J87" s="4">
        <v>2</v>
      </c>
      <c r="K87" s="4">
        <v>30.87</v>
      </c>
      <c r="L87" s="4">
        <v>7</v>
      </c>
      <c r="M87" s="4">
        <v>54.8</v>
      </c>
      <c r="N87" s="4">
        <v>166.02850000000001</v>
      </c>
      <c r="O87" s="4">
        <v>581.41999999999996</v>
      </c>
      <c r="P87" s="4">
        <v>3.8764546470000001</v>
      </c>
      <c r="Q87" s="4">
        <v>19.658999999999999</v>
      </c>
      <c r="R87" s="10"/>
    </row>
    <row r="88" spans="1:18" x14ac:dyDescent="0.3">
      <c r="A88" t="s">
        <v>2</v>
      </c>
      <c r="B88" s="3" t="s">
        <v>280</v>
      </c>
      <c r="C88" s="2">
        <v>43238</v>
      </c>
      <c r="D88" s="9">
        <v>0.5541666666666667</v>
      </c>
      <c r="E88" s="3">
        <f t="shared" ca="1" si="1"/>
        <v>860281487</v>
      </c>
      <c r="F88" t="s">
        <v>12</v>
      </c>
      <c r="G88" t="s">
        <v>15</v>
      </c>
      <c r="H88" s="1" t="s">
        <v>236</v>
      </c>
      <c r="I88" t="s">
        <v>22</v>
      </c>
      <c r="J88" s="4">
        <v>2.1</v>
      </c>
      <c r="K88" s="4">
        <v>11.24</v>
      </c>
      <c r="L88" s="4">
        <v>5</v>
      </c>
      <c r="M88" s="4">
        <v>43.57</v>
      </c>
      <c r="N88" s="4">
        <v>106.3719</v>
      </c>
      <c r="O88" s="4">
        <v>382.6</v>
      </c>
      <c r="P88" s="4">
        <v>3.8764546470000001</v>
      </c>
      <c r="Q88" s="4">
        <v>64.885999999999996</v>
      </c>
      <c r="R88" s="10"/>
    </row>
    <row r="89" spans="1:18" ht="28.8" x14ac:dyDescent="0.3">
      <c r="A89" t="s">
        <v>1</v>
      </c>
      <c r="B89" s="3" t="s">
        <v>279</v>
      </c>
      <c r="C89" s="2">
        <v>42820</v>
      </c>
      <c r="D89" s="9">
        <v>0.10208333333333333</v>
      </c>
      <c r="E89" s="3">
        <f t="shared" ca="1" si="1"/>
        <v>383409602</v>
      </c>
      <c r="F89" t="s">
        <v>12</v>
      </c>
      <c r="G89" t="s">
        <v>14</v>
      </c>
      <c r="H89" s="1" t="s">
        <v>237</v>
      </c>
      <c r="I89" t="s">
        <v>21</v>
      </c>
      <c r="J89" s="4">
        <v>9.6</v>
      </c>
      <c r="K89" s="4">
        <v>23.4</v>
      </c>
      <c r="L89" s="4">
        <v>7</v>
      </c>
      <c r="M89" s="4">
        <v>89.24</v>
      </c>
      <c r="N89" s="4">
        <v>144.83320000000001</v>
      </c>
      <c r="O89" s="4">
        <v>345.66</v>
      </c>
      <c r="P89" s="4">
        <v>3.8764546470000001</v>
      </c>
      <c r="Q89" s="4">
        <v>17.184000000000001</v>
      </c>
      <c r="R89" s="10"/>
    </row>
    <row r="90" spans="1:18" x14ac:dyDescent="0.3">
      <c r="A90" t="s">
        <v>1</v>
      </c>
      <c r="B90" s="3" t="s">
        <v>279</v>
      </c>
      <c r="C90" s="2">
        <v>43273</v>
      </c>
      <c r="D90" s="9">
        <v>2.4305555555555556E-2</v>
      </c>
      <c r="E90" s="3">
        <f t="shared" ca="1" si="1"/>
        <v>392086392</v>
      </c>
      <c r="F90" t="s">
        <v>12</v>
      </c>
      <c r="G90" t="s">
        <v>15</v>
      </c>
      <c r="H90" s="1" t="s">
        <v>236</v>
      </c>
      <c r="I90" t="s">
        <v>20</v>
      </c>
      <c r="J90" s="4">
        <v>6.5</v>
      </c>
      <c r="K90" s="4">
        <v>44.7</v>
      </c>
      <c r="L90" s="4">
        <v>1</v>
      </c>
      <c r="M90" s="4">
        <v>29.42</v>
      </c>
      <c r="N90" s="4">
        <v>128.33250000000001</v>
      </c>
      <c r="O90" s="4">
        <v>42.47</v>
      </c>
      <c r="P90" s="4">
        <v>3.8764546470000001</v>
      </c>
      <c r="Q90" s="4">
        <v>63.69</v>
      </c>
      <c r="R90" s="10"/>
    </row>
    <row r="91" spans="1:18" x14ac:dyDescent="0.3">
      <c r="A91" t="s">
        <v>3</v>
      </c>
      <c r="B91" s="3" t="s">
        <v>281</v>
      </c>
      <c r="C91" s="2">
        <v>42846</v>
      </c>
      <c r="D91" s="9">
        <v>0.59305555555555556</v>
      </c>
      <c r="E91" s="3">
        <f t="shared" ca="1" si="1"/>
        <v>352896570</v>
      </c>
      <c r="F91" t="s">
        <v>11</v>
      </c>
      <c r="G91" t="s">
        <v>15</v>
      </c>
      <c r="H91" s="1" t="s">
        <v>236</v>
      </c>
      <c r="I91" t="s">
        <v>17</v>
      </c>
      <c r="J91" s="4">
        <v>1.8</v>
      </c>
      <c r="K91" s="4">
        <v>35.79</v>
      </c>
      <c r="L91" s="4">
        <v>6</v>
      </c>
      <c r="M91" s="4">
        <v>11</v>
      </c>
      <c r="N91" s="4">
        <v>152.2893</v>
      </c>
      <c r="O91" s="4">
        <v>461.94</v>
      </c>
      <c r="P91" s="4">
        <v>3.8764546470000001</v>
      </c>
      <c r="Q91" s="4">
        <v>37.091000000000001</v>
      </c>
      <c r="R91" s="10"/>
    </row>
    <row r="92" spans="1:18" x14ac:dyDescent="0.3">
      <c r="A92" t="s">
        <v>2</v>
      </c>
      <c r="B92" s="3" t="s">
        <v>280</v>
      </c>
      <c r="C92" s="2">
        <v>42970</v>
      </c>
      <c r="D92" s="9">
        <v>0.1361111111111111</v>
      </c>
      <c r="E92" s="3">
        <f t="shared" ca="1" si="1"/>
        <v>349687158</v>
      </c>
      <c r="F92" t="s">
        <v>11</v>
      </c>
      <c r="G92" t="s">
        <v>14</v>
      </c>
      <c r="H92" s="1" t="s">
        <v>236</v>
      </c>
      <c r="I92" t="s">
        <v>19</v>
      </c>
      <c r="J92" s="4">
        <v>6.6</v>
      </c>
      <c r="K92" s="4">
        <v>15.88</v>
      </c>
      <c r="L92" s="4">
        <v>4</v>
      </c>
      <c r="M92" s="4">
        <v>67.5</v>
      </c>
      <c r="N92" s="4">
        <v>109.883</v>
      </c>
      <c r="O92" s="4">
        <v>189.52</v>
      </c>
      <c r="P92" s="4">
        <v>3.8764546470000001</v>
      </c>
      <c r="Q92" s="4">
        <v>26.184999999999999</v>
      </c>
      <c r="R92" s="10"/>
    </row>
    <row r="93" spans="1:18" x14ac:dyDescent="0.3">
      <c r="A93" t="s">
        <v>2</v>
      </c>
      <c r="B93" s="3" t="s">
        <v>280</v>
      </c>
      <c r="C93" s="2">
        <v>43130</v>
      </c>
      <c r="D93" s="9">
        <v>7.2916666666666671E-2</v>
      </c>
      <c r="E93" s="3">
        <f t="shared" ca="1" si="1"/>
        <v>849695015</v>
      </c>
      <c r="F93" t="s">
        <v>11</v>
      </c>
      <c r="G93" t="s">
        <v>15</v>
      </c>
      <c r="H93" s="1" t="s">
        <v>235</v>
      </c>
      <c r="I93" t="s">
        <v>20</v>
      </c>
      <c r="J93" s="4">
        <v>2.4</v>
      </c>
      <c r="K93" s="4">
        <v>76.900000000000006</v>
      </c>
      <c r="L93" s="4">
        <v>10</v>
      </c>
      <c r="M93" s="4">
        <v>84.84</v>
      </c>
      <c r="N93" s="4">
        <v>149.19120000000001</v>
      </c>
      <c r="O93" s="4">
        <v>448.6</v>
      </c>
      <c r="P93" s="4">
        <v>3.8764546470000001</v>
      </c>
      <c r="Q93" s="4">
        <v>78.05</v>
      </c>
      <c r="R93" s="10"/>
    </row>
    <row r="94" spans="1:18" x14ac:dyDescent="0.3">
      <c r="A94" t="s">
        <v>1</v>
      </c>
      <c r="B94" s="3" t="s">
        <v>279</v>
      </c>
      <c r="C94" s="2">
        <v>42795</v>
      </c>
      <c r="D94" s="9">
        <v>0.18472222222222223</v>
      </c>
      <c r="E94" s="3">
        <f t="shared" ca="1" si="1"/>
        <v>310880909</v>
      </c>
      <c r="F94" t="s">
        <v>11</v>
      </c>
      <c r="G94" t="s">
        <v>14</v>
      </c>
      <c r="H94" s="1" t="s">
        <v>235</v>
      </c>
      <c r="I94" t="s">
        <v>20</v>
      </c>
      <c r="J94" s="4">
        <v>2</v>
      </c>
      <c r="K94" s="4">
        <v>94.12</v>
      </c>
      <c r="L94" s="4">
        <v>7</v>
      </c>
      <c r="M94" s="4">
        <v>89.65</v>
      </c>
      <c r="N94" s="4">
        <v>135.18790000000001</v>
      </c>
      <c r="O94" s="4">
        <v>153.86000000000001</v>
      </c>
      <c r="P94" s="4">
        <v>3.8764546470000001</v>
      </c>
      <c r="Q94" s="4">
        <v>82.14</v>
      </c>
      <c r="R94" s="10"/>
    </row>
    <row r="95" spans="1:18" ht="28.8" x14ac:dyDescent="0.3">
      <c r="A95" t="s">
        <v>3</v>
      </c>
      <c r="B95" s="3" t="s">
        <v>281</v>
      </c>
      <c r="C95" s="2">
        <v>42986</v>
      </c>
      <c r="D95" s="9">
        <v>0.70486111111111116</v>
      </c>
      <c r="E95" s="3">
        <f t="shared" ca="1" si="1"/>
        <v>94229721</v>
      </c>
      <c r="F95" t="s">
        <v>12</v>
      </c>
      <c r="G95" t="s">
        <v>14</v>
      </c>
      <c r="H95" s="1" t="s">
        <v>237</v>
      </c>
      <c r="I95" t="s">
        <v>17</v>
      </c>
      <c r="J95" s="4">
        <v>2</v>
      </c>
      <c r="K95" s="4">
        <v>44.43</v>
      </c>
      <c r="L95" s="4">
        <v>9</v>
      </c>
      <c r="M95" s="4">
        <v>67.239999999999995</v>
      </c>
      <c r="N95" s="4">
        <v>157.30840000000001</v>
      </c>
      <c r="O95" s="4">
        <v>579.24</v>
      </c>
      <c r="P95" s="4">
        <v>3.8764546470000001</v>
      </c>
      <c r="Q95" s="4">
        <v>88.94</v>
      </c>
      <c r="R95" s="10"/>
    </row>
    <row r="96" spans="1:18" ht="28.8" x14ac:dyDescent="0.3">
      <c r="A96" t="s">
        <v>2</v>
      </c>
      <c r="B96" s="3" t="s">
        <v>280</v>
      </c>
      <c r="C96" s="2">
        <v>42825</v>
      </c>
      <c r="D96" s="9">
        <v>0.82638888888888884</v>
      </c>
      <c r="E96" s="3">
        <f t="shared" ca="1" si="1"/>
        <v>67987134</v>
      </c>
      <c r="F96" t="s">
        <v>12</v>
      </c>
      <c r="G96" t="s">
        <v>15</v>
      </c>
      <c r="H96" s="1" t="s">
        <v>237</v>
      </c>
      <c r="I96" t="s">
        <v>17</v>
      </c>
      <c r="J96" s="4">
        <v>2</v>
      </c>
      <c r="K96" s="4">
        <v>21.55</v>
      </c>
      <c r="L96" s="4">
        <v>1</v>
      </c>
      <c r="M96" s="4">
        <v>82.58</v>
      </c>
      <c r="N96" s="4">
        <v>174.2825</v>
      </c>
      <c r="O96" s="4">
        <v>89.75</v>
      </c>
      <c r="P96" s="4">
        <v>3.8764546470000001</v>
      </c>
      <c r="Q96" s="4">
        <v>38.770000000000003</v>
      </c>
      <c r="R96" s="10"/>
    </row>
    <row r="97" spans="1:18" x14ac:dyDescent="0.3">
      <c r="A97" t="s">
        <v>1</v>
      </c>
      <c r="B97" s="3" t="s">
        <v>279</v>
      </c>
      <c r="C97" s="2">
        <v>42840</v>
      </c>
      <c r="D97" s="9">
        <v>0.58819444444444446</v>
      </c>
      <c r="E97" s="3">
        <f t="shared" ca="1" si="1"/>
        <v>645252926</v>
      </c>
      <c r="F97" t="s">
        <v>12</v>
      </c>
      <c r="G97" t="s">
        <v>15</v>
      </c>
      <c r="H97" s="1" t="s">
        <v>235</v>
      </c>
      <c r="I97" t="s">
        <v>18</v>
      </c>
      <c r="J97" s="4">
        <v>8</v>
      </c>
      <c r="K97" s="4">
        <v>66.209999999999994</v>
      </c>
      <c r="L97" s="4">
        <v>1</v>
      </c>
      <c r="M97" s="4">
        <v>35.75</v>
      </c>
      <c r="N97" s="4">
        <v>117.1014</v>
      </c>
      <c r="O97" s="4">
        <v>97.16</v>
      </c>
      <c r="P97" s="4">
        <v>3.8764546470000001</v>
      </c>
      <c r="Q97" s="4">
        <v>42.13</v>
      </c>
      <c r="R97" s="10"/>
    </row>
    <row r="98" spans="1:18" x14ac:dyDescent="0.3">
      <c r="A98" t="s">
        <v>3</v>
      </c>
      <c r="B98" s="3" t="s">
        <v>281</v>
      </c>
      <c r="C98" s="2">
        <v>42963</v>
      </c>
      <c r="D98" s="9">
        <v>0.50069444444444444</v>
      </c>
      <c r="E98" s="3">
        <f t="shared" ca="1" si="1"/>
        <v>229686631</v>
      </c>
      <c r="F98" t="s">
        <v>12</v>
      </c>
      <c r="G98" t="s">
        <v>15</v>
      </c>
      <c r="H98" s="1" t="s">
        <v>235</v>
      </c>
      <c r="I98" t="s">
        <v>17</v>
      </c>
      <c r="J98" s="4">
        <v>5.6</v>
      </c>
      <c r="K98" s="4">
        <v>24.23</v>
      </c>
      <c r="L98" s="4">
        <v>10</v>
      </c>
      <c r="M98" s="4">
        <v>39.47</v>
      </c>
      <c r="N98" s="4">
        <v>136.31469999999999</v>
      </c>
      <c r="O98" s="4">
        <v>878.7</v>
      </c>
      <c r="P98" s="4">
        <v>3.8764546470000001</v>
      </c>
      <c r="Q98" s="4">
        <v>73.16</v>
      </c>
      <c r="R98" s="10"/>
    </row>
    <row r="99" spans="1:18" x14ac:dyDescent="0.3">
      <c r="A99" t="s">
        <v>4</v>
      </c>
      <c r="B99" s="3" t="s">
        <v>280</v>
      </c>
      <c r="C99" s="2">
        <v>42801</v>
      </c>
      <c r="D99" s="9">
        <v>0.30625000000000002</v>
      </c>
      <c r="E99" s="3">
        <f t="shared" ca="1" si="1"/>
        <v>612875438</v>
      </c>
      <c r="F99" t="s">
        <v>11</v>
      </c>
      <c r="G99" t="s">
        <v>15</v>
      </c>
      <c r="H99" s="1" t="s">
        <v>236</v>
      </c>
      <c r="I99" t="s">
        <v>18</v>
      </c>
      <c r="J99" s="4">
        <v>6.5</v>
      </c>
      <c r="K99" s="4">
        <v>33.69</v>
      </c>
      <c r="L99" s="4">
        <v>6</v>
      </c>
      <c r="M99" s="4">
        <v>17.260000000000002</v>
      </c>
      <c r="N99" s="4">
        <v>145.25299999999999</v>
      </c>
      <c r="O99" s="4">
        <v>74.7</v>
      </c>
      <c r="P99" s="4">
        <v>3.8764546470000001</v>
      </c>
      <c r="Q99" s="4">
        <v>52.04</v>
      </c>
      <c r="R99" s="10"/>
    </row>
    <row r="100" spans="1:18" x14ac:dyDescent="0.3">
      <c r="A100" t="s">
        <v>1</v>
      </c>
      <c r="B100" s="3" t="s">
        <v>279</v>
      </c>
      <c r="C100" s="2">
        <v>43400</v>
      </c>
      <c r="D100" s="9">
        <v>6.805555555555555E-2</v>
      </c>
      <c r="E100" s="3">
        <f t="shared" ca="1" si="1"/>
        <v>916385607</v>
      </c>
      <c r="F100" t="s">
        <v>12</v>
      </c>
      <c r="G100" t="s">
        <v>15</v>
      </c>
      <c r="H100" s="1" t="s">
        <v>235</v>
      </c>
      <c r="I100" t="s">
        <v>21</v>
      </c>
      <c r="J100" s="4">
        <v>8</v>
      </c>
      <c r="K100" s="4">
        <v>20.36</v>
      </c>
      <c r="L100" s="4">
        <v>3</v>
      </c>
      <c r="M100" s="4">
        <v>35.29</v>
      </c>
      <c r="N100" s="4">
        <v>185.75360000000001</v>
      </c>
      <c r="O100" s="4">
        <v>158.25</v>
      </c>
      <c r="P100" s="4">
        <v>3.8764546470000001</v>
      </c>
      <c r="Q100" s="4">
        <v>40.14</v>
      </c>
      <c r="R100" s="10"/>
    </row>
    <row r="101" spans="1:18" x14ac:dyDescent="0.3">
      <c r="A101" t="s">
        <v>3</v>
      </c>
      <c r="B101" s="3" t="s">
        <v>281</v>
      </c>
      <c r="C101" s="2">
        <v>43234</v>
      </c>
      <c r="D101" s="9">
        <v>0.96250000000000002</v>
      </c>
      <c r="E101" s="3">
        <f t="shared" ca="1" si="1"/>
        <v>879621246</v>
      </c>
      <c r="F101" t="s">
        <v>12</v>
      </c>
      <c r="G101" t="s">
        <v>15</v>
      </c>
      <c r="H101" s="1" t="s">
        <v>236</v>
      </c>
      <c r="I101" t="s">
        <v>19</v>
      </c>
      <c r="J101" s="4">
        <v>4.7</v>
      </c>
      <c r="K101" s="4">
        <v>39.549999999999997</v>
      </c>
      <c r="L101" s="4">
        <v>6</v>
      </c>
      <c r="M101" s="4">
        <v>32.67</v>
      </c>
      <c r="N101" s="4">
        <v>117.60769999999999</v>
      </c>
      <c r="O101" s="4">
        <v>496.2</v>
      </c>
      <c r="P101" s="4">
        <v>3.8764546470000001</v>
      </c>
      <c r="Q101" s="4">
        <v>44.79</v>
      </c>
      <c r="R101" s="10"/>
    </row>
    <row r="102" spans="1:18" x14ac:dyDescent="0.3">
      <c r="A102" t="s">
        <v>2</v>
      </c>
      <c r="B102" s="3" t="s">
        <v>280</v>
      </c>
      <c r="C102" s="2">
        <v>42996</v>
      </c>
      <c r="D102" s="9">
        <v>0.65625</v>
      </c>
      <c r="E102" s="3">
        <f t="shared" ca="1" si="1"/>
        <v>179310628</v>
      </c>
      <c r="F102" t="s">
        <v>12</v>
      </c>
      <c r="G102" t="s">
        <v>14</v>
      </c>
      <c r="H102" s="1" t="s">
        <v>236</v>
      </c>
      <c r="I102" t="s">
        <v>22</v>
      </c>
      <c r="J102" s="4">
        <v>3.2</v>
      </c>
      <c r="K102" s="4">
        <v>61.74</v>
      </c>
      <c r="L102" s="4">
        <v>1</v>
      </c>
      <c r="M102" s="4">
        <v>13.25</v>
      </c>
      <c r="N102" s="4">
        <v>184.7808</v>
      </c>
      <c r="O102" s="4">
        <v>48.71</v>
      </c>
      <c r="P102" s="4">
        <v>3.8764546470000001</v>
      </c>
      <c r="Q102" s="4">
        <v>35.14</v>
      </c>
      <c r="R102" s="10"/>
    </row>
    <row r="103" spans="1:18" x14ac:dyDescent="0.3">
      <c r="A103" t="s">
        <v>2</v>
      </c>
      <c r="B103" s="3" t="s">
        <v>280</v>
      </c>
      <c r="C103" s="2">
        <v>43447</v>
      </c>
      <c r="D103" s="9">
        <v>0.34027777777777779</v>
      </c>
      <c r="E103" s="3">
        <f t="shared" ca="1" si="1"/>
        <v>268096866</v>
      </c>
      <c r="F103" t="s">
        <v>12</v>
      </c>
      <c r="G103" t="s">
        <v>15</v>
      </c>
      <c r="H103" s="1" t="s">
        <v>236</v>
      </c>
      <c r="I103" t="s">
        <v>22</v>
      </c>
      <c r="J103" s="4">
        <v>5.6</v>
      </c>
      <c r="K103" s="4">
        <v>69.27</v>
      </c>
      <c r="L103" s="4">
        <v>9</v>
      </c>
      <c r="M103" s="4">
        <v>69.709999999999994</v>
      </c>
      <c r="N103" s="4">
        <v>175.88069999999999</v>
      </c>
      <c r="O103" s="4">
        <v>706.95</v>
      </c>
      <c r="P103" s="4">
        <v>3.8764546470000001</v>
      </c>
      <c r="Q103" s="4">
        <v>37.72</v>
      </c>
      <c r="R103" s="10"/>
    </row>
    <row r="104" spans="1:18" x14ac:dyDescent="0.3">
      <c r="A104" t="s">
        <v>2</v>
      </c>
      <c r="B104" s="3" t="s">
        <v>280</v>
      </c>
      <c r="C104" s="2">
        <v>42840</v>
      </c>
      <c r="D104" s="9">
        <v>0.78263888888888888</v>
      </c>
      <c r="E104" s="3">
        <f t="shared" ca="1" si="1"/>
        <v>491653815</v>
      </c>
      <c r="F104" t="s">
        <v>11</v>
      </c>
      <c r="G104" t="s">
        <v>15</v>
      </c>
      <c r="H104" s="1" t="s">
        <v>236</v>
      </c>
      <c r="I104" t="s">
        <v>18</v>
      </c>
      <c r="J104" s="4">
        <v>7.8</v>
      </c>
      <c r="K104" s="4">
        <v>33.15</v>
      </c>
      <c r="L104" s="4">
        <v>9</v>
      </c>
      <c r="M104" s="4">
        <v>72.97</v>
      </c>
      <c r="N104" s="4">
        <v>125.87139999999999</v>
      </c>
      <c r="O104" s="4">
        <v>207.63</v>
      </c>
      <c r="P104" s="4">
        <v>3.8764546470000001</v>
      </c>
      <c r="Q104" s="4">
        <v>42.12</v>
      </c>
      <c r="R104" s="10"/>
    </row>
    <row r="105" spans="1:18" x14ac:dyDescent="0.3">
      <c r="A105" t="s">
        <v>1</v>
      </c>
      <c r="B105" s="3" t="s">
        <v>279</v>
      </c>
      <c r="C105" s="2">
        <v>43088</v>
      </c>
      <c r="D105" s="9">
        <v>1.9444444444444445E-2</v>
      </c>
      <c r="E105" s="3">
        <f t="shared" ca="1" si="1"/>
        <v>31375011</v>
      </c>
      <c r="F105" t="s">
        <v>12</v>
      </c>
      <c r="G105" t="s">
        <v>15</v>
      </c>
      <c r="H105" s="1" t="s">
        <v>236</v>
      </c>
      <c r="I105" t="s">
        <v>21</v>
      </c>
      <c r="J105" s="4">
        <v>7.8</v>
      </c>
      <c r="K105" s="4">
        <v>20.66</v>
      </c>
      <c r="L105" s="4">
        <v>6</v>
      </c>
      <c r="M105" s="4">
        <v>16.95</v>
      </c>
      <c r="N105" s="4">
        <v>102.8843</v>
      </c>
      <c r="O105" s="4">
        <v>349.56</v>
      </c>
      <c r="P105" s="4">
        <v>3.8764546470000001</v>
      </c>
      <c r="Q105" s="4">
        <v>25.311</v>
      </c>
      <c r="R105" s="10"/>
    </row>
    <row r="106" spans="1:18" x14ac:dyDescent="0.3">
      <c r="A106" t="s">
        <v>3</v>
      </c>
      <c r="B106" s="3" t="s">
        <v>281</v>
      </c>
      <c r="C106" s="2">
        <v>42947</v>
      </c>
      <c r="D106" s="9">
        <v>0.86527777777777781</v>
      </c>
      <c r="E106" s="3">
        <f t="shared" ca="1" si="1"/>
        <v>548940649</v>
      </c>
      <c r="F106" t="s">
        <v>12</v>
      </c>
      <c r="G106" t="s">
        <v>15</v>
      </c>
      <c r="H106" s="1" t="s">
        <v>236</v>
      </c>
      <c r="I106" t="s">
        <v>17</v>
      </c>
      <c r="J106" s="4">
        <v>5</v>
      </c>
      <c r="K106" s="4">
        <v>23.52</v>
      </c>
      <c r="L106" s="4">
        <v>7</v>
      </c>
      <c r="M106" s="4">
        <v>40.1</v>
      </c>
      <c r="N106" s="4">
        <v>179.20500000000001</v>
      </c>
      <c r="O106" s="4">
        <v>212.45</v>
      </c>
      <c r="P106" s="4">
        <v>3.8764546470000001</v>
      </c>
      <c r="Q106" s="4">
        <v>47.027000000000001</v>
      </c>
      <c r="R106" s="10"/>
    </row>
    <row r="107" spans="1:18" x14ac:dyDescent="0.3">
      <c r="A107" t="s">
        <v>1</v>
      </c>
      <c r="B107" s="3" t="s">
        <v>279</v>
      </c>
      <c r="C107" s="2">
        <v>43463</v>
      </c>
      <c r="D107" s="9">
        <v>0</v>
      </c>
      <c r="E107" s="3">
        <f t="shared" ca="1" si="1"/>
        <v>60593565</v>
      </c>
      <c r="F107" t="s">
        <v>12</v>
      </c>
      <c r="G107" t="s">
        <v>14</v>
      </c>
      <c r="H107" s="1" t="s">
        <v>235</v>
      </c>
      <c r="I107" t="s">
        <v>18</v>
      </c>
      <c r="J107" s="4">
        <v>5.3</v>
      </c>
      <c r="K107" s="4">
        <v>47.41</v>
      </c>
      <c r="L107" s="4">
        <v>10</v>
      </c>
      <c r="M107" s="4">
        <v>70</v>
      </c>
      <c r="N107" s="4">
        <v>152.98920000000001</v>
      </c>
      <c r="O107" s="4">
        <v>886.7</v>
      </c>
      <c r="P107" s="4">
        <v>3.8764546470000001</v>
      </c>
      <c r="Q107" s="4">
        <v>69.59</v>
      </c>
      <c r="R107" s="10"/>
    </row>
    <row r="108" spans="1:18" ht="28.8" x14ac:dyDescent="0.3">
      <c r="A108" t="s">
        <v>2</v>
      </c>
      <c r="B108" s="3" t="s">
        <v>280</v>
      </c>
      <c r="C108" s="2">
        <v>42813</v>
      </c>
      <c r="D108" s="9">
        <v>0.10208333333333333</v>
      </c>
      <c r="E108" s="3">
        <f t="shared" ca="1" si="1"/>
        <v>106504326</v>
      </c>
      <c r="F108" t="s">
        <v>12</v>
      </c>
      <c r="G108" t="s">
        <v>15</v>
      </c>
      <c r="H108" s="1" t="s">
        <v>237</v>
      </c>
      <c r="I108" t="s">
        <v>22</v>
      </c>
      <c r="J108" s="4">
        <v>4.2</v>
      </c>
      <c r="K108" s="4">
        <v>45.74</v>
      </c>
      <c r="L108" s="4">
        <v>6</v>
      </c>
      <c r="M108" s="4">
        <v>30.2</v>
      </c>
      <c r="N108" s="4">
        <v>166.81309999999999</v>
      </c>
      <c r="O108" s="4">
        <v>164.28</v>
      </c>
      <c r="P108" s="4">
        <v>3.8764546470000001</v>
      </c>
      <c r="Q108" s="4">
        <v>63.59</v>
      </c>
      <c r="R108" s="10"/>
    </row>
    <row r="109" spans="1:18" x14ac:dyDescent="0.3">
      <c r="A109" t="s">
        <v>1</v>
      </c>
      <c r="B109" s="3" t="s">
        <v>279</v>
      </c>
      <c r="C109" s="2">
        <v>43049</v>
      </c>
      <c r="D109" s="9">
        <v>0.21875</v>
      </c>
      <c r="E109" s="3">
        <f t="shared" ca="1" si="1"/>
        <v>450516428</v>
      </c>
      <c r="F109" t="s">
        <v>12</v>
      </c>
      <c r="G109" t="s">
        <v>15</v>
      </c>
      <c r="H109" s="1" t="s">
        <v>236</v>
      </c>
      <c r="I109" t="s">
        <v>20</v>
      </c>
      <c r="J109" s="4">
        <v>9.9</v>
      </c>
      <c r="K109" s="4">
        <v>65.23</v>
      </c>
      <c r="L109" s="4">
        <v>6</v>
      </c>
      <c r="M109" s="4">
        <v>41.03</v>
      </c>
      <c r="N109" s="4">
        <v>123.15819999999999</v>
      </c>
      <c r="O109" s="4">
        <v>372.78</v>
      </c>
      <c r="P109" s="4">
        <v>3.8764546470000001</v>
      </c>
      <c r="Q109" s="4">
        <v>17.86</v>
      </c>
      <c r="R109" s="10"/>
    </row>
    <row r="110" spans="1:18" x14ac:dyDescent="0.3">
      <c r="A110" t="s">
        <v>2</v>
      </c>
      <c r="B110" s="3" t="s">
        <v>280</v>
      </c>
      <c r="C110" s="2">
        <v>43257</v>
      </c>
      <c r="D110" s="9">
        <v>0.60277777777777775</v>
      </c>
      <c r="E110" s="3">
        <f t="shared" ca="1" si="1"/>
        <v>127802266</v>
      </c>
      <c r="F110" t="s">
        <v>11</v>
      </c>
      <c r="G110" t="s">
        <v>15</v>
      </c>
      <c r="H110" s="1" t="s">
        <v>236</v>
      </c>
      <c r="I110" t="s">
        <v>21</v>
      </c>
      <c r="J110" s="4">
        <v>7.4</v>
      </c>
      <c r="K110" s="4">
        <v>96.22</v>
      </c>
      <c r="L110" s="4">
        <v>9</v>
      </c>
      <c r="M110" s="4">
        <v>21.84</v>
      </c>
      <c r="N110" s="4">
        <v>171.25069999999999</v>
      </c>
      <c r="O110" s="4">
        <v>305.82</v>
      </c>
      <c r="P110" s="4">
        <v>3.8764546470000001</v>
      </c>
      <c r="Q110" s="4">
        <v>56.29</v>
      </c>
      <c r="R110" s="10"/>
    </row>
    <row r="111" spans="1:18" x14ac:dyDescent="0.3">
      <c r="A111" t="s">
        <v>2</v>
      </c>
      <c r="B111" s="3" t="s">
        <v>280</v>
      </c>
      <c r="C111" s="2">
        <v>43333</v>
      </c>
      <c r="D111" s="9">
        <v>0.36458333333333331</v>
      </c>
      <c r="E111" s="3">
        <f t="shared" ca="1" si="1"/>
        <v>577684602</v>
      </c>
      <c r="F111" t="s">
        <v>12</v>
      </c>
      <c r="G111" t="s">
        <v>14</v>
      </c>
      <c r="H111" s="1" t="s">
        <v>236</v>
      </c>
      <c r="I111" t="s">
        <v>18</v>
      </c>
      <c r="J111" s="4">
        <v>8.4</v>
      </c>
      <c r="K111" s="4">
        <v>51.37</v>
      </c>
      <c r="L111" s="4">
        <v>10</v>
      </c>
      <c r="M111" s="4">
        <v>36.6</v>
      </c>
      <c r="N111" s="4">
        <v>156.91919999999999</v>
      </c>
      <c r="O111" s="4">
        <v>819.7</v>
      </c>
      <c r="P111" s="4">
        <v>3.8764546470000001</v>
      </c>
      <c r="Q111" s="4">
        <v>11.85</v>
      </c>
      <c r="R111" s="10"/>
    </row>
    <row r="112" spans="1:18" x14ac:dyDescent="0.3">
      <c r="A112" t="s">
        <v>3</v>
      </c>
      <c r="B112" s="3" t="s">
        <v>281</v>
      </c>
      <c r="C112" s="2">
        <v>43153</v>
      </c>
      <c r="D112" s="9">
        <v>5.8333333333333334E-2</v>
      </c>
      <c r="E112" s="3">
        <f t="shared" ca="1" si="1"/>
        <v>45061730</v>
      </c>
      <c r="F112" t="s">
        <v>11</v>
      </c>
      <c r="G112" t="s">
        <v>14</v>
      </c>
      <c r="H112" s="1" t="s">
        <v>235</v>
      </c>
      <c r="I112" t="s">
        <v>20</v>
      </c>
      <c r="J112" s="4">
        <v>2.7</v>
      </c>
      <c r="K112" s="4">
        <v>39.06</v>
      </c>
      <c r="L112" s="4">
        <v>2</v>
      </c>
      <c r="M112" s="4">
        <v>33.9</v>
      </c>
      <c r="N112" s="4">
        <v>103.7657</v>
      </c>
      <c r="O112" s="4">
        <v>32.979999999999997</v>
      </c>
      <c r="P112" s="4">
        <v>3.8764546470000001</v>
      </c>
      <c r="Q112" s="4">
        <v>21.03</v>
      </c>
      <c r="R112" s="10"/>
    </row>
    <row r="113" spans="1:18" ht="28.8" x14ac:dyDescent="0.3">
      <c r="A113" t="s">
        <v>2</v>
      </c>
      <c r="B113" s="3" t="s">
        <v>280</v>
      </c>
      <c r="C113" s="2">
        <v>43256</v>
      </c>
      <c r="D113" s="9">
        <v>0.45694444444444443</v>
      </c>
      <c r="E113" s="3">
        <f t="shared" ca="1" si="1"/>
        <v>489158363</v>
      </c>
      <c r="F113" t="s">
        <v>11</v>
      </c>
      <c r="G113" t="s">
        <v>14</v>
      </c>
      <c r="H113" s="1" t="s">
        <v>237</v>
      </c>
      <c r="I113" t="s">
        <v>17</v>
      </c>
      <c r="J113" s="4">
        <v>7</v>
      </c>
      <c r="K113" s="4">
        <v>37.9</v>
      </c>
      <c r="L113" s="4">
        <v>3</v>
      </c>
      <c r="M113" s="4">
        <v>40.18</v>
      </c>
      <c r="N113" s="4">
        <v>117.67749999999999</v>
      </c>
      <c r="O113" s="4">
        <v>294.63</v>
      </c>
      <c r="P113" s="4">
        <v>3.8764546470000001</v>
      </c>
      <c r="Q113" s="4">
        <v>73.84</v>
      </c>
      <c r="R113" s="10"/>
    </row>
    <row r="114" spans="1:18" x14ac:dyDescent="0.3">
      <c r="A114" t="s">
        <v>3</v>
      </c>
      <c r="B114" s="3" t="s">
        <v>281</v>
      </c>
      <c r="C114" s="2">
        <v>42834</v>
      </c>
      <c r="D114" s="9">
        <v>0.7729166666666667</v>
      </c>
      <c r="E114" s="3">
        <f t="shared" ca="1" si="1"/>
        <v>149102231</v>
      </c>
      <c r="F114" t="s">
        <v>11</v>
      </c>
      <c r="G114" t="s">
        <v>15</v>
      </c>
      <c r="H114" s="1" t="s">
        <v>236</v>
      </c>
      <c r="I114" t="s">
        <v>22</v>
      </c>
      <c r="J114" s="4">
        <v>4</v>
      </c>
      <c r="K114" s="4">
        <v>31.9</v>
      </c>
      <c r="L114" s="4">
        <v>7</v>
      </c>
      <c r="M114" s="4">
        <v>36.85</v>
      </c>
      <c r="N114" s="4">
        <v>114.59699999999999</v>
      </c>
      <c r="O114" s="4">
        <v>509.88</v>
      </c>
      <c r="P114" s="4">
        <v>3.8764546470000001</v>
      </c>
      <c r="Q114" s="4">
        <v>32.159999999999997</v>
      </c>
      <c r="R114" s="10"/>
    </row>
    <row r="115" spans="1:18" x14ac:dyDescent="0.3">
      <c r="A115" t="s">
        <v>1</v>
      </c>
      <c r="B115" s="3" t="s">
        <v>279</v>
      </c>
      <c r="C115" s="2">
        <v>43422</v>
      </c>
      <c r="D115" s="9">
        <v>0.62222222222222223</v>
      </c>
      <c r="E115" s="3">
        <f t="shared" ca="1" si="1"/>
        <v>967066002</v>
      </c>
      <c r="F115" t="s">
        <v>12</v>
      </c>
      <c r="G115" t="s">
        <v>14</v>
      </c>
      <c r="H115" s="1" t="s">
        <v>235</v>
      </c>
      <c r="I115" t="s">
        <v>19</v>
      </c>
      <c r="J115" s="4">
        <v>7.2</v>
      </c>
      <c r="K115" s="4">
        <v>99.98</v>
      </c>
      <c r="L115" s="4">
        <v>9</v>
      </c>
      <c r="M115" s="4">
        <v>48.59</v>
      </c>
      <c r="N115" s="4">
        <v>181.5384</v>
      </c>
      <c r="O115" s="4">
        <v>522.63</v>
      </c>
      <c r="P115" s="4">
        <v>3.8764546470000001</v>
      </c>
      <c r="Q115" s="4">
        <v>35.64</v>
      </c>
      <c r="R115" s="10"/>
    </row>
    <row r="116" spans="1:18" ht="28.8" x14ac:dyDescent="0.3">
      <c r="A116" t="s">
        <v>2</v>
      </c>
      <c r="B116" s="3" t="s">
        <v>280</v>
      </c>
      <c r="C116" s="2">
        <v>43328</v>
      </c>
      <c r="D116" s="9">
        <v>0.78263888888888888</v>
      </c>
      <c r="E116" s="3">
        <f t="shared" ca="1" si="1"/>
        <v>636046167</v>
      </c>
      <c r="F116" t="s">
        <v>11</v>
      </c>
      <c r="G116" t="s">
        <v>14</v>
      </c>
      <c r="H116" s="1" t="s">
        <v>237</v>
      </c>
      <c r="I116" t="s">
        <v>19</v>
      </c>
      <c r="J116" s="4">
        <v>4.5</v>
      </c>
      <c r="K116" s="4">
        <v>58.46</v>
      </c>
      <c r="L116" s="4">
        <v>9</v>
      </c>
      <c r="M116" s="4">
        <v>31.31</v>
      </c>
      <c r="N116" s="4">
        <v>131.285</v>
      </c>
      <c r="O116" s="4">
        <v>727.11</v>
      </c>
      <c r="P116" s="4">
        <v>3.8764546470000001</v>
      </c>
      <c r="Q116" s="4">
        <v>13.92</v>
      </c>
      <c r="R116" s="10"/>
    </row>
    <row r="117" spans="1:18" ht="28.8" x14ac:dyDescent="0.3">
      <c r="A117" t="s">
        <v>2</v>
      </c>
      <c r="B117" s="3" t="s">
        <v>280</v>
      </c>
      <c r="C117" s="2">
        <v>43199</v>
      </c>
      <c r="D117" s="9">
        <v>0.20902777777777778</v>
      </c>
      <c r="E117" s="3">
        <f t="shared" ca="1" si="1"/>
        <v>851091759</v>
      </c>
      <c r="F117" t="s">
        <v>11</v>
      </c>
      <c r="G117" t="s">
        <v>15</v>
      </c>
      <c r="H117" s="1" t="s">
        <v>237</v>
      </c>
      <c r="I117" t="s">
        <v>22</v>
      </c>
      <c r="J117" s="4">
        <v>8.1999999999999993</v>
      </c>
      <c r="K117" s="4">
        <v>35.26</v>
      </c>
      <c r="L117" s="4">
        <v>3</v>
      </c>
      <c r="M117" s="4">
        <v>25.8</v>
      </c>
      <c r="N117" s="4">
        <v>107.3077</v>
      </c>
      <c r="O117" s="4">
        <v>81.06</v>
      </c>
      <c r="P117" s="4">
        <v>3.8764546470000001</v>
      </c>
      <c r="Q117" s="4">
        <v>73.44</v>
      </c>
      <c r="R117" s="10"/>
    </row>
    <row r="118" spans="1:18" x14ac:dyDescent="0.3">
      <c r="A118" t="s">
        <v>3</v>
      </c>
      <c r="B118" s="3" t="s">
        <v>281</v>
      </c>
      <c r="C118" s="2">
        <v>43386</v>
      </c>
      <c r="D118" s="9">
        <v>0.57847222222222228</v>
      </c>
      <c r="E118" s="3">
        <f t="shared" ca="1" si="1"/>
        <v>877398018</v>
      </c>
      <c r="F118" t="s">
        <v>12</v>
      </c>
      <c r="G118" t="s">
        <v>14</v>
      </c>
      <c r="H118" s="1" t="s">
        <v>235</v>
      </c>
      <c r="I118" t="s">
        <v>22</v>
      </c>
      <c r="J118" s="4">
        <v>7.9</v>
      </c>
      <c r="K118" s="4">
        <v>81.14</v>
      </c>
      <c r="L118" s="4">
        <v>5</v>
      </c>
      <c r="M118" s="4">
        <v>61.8</v>
      </c>
      <c r="N118" s="4">
        <v>157.55860000000001</v>
      </c>
      <c r="O118" s="4">
        <v>109.7</v>
      </c>
      <c r="P118" s="4">
        <v>3.8764546470000001</v>
      </c>
      <c r="Q118" s="4">
        <v>30.97</v>
      </c>
      <c r="R118" s="10"/>
    </row>
    <row r="119" spans="1:18" x14ac:dyDescent="0.3">
      <c r="A119" t="s">
        <v>3</v>
      </c>
      <c r="B119" s="3" t="s">
        <v>281</v>
      </c>
      <c r="C119" s="2">
        <v>42911</v>
      </c>
      <c r="D119" s="9">
        <v>0.63194444444444442</v>
      </c>
      <c r="E119" s="3">
        <f t="shared" ca="1" si="1"/>
        <v>219421933</v>
      </c>
      <c r="F119" t="s">
        <v>12</v>
      </c>
      <c r="G119" t="s">
        <v>14</v>
      </c>
      <c r="H119" s="1" t="s">
        <v>235</v>
      </c>
      <c r="I119" t="s">
        <v>22</v>
      </c>
      <c r="J119" s="4">
        <v>6</v>
      </c>
      <c r="K119" s="4">
        <v>69.95</v>
      </c>
      <c r="L119" s="4">
        <v>1</v>
      </c>
      <c r="M119" s="4">
        <v>43.6</v>
      </c>
      <c r="N119" s="4">
        <v>106.1968</v>
      </c>
      <c r="O119" s="4">
        <v>51.36</v>
      </c>
      <c r="P119" s="4">
        <v>3.8764546470000001</v>
      </c>
      <c r="Q119" s="4">
        <v>34.091000000000001</v>
      </c>
      <c r="R119" s="10"/>
    </row>
    <row r="120" spans="1:18" x14ac:dyDescent="0.3">
      <c r="A120" t="s">
        <v>1</v>
      </c>
      <c r="B120" s="3" t="s">
        <v>279</v>
      </c>
      <c r="C120" s="2">
        <v>43269</v>
      </c>
      <c r="D120" s="9">
        <v>0.66111111111111109</v>
      </c>
      <c r="E120" s="3">
        <f t="shared" ca="1" si="1"/>
        <v>745819046</v>
      </c>
      <c r="F120" t="s">
        <v>11</v>
      </c>
      <c r="G120" t="s">
        <v>15</v>
      </c>
      <c r="H120" s="1" t="s">
        <v>235</v>
      </c>
      <c r="I120" t="s">
        <v>21</v>
      </c>
      <c r="J120" s="4">
        <v>7</v>
      </c>
      <c r="K120" s="4">
        <v>40.6</v>
      </c>
      <c r="L120" s="4">
        <v>10</v>
      </c>
      <c r="M120" s="4">
        <v>39.64</v>
      </c>
      <c r="N120" s="4">
        <v>158.42830000000001</v>
      </c>
      <c r="O120" s="4">
        <v>109.6</v>
      </c>
      <c r="P120" s="4">
        <v>3.8764546470000001</v>
      </c>
      <c r="Q120" s="4">
        <v>42.115000000000002</v>
      </c>
      <c r="R120" s="10"/>
    </row>
    <row r="121" spans="1:18" x14ac:dyDescent="0.3">
      <c r="A121" t="s">
        <v>3</v>
      </c>
      <c r="B121" s="3" t="s">
        <v>281</v>
      </c>
      <c r="C121" s="2">
        <v>43087</v>
      </c>
      <c r="D121" s="9">
        <v>7.2916666666666671E-2</v>
      </c>
      <c r="E121" s="3">
        <f t="shared" ca="1" si="1"/>
        <v>224611803</v>
      </c>
      <c r="F121" t="s">
        <v>12</v>
      </c>
      <c r="G121" t="s">
        <v>15</v>
      </c>
      <c r="H121" s="1" t="s">
        <v>235</v>
      </c>
      <c r="I121" t="s">
        <v>19</v>
      </c>
      <c r="J121" s="4">
        <v>3</v>
      </c>
      <c r="K121" s="4">
        <v>75.22</v>
      </c>
      <c r="L121" s="4">
        <v>2</v>
      </c>
      <c r="M121" s="4">
        <v>69.12</v>
      </c>
      <c r="N121" s="4">
        <v>180.32560000000001</v>
      </c>
      <c r="O121" s="4">
        <v>106.88</v>
      </c>
      <c r="P121" s="4">
        <v>3.8764546470000001</v>
      </c>
      <c r="Q121" s="4">
        <v>93.81</v>
      </c>
      <c r="R121" s="10"/>
    </row>
    <row r="122" spans="1:18" ht="28.8" x14ac:dyDescent="0.3">
      <c r="A122" t="s">
        <v>1</v>
      </c>
      <c r="B122" s="3" t="s">
        <v>279</v>
      </c>
      <c r="C122" s="2">
        <v>43432</v>
      </c>
      <c r="D122" s="9">
        <v>0.62222222222222223</v>
      </c>
      <c r="E122" s="3">
        <f t="shared" ca="1" si="1"/>
        <v>237385349</v>
      </c>
      <c r="F122" t="s">
        <v>11</v>
      </c>
      <c r="G122" t="s">
        <v>15</v>
      </c>
      <c r="H122" s="1" t="s">
        <v>237</v>
      </c>
      <c r="I122" t="s">
        <v>18</v>
      </c>
      <c r="J122" s="4">
        <v>2.8</v>
      </c>
      <c r="K122" s="4">
        <v>66.37</v>
      </c>
      <c r="L122" s="4">
        <v>8</v>
      </c>
      <c r="M122" s="4">
        <v>13.26</v>
      </c>
      <c r="N122" s="4">
        <v>159.3674</v>
      </c>
      <c r="O122" s="4">
        <v>796.48</v>
      </c>
      <c r="P122" s="4">
        <v>3.8764546470000001</v>
      </c>
      <c r="Q122" s="4">
        <v>43.98</v>
      </c>
      <c r="R122" s="10"/>
    </row>
    <row r="123" spans="1:18" ht="28.8" x14ac:dyDescent="0.3">
      <c r="A123" t="s">
        <v>2</v>
      </c>
      <c r="B123" s="3" t="s">
        <v>280</v>
      </c>
      <c r="C123" s="2">
        <v>42808</v>
      </c>
      <c r="D123" s="9">
        <v>4.8611111111111112E-3</v>
      </c>
      <c r="E123" s="3">
        <f t="shared" ca="1" si="1"/>
        <v>59799432</v>
      </c>
      <c r="F123" t="s">
        <v>12</v>
      </c>
      <c r="G123" t="s">
        <v>14</v>
      </c>
      <c r="H123" s="1" t="s">
        <v>237</v>
      </c>
      <c r="I123" t="s">
        <v>20</v>
      </c>
      <c r="J123" s="4">
        <v>4.0999999999999996</v>
      </c>
      <c r="K123" s="4">
        <v>73.989999999999995</v>
      </c>
      <c r="L123" s="4">
        <v>7</v>
      </c>
      <c r="M123" s="4">
        <v>67.06</v>
      </c>
      <c r="N123" s="4">
        <v>172.77809999999999</v>
      </c>
      <c r="O123" s="4">
        <v>399.84</v>
      </c>
      <c r="P123" s="4">
        <v>3.8764546470000001</v>
      </c>
      <c r="Q123" s="4">
        <v>68.58</v>
      </c>
      <c r="R123" s="10"/>
    </row>
    <row r="124" spans="1:18" ht="28.8" x14ac:dyDescent="0.3">
      <c r="A124" t="s">
        <v>3</v>
      </c>
      <c r="B124" s="3" t="s">
        <v>281</v>
      </c>
      <c r="C124" s="2">
        <v>43445</v>
      </c>
      <c r="D124" s="9">
        <v>0.83125000000000004</v>
      </c>
      <c r="E124" s="3">
        <f t="shared" ca="1" si="1"/>
        <v>525375256</v>
      </c>
      <c r="F124" t="s">
        <v>12</v>
      </c>
      <c r="G124" t="s">
        <v>14</v>
      </c>
      <c r="H124" s="1" t="s">
        <v>237</v>
      </c>
      <c r="I124" t="s">
        <v>20</v>
      </c>
      <c r="J124" s="4">
        <v>9.8000000000000007</v>
      </c>
      <c r="K124" s="4">
        <v>67.81</v>
      </c>
      <c r="L124" s="4">
        <v>9</v>
      </c>
      <c r="M124" s="4">
        <v>90.8</v>
      </c>
      <c r="N124" s="4">
        <v>119.38630000000001</v>
      </c>
      <c r="O124" s="4">
        <v>899.64</v>
      </c>
      <c r="P124" s="4">
        <v>3.8764546470000001</v>
      </c>
      <c r="Q124" s="4">
        <v>18.343</v>
      </c>
      <c r="R124" s="10"/>
    </row>
    <row r="125" spans="1:18" ht="28.8" x14ac:dyDescent="0.3">
      <c r="A125" t="s">
        <v>2</v>
      </c>
      <c r="B125" s="3" t="s">
        <v>280</v>
      </c>
      <c r="C125" s="2">
        <v>43123</v>
      </c>
      <c r="D125" s="9">
        <v>0.5395833333333333</v>
      </c>
      <c r="E125" s="3">
        <f t="shared" ca="1" si="1"/>
        <v>383445864</v>
      </c>
      <c r="F125" t="s">
        <v>12</v>
      </c>
      <c r="G125" t="s">
        <v>14</v>
      </c>
      <c r="H125" s="1" t="s">
        <v>237</v>
      </c>
      <c r="I125" t="s">
        <v>19</v>
      </c>
      <c r="J125" s="4">
        <v>3.7</v>
      </c>
      <c r="K125" s="4">
        <v>70.56</v>
      </c>
      <c r="L125" s="4">
        <v>8</v>
      </c>
      <c r="M125" s="4">
        <v>62.7</v>
      </c>
      <c r="N125" s="4">
        <v>120.2908</v>
      </c>
      <c r="O125" s="4">
        <v>511.28</v>
      </c>
      <c r="P125" s="4">
        <v>3.8764546470000001</v>
      </c>
      <c r="Q125" s="4">
        <v>96.965999999999994</v>
      </c>
      <c r="R125" s="10"/>
    </row>
    <row r="126" spans="1:18" x14ac:dyDescent="0.3">
      <c r="A126" t="s">
        <v>3</v>
      </c>
      <c r="B126" s="3" t="s">
        <v>281</v>
      </c>
      <c r="C126" s="2">
        <v>42852</v>
      </c>
      <c r="D126" s="9">
        <v>0.92847222222222225</v>
      </c>
      <c r="E126" s="3">
        <f t="shared" ca="1" si="1"/>
        <v>328594033</v>
      </c>
      <c r="F126" t="s">
        <v>11</v>
      </c>
      <c r="G126" t="s">
        <v>14</v>
      </c>
      <c r="H126" s="1" t="s">
        <v>235</v>
      </c>
      <c r="I126" t="s">
        <v>22</v>
      </c>
      <c r="J126" s="4">
        <v>8.3000000000000007</v>
      </c>
      <c r="K126" s="4">
        <v>72.94</v>
      </c>
      <c r="L126" s="4">
        <v>8</v>
      </c>
      <c r="M126" s="4">
        <v>97.7</v>
      </c>
      <c r="N126" s="4">
        <v>182.1345</v>
      </c>
      <c r="O126" s="4">
        <v>451.76</v>
      </c>
      <c r="P126" s="4">
        <v>3.8764546470000001</v>
      </c>
      <c r="Q126" s="4">
        <v>23.69</v>
      </c>
      <c r="R126" s="10"/>
    </row>
    <row r="127" spans="1:18" ht="28.8" x14ac:dyDescent="0.3">
      <c r="A127" t="s">
        <v>1</v>
      </c>
      <c r="B127" s="3" t="s">
        <v>279</v>
      </c>
      <c r="C127" s="2">
        <v>43095</v>
      </c>
      <c r="D127" s="9">
        <v>0.7583333333333333</v>
      </c>
      <c r="E127" s="3">
        <f t="shared" ca="1" si="1"/>
        <v>974362485</v>
      </c>
      <c r="F127" t="s">
        <v>11</v>
      </c>
      <c r="G127" t="s">
        <v>15</v>
      </c>
      <c r="H127" s="1" t="s">
        <v>237</v>
      </c>
      <c r="I127" t="s">
        <v>19</v>
      </c>
      <c r="J127" s="4">
        <v>8</v>
      </c>
      <c r="K127" s="4">
        <v>62.88</v>
      </c>
      <c r="L127" s="4">
        <v>7</v>
      </c>
      <c r="M127" s="4">
        <v>85.2</v>
      </c>
      <c r="N127" s="4">
        <v>129.93430000000001</v>
      </c>
      <c r="O127" s="4">
        <v>655.83</v>
      </c>
      <c r="P127" s="4">
        <v>3.8764546470000001</v>
      </c>
      <c r="Q127" s="4">
        <v>59.97</v>
      </c>
      <c r="R127" s="10"/>
    </row>
    <row r="128" spans="1:18" x14ac:dyDescent="0.3">
      <c r="A128" t="s">
        <v>1</v>
      </c>
      <c r="B128" s="3" t="s">
        <v>279</v>
      </c>
      <c r="C128" s="2">
        <v>43091</v>
      </c>
      <c r="D128" s="9">
        <v>0.50069444444444444</v>
      </c>
      <c r="E128" s="3">
        <f t="shared" ca="1" si="1"/>
        <v>714347027</v>
      </c>
      <c r="F128" t="s">
        <v>11</v>
      </c>
      <c r="G128" t="s">
        <v>15</v>
      </c>
      <c r="H128" s="1" t="s">
        <v>236</v>
      </c>
      <c r="I128" t="s">
        <v>20</v>
      </c>
      <c r="J128" s="4">
        <v>1.6</v>
      </c>
      <c r="K128" s="4">
        <v>43.14</v>
      </c>
      <c r="L128" s="4">
        <v>5</v>
      </c>
      <c r="M128" s="4">
        <v>33.21</v>
      </c>
      <c r="N128" s="4">
        <v>166.12530000000001</v>
      </c>
      <c r="O128" s="4">
        <v>161.25</v>
      </c>
      <c r="P128" s="4">
        <v>3.8764546470000001</v>
      </c>
      <c r="Q128" s="4">
        <v>27.04</v>
      </c>
      <c r="R128" s="10"/>
    </row>
    <row r="129" spans="1:18" ht="28.8" x14ac:dyDescent="0.3">
      <c r="A129" t="s">
        <v>2</v>
      </c>
      <c r="B129" s="3" t="s">
        <v>280</v>
      </c>
      <c r="C129" s="2">
        <v>43425</v>
      </c>
      <c r="D129" s="9">
        <v>6.805555555555555E-2</v>
      </c>
      <c r="E129" s="3">
        <f t="shared" ca="1" si="1"/>
        <v>419969844</v>
      </c>
      <c r="F129" t="s">
        <v>11</v>
      </c>
      <c r="G129" t="s">
        <v>15</v>
      </c>
      <c r="H129" s="1" t="s">
        <v>237</v>
      </c>
      <c r="I129" t="s">
        <v>22</v>
      </c>
      <c r="J129" s="4">
        <v>4</v>
      </c>
      <c r="K129" s="4">
        <v>14.15</v>
      </c>
      <c r="L129" s="4">
        <v>9</v>
      </c>
      <c r="M129" s="4">
        <v>64.39</v>
      </c>
      <c r="N129" s="4">
        <v>187.1575</v>
      </c>
      <c r="O129" s="4">
        <v>285.57</v>
      </c>
      <c r="P129" s="4">
        <v>3.8764546470000001</v>
      </c>
      <c r="Q129" s="4">
        <v>88.45</v>
      </c>
      <c r="R129" s="10"/>
    </row>
    <row r="130" spans="1:18" x14ac:dyDescent="0.3">
      <c r="A130" t="s">
        <v>2</v>
      </c>
      <c r="B130" s="3" t="s">
        <v>280</v>
      </c>
      <c r="C130" s="2">
        <v>43311</v>
      </c>
      <c r="D130" s="9">
        <v>0.66597222222222219</v>
      </c>
      <c r="E130" s="3">
        <f t="shared" ca="1" si="1"/>
        <v>310939307</v>
      </c>
      <c r="F130" t="s">
        <v>11</v>
      </c>
      <c r="G130" t="s">
        <v>14</v>
      </c>
      <c r="H130" s="1" t="s">
        <v>235</v>
      </c>
      <c r="I130" t="s">
        <v>21</v>
      </c>
      <c r="J130" s="4">
        <v>9</v>
      </c>
      <c r="K130" s="4">
        <v>68.599999999999994</v>
      </c>
      <c r="L130" s="4">
        <v>8</v>
      </c>
      <c r="M130" s="4">
        <v>96.85</v>
      </c>
      <c r="N130" s="4">
        <v>116.6294</v>
      </c>
      <c r="O130" s="4">
        <v>548.32000000000005</v>
      </c>
      <c r="P130" s="4">
        <v>3.8764546470000001</v>
      </c>
      <c r="Q130" s="4">
        <v>65.41</v>
      </c>
      <c r="R130" s="10"/>
    </row>
    <row r="131" spans="1:18" x14ac:dyDescent="0.3">
      <c r="A131" t="s">
        <v>3</v>
      </c>
      <c r="B131" s="3" t="s">
        <v>281</v>
      </c>
      <c r="C131" s="2">
        <v>43182</v>
      </c>
      <c r="D131" s="9">
        <v>1.4583333333333334E-2</v>
      </c>
      <c r="E131" s="3">
        <f t="shared" ref="E131:E194" ca="1" si="2">RANDBETWEEN(10000000,1000000000)</f>
        <v>256033583</v>
      </c>
      <c r="F131" t="s">
        <v>11</v>
      </c>
      <c r="G131" t="s">
        <v>15</v>
      </c>
      <c r="H131" s="1" t="s">
        <v>235</v>
      </c>
      <c r="I131" t="s">
        <v>20</v>
      </c>
      <c r="J131" s="4">
        <v>2</v>
      </c>
      <c r="K131" s="4">
        <v>30.11</v>
      </c>
      <c r="L131" s="4">
        <v>9</v>
      </c>
      <c r="M131" s="4">
        <v>21.99</v>
      </c>
      <c r="N131" s="4">
        <v>142.5949</v>
      </c>
      <c r="O131" s="4">
        <v>812.52</v>
      </c>
      <c r="P131" s="4">
        <v>3.8764546470000001</v>
      </c>
      <c r="Q131" s="4">
        <v>61.423999999999999</v>
      </c>
      <c r="R131" s="10"/>
    </row>
    <row r="132" spans="1:18" x14ac:dyDescent="0.3">
      <c r="A132" t="s">
        <v>3</v>
      </c>
      <c r="B132" s="3" t="s">
        <v>281</v>
      </c>
      <c r="C132" s="2">
        <v>43309</v>
      </c>
      <c r="D132" s="9">
        <v>0.26250000000000001</v>
      </c>
      <c r="E132" s="3">
        <f t="shared" ca="1" si="2"/>
        <v>233108793</v>
      </c>
      <c r="F132" t="s">
        <v>11</v>
      </c>
      <c r="G132" t="s">
        <v>15</v>
      </c>
      <c r="H132" s="1" t="s">
        <v>236</v>
      </c>
      <c r="I132" t="s">
        <v>22</v>
      </c>
      <c r="J132" s="4">
        <v>3.5</v>
      </c>
      <c r="K132" s="4">
        <v>64.33</v>
      </c>
      <c r="L132" s="4">
        <v>7</v>
      </c>
      <c r="M132" s="4">
        <v>57.2</v>
      </c>
      <c r="N132" s="4">
        <v>102.6422</v>
      </c>
      <c r="O132" s="4">
        <v>277.33999999999997</v>
      </c>
      <c r="P132" s="4">
        <v>3.8764546470000001</v>
      </c>
      <c r="Q132" s="4">
        <v>29.8</v>
      </c>
      <c r="R132" s="10"/>
    </row>
    <row r="133" spans="1:18" x14ac:dyDescent="0.3">
      <c r="A133" t="s">
        <v>1</v>
      </c>
      <c r="B133" s="3" t="s">
        <v>279</v>
      </c>
      <c r="C133" s="2">
        <v>43300</v>
      </c>
      <c r="D133" s="9">
        <v>0.7583333333333333</v>
      </c>
      <c r="E133" s="3">
        <f t="shared" ca="1" si="2"/>
        <v>857464799</v>
      </c>
      <c r="F133" t="s">
        <v>11</v>
      </c>
      <c r="G133" t="s">
        <v>14</v>
      </c>
      <c r="H133" s="1" t="s">
        <v>236</v>
      </c>
      <c r="I133" t="s">
        <v>20</v>
      </c>
      <c r="J133" s="4">
        <v>7.9</v>
      </c>
      <c r="K133" s="4">
        <v>10.89</v>
      </c>
      <c r="L133" s="4">
        <v>6</v>
      </c>
      <c r="M133" s="4">
        <v>80.72</v>
      </c>
      <c r="N133" s="4">
        <v>144.74019999999999</v>
      </c>
      <c r="O133" s="4">
        <v>552.78</v>
      </c>
      <c r="P133" s="4">
        <v>3.8764546470000001</v>
      </c>
      <c r="Q133" s="4">
        <v>43.097999999999999</v>
      </c>
      <c r="R133" s="10"/>
    </row>
    <row r="134" spans="1:18" x14ac:dyDescent="0.3">
      <c r="A134" t="s">
        <v>3</v>
      </c>
      <c r="B134" s="3" t="s">
        <v>281</v>
      </c>
      <c r="C134" s="2">
        <v>43009</v>
      </c>
      <c r="D134" s="9">
        <v>0.25277777777777777</v>
      </c>
      <c r="E134" s="3">
        <f t="shared" ca="1" si="2"/>
        <v>670904263</v>
      </c>
      <c r="F134" t="s">
        <v>11</v>
      </c>
      <c r="G134" t="s">
        <v>15</v>
      </c>
      <c r="H134" s="1" t="s">
        <v>236</v>
      </c>
      <c r="I134" t="s">
        <v>20</v>
      </c>
      <c r="J134" s="4">
        <v>2.4</v>
      </c>
      <c r="K134" s="4">
        <v>91.44</v>
      </c>
      <c r="L134" s="4">
        <v>4</v>
      </c>
      <c r="M134" s="4">
        <v>97.71</v>
      </c>
      <c r="N134" s="4">
        <v>149.90940000000001</v>
      </c>
      <c r="O134" s="4">
        <v>139.36000000000001</v>
      </c>
      <c r="P134" s="4">
        <v>3.8764546470000001</v>
      </c>
      <c r="Q134" s="4">
        <v>59.929000000000002</v>
      </c>
      <c r="R134" s="10"/>
    </row>
    <row r="135" spans="1:18" ht="28.8" x14ac:dyDescent="0.3">
      <c r="A135" t="s">
        <v>3</v>
      </c>
      <c r="B135" s="3" t="s">
        <v>281</v>
      </c>
      <c r="C135" s="2">
        <v>43201</v>
      </c>
      <c r="D135" s="9">
        <v>0.70972222222222225</v>
      </c>
      <c r="E135" s="3">
        <f t="shared" ca="1" si="2"/>
        <v>587852893</v>
      </c>
      <c r="F135" t="s">
        <v>12</v>
      </c>
      <c r="G135" t="s">
        <v>14</v>
      </c>
      <c r="H135" s="1" t="s">
        <v>237</v>
      </c>
      <c r="I135" t="s">
        <v>18</v>
      </c>
      <c r="J135" s="4">
        <v>6</v>
      </c>
      <c r="K135" s="4">
        <v>11.71</v>
      </c>
      <c r="L135" s="4">
        <v>6</v>
      </c>
      <c r="M135" s="4">
        <v>88</v>
      </c>
      <c r="N135" s="4">
        <v>125.7427</v>
      </c>
      <c r="O135" s="4">
        <v>524.70000000000005</v>
      </c>
      <c r="P135" s="4">
        <v>3.8764546470000001</v>
      </c>
      <c r="Q135" s="4">
        <v>14.127000000000001</v>
      </c>
      <c r="R135" s="10"/>
    </row>
    <row r="136" spans="1:18" x14ac:dyDescent="0.3">
      <c r="A136" t="s">
        <v>2</v>
      </c>
      <c r="B136" s="3" t="s">
        <v>280</v>
      </c>
      <c r="C136" s="2">
        <v>43392</v>
      </c>
      <c r="D136" s="9">
        <v>0.9770833333333333</v>
      </c>
      <c r="E136" s="3">
        <f t="shared" ca="1" si="2"/>
        <v>207294838</v>
      </c>
      <c r="F136" t="s">
        <v>11</v>
      </c>
      <c r="G136" t="s">
        <v>15</v>
      </c>
      <c r="H136" s="1" t="s">
        <v>235</v>
      </c>
      <c r="I136" t="s">
        <v>17</v>
      </c>
      <c r="J136" s="4">
        <v>2</v>
      </c>
      <c r="K136" s="4">
        <v>71.31</v>
      </c>
      <c r="L136" s="4">
        <v>6</v>
      </c>
      <c r="M136" s="4">
        <v>11.12</v>
      </c>
      <c r="N136" s="4">
        <v>131.88499999999999</v>
      </c>
      <c r="O136" s="4">
        <v>487.8</v>
      </c>
      <c r="P136" s="4">
        <v>3.8764546470000001</v>
      </c>
      <c r="Q136" s="4">
        <v>92.32</v>
      </c>
      <c r="R136" s="10"/>
    </row>
    <row r="137" spans="1:18" x14ac:dyDescent="0.3">
      <c r="A137" t="s">
        <v>2</v>
      </c>
      <c r="B137" s="3" t="s">
        <v>280</v>
      </c>
      <c r="C137" s="2">
        <v>43459</v>
      </c>
      <c r="D137" s="9">
        <v>0</v>
      </c>
      <c r="E137" s="3">
        <f t="shared" ca="1" si="2"/>
        <v>958880056</v>
      </c>
      <c r="F137" t="s">
        <v>12</v>
      </c>
      <c r="G137" t="s">
        <v>15</v>
      </c>
      <c r="H137" s="1" t="s">
        <v>236</v>
      </c>
      <c r="I137" t="s">
        <v>22</v>
      </c>
      <c r="J137" s="4">
        <v>6.7</v>
      </c>
      <c r="K137" s="4">
        <v>63.81</v>
      </c>
      <c r="L137" s="4">
        <v>3</v>
      </c>
      <c r="M137" s="4">
        <v>88.4</v>
      </c>
      <c r="N137" s="4">
        <v>109.9654</v>
      </c>
      <c r="O137" s="4">
        <v>270.66000000000003</v>
      </c>
      <c r="P137" s="4">
        <v>3.8764546470000001</v>
      </c>
      <c r="Q137" s="4">
        <v>48.4</v>
      </c>
      <c r="R137" s="10"/>
    </row>
    <row r="138" spans="1:18" ht="28.8" x14ac:dyDescent="0.3">
      <c r="A138" t="s">
        <v>1</v>
      </c>
      <c r="B138" s="3" t="s">
        <v>279</v>
      </c>
      <c r="C138" s="2">
        <v>43039</v>
      </c>
      <c r="D138" s="9">
        <v>0.4861111111111111</v>
      </c>
      <c r="E138" s="3">
        <f t="shared" ca="1" si="2"/>
        <v>553017281</v>
      </c>
      <c r="F138" t="s">
        <v>11</v>
      </c>
      <c r="G138" t="s">
        <v>15</v>
      </c>
      <c r="H138" s="1" t="s">
        <v>237</v>
      </c>
      <c r="I138" t="s">
        <v>18</v>
      </c>
      <c r="J138" s="4">
        <v>8.1999999999999993</v>
      </c>
      <c r="K138" s="4">
        <v>64.23</v>
      </c>
      <c r="L138" s="4">
        <v>5</v>
      </c>
      <c r="M138" s="4">
        <v>45.43</v>
      </c>
      <c r="N138" s="4">
        <v>189.83799999999999</v>
      </c>
      <c r="O138" s="4">
        <v>131.55000000000001</v>
      </c>
      <c r="P138" s="4">
        <v>3.8764546470000001</v>
      </c>
      <c r="Q138" s="4">
        <v>90.802000000000007</v>
      </c>
      <c r="R138" s="10"/>
    </row>
    <row r="139" spans="1:18" x14ac:dyDescent="0.3">
      <c r="A139" t="s">
        <v>1</v>
      </c>
      <c r="B139" s="3" t="s">
        <v>279</v>
      </c>
      <c r="C139" s="2">
        <v>43206</v>
      </c>
      <c r="D139" s="9">
        <v>0.68055555555555558</v>
      </c>
      <c r="E139" s="3">
        <f t="shared" ca="1" si="2"/>
        <v>447086197</v>
      </c>
      <c r="F139" t="s">
        <v>11</v>
      </c>
      <c r="G139" t="s">
        <v>14</v>
      </c>
      <c r="H139" s="1" t="s">
        <v>236</v>
      </c>
      <c r="I139" t="s">
        <v>19</v>
      </c>
      <c r="J139" s="4">
        <v>3</v>
      </c>
      <c r="K139" s="4">
        <v>12.43</v>
      </c>
      <c r="L139" s="4">
        <v>6</v>
      </c>
      <c r="M139" s="4">
        <v>25.1</v>
      </c>
      <c r="N139" s="4">
        <v>189.685</v>
      </c>
      <c r="O139" s="4">
        <v>206.52</v>
      </c>
      <c r="P139" s="4">
        <v>3.8764546470000001</v>
      </c>
      <c r="Q139" s="4">
        <v>96.635999999999996</v>
      </c>
      <c r="R139" s="10"/>
    </row>
    <row r="140" spans="1:18" x14ac:dyDescent="0.3">
      <c r="A140" t="s">
        <v>3</v>
      </c>
      <c r="B140" s="3" t="s">
        <v>281</v>
      </c>
      <c r="C140" s="2">
        <v>43411</v>
      </c>
      <c r="D140" s="9">
        <v>0.875</v>
      </c>
      <c r="E140" s="3">
        <f t="shared" ca="1" si="2"/>
        <v>729633189</v>
      </c>
      <c r="F140" t="s">
        <v>12</v>
      </c>
      <c r="G140" t="s">
        <v>15</v>
      </c>
      <c r="H140" s="1" t="s">
        <v>236</v>
      </c>
      <c r="I140" t="s">
        <v>20</v>
      </c>
      <c r="J140" s="4">
        <v>1</v>
      </c>
      <c r="K140" s="4">
        <v>42.98</v>
      </c>
      <c r="L140" s="4">
        <v>10</v>
      </c>
      <c r="M140" s="4">
        <v>17.920000000000002</v>
      </c>
      <c r="N140" s="4">
        <v>136.73920000000001</v>
      </c>
      <c r="O140" s="4">
        <v>519.1</v>
      </c>
      <c r="P140" s="4">
        <v>3.8764546470000001</v>
      </c>
      <c r="Q140" s="4">
        <v>12.294</v>
      </c>
      <c r="R140" s="10"/>
    </row>
    <row r="141" spans="1:18" x14ac:dyDescent="0.3">
      <c r="A141" t="s">
        <v>1</v>
      </c>
      <c r="B141" s="3" t="s">
        <v>279</v>
      </c>
      <c r="C141" s="2">
        <v>42799</v>
      </c>
      <c r="D141" s="9">
        <v>0.46666666666666667</v>
      </c>
      <c r="E141" s="3">
        <f t="shared" ca="1" si="2"/>
        <v>868351748</v>
      </c>
      <c r="F141" t="s">
        <v>12</v>
      </c>
      <c r="G141" t="s">
        <v>15</v>
      </c>
      <c r="H141" s="1" t="s">
        <v>235</v>
      </c>
      <c r="I141" t="s">
        <v>20</v>
      </c>
      <c r="J141" s="4">
        <v>9.6999999999999993</v>
      </c>
      <c r="K141" s="4">
        <v>37.86</v>
      </c>
      <c r="L141" s="4">
        <v>8</v>
      </c>
      <c r="M141" s="4">
        <v>90.8</v>
      </c>
      <c r="N141" s="4">
        <v>187.99930000000001</v>
      </c>
      <c r="O141" s="4">
        <v>580</v>
      </c>
      <c r="P141" s="4">
        <v>3.8764546470000001</v>
      </c>
      <c r="Q141" s="4">
        <v>99.766999999999996</v>
      </c>
      <c r="R141" s="10"/>
    </row>
    <row r="142" spans="1:18" ht="28.8" x14ac:dyDescent="0.3">
      <c r="A142" t="s">
        <v>2</v>
      </c>
      <c r="B142" s="3" t="s">
        <v>280</v>
      </c>
      <c r="C142" s="2">
        <v>43090</v>
      </c>
      <c r="D142" s="9">
        <v>0.63194444444444442</v>
      </c>
      <c r="E142" s="3">
        <f t="shared" ca="1" si="2"/>
        <v>41586154</v>
      </c>
      <c r="F142" t="s">
        <v>11</v>
      </c>
      <c r="G142" t="s">
        <v>14</v>
      </c>
      <c r="H142" s="1" t="s">
        <v>237</v>
      </c>
      <c r="I142" t="s">
        <v>20</v>
      </c>
      <c r="J142" s="4">
        <v>5</v>
      </c>
      <c r="K142" s="4">
        <v>84.17</v>
      </c>
      <c r="L142" s="4">
        <v>10</v>
      </c>
      <c r="M142" s="4">
        <v>28.06</v>
      </c>
      <c r="N142" s="4">
        <v>174.94970000000001</v>
      </c>
      <c r="O142" s="4">
        <v>898</v>
      </c>
      <c r="P142" s="4">
        <v>3.8764546470000001</v>
      </c>
      <c r="Q142" s="4">
        <v>28.33</v>
      </c>
      <c r="R142" s="10"/>
    </row>
    <row r="143" spans="1:18" x14ac:dyDescent="0.3">
      <c r="A143" t="s">
        <v>2</v>
      </c>
      <c r="B143" s="3" t="s">
        <v>280</v>
      </c>
      <c r="C143" s="2">
        <v>43409</v>
      </c>
      <c r="D143" s="9">
        <v>0.23333333333333334</v>
      </c>
      <c r="E143" s="3">
        <f t="shared" ca="1" si="2"/>
        <v>810635345</v>
      </c>
      <c r="F143" t="s">
        <v>12</v>
      </c>
      <c r="G143" t="s">
        <v>14</v>
      </c>
      <c r="H143" s="1" t="s">
        <v>236</v>
      </c>
      <c r="I143" t="s">
        <v>17</v>
      </c>
      <c r="J143" s="4">
        <v>7.2</v>
      </c>
      <c r="K143" s="4">
        <v>72.510000000000005</v>
      </c>
      <c r="L143" s="4">
        <v>10</v>
      </c>
      <c r="M143" s="4">
        <v>13.85</v>
      </c>
      <c r="N143" s="4">
        <v>144.30109999999999</v>
      </c>
      <c r="O143" s="4">
        <v>905</v>
      </c>
      <c r="P143" s="4">
        <v>3.8764546470000001</v>
      </c>
      <c r="Q143" s="4">
        <v>59.45</v>
      </c>
      <c r="R143" s="10"/>
    </row>
    <row r="144" spans="1:18" x14ac:dyDescent="0.3">
      <c r="A144" t="s">
        <v>2</v>
      </c>
      <c r="B144" s="3" t="s">
        <v>280</v>
      </c>
      <c r="C144" s="2">
        <v>42952</v>
      </c>
      <c r="D144" s="9">
        <v>0.84097222222222223</v>
      </c>
      <c r="E144" s="3">
        <f t="shared" ca="1" si="2"/>
        <v>736621145</v>
      </c>
      <c r="F144" t="s">
        <v>11</v>
      </c>
      <c r="G144" t="s">
        <v>14</v>
      </c>
      <c r="H144" s="1" t="s">
        <v>236</v>
      </c>
      <c r="I144" t="s">
        <v>17</v>
      </c>
      <c r="J144" s="4">
        <v>1</v>
      </c>
      <c r="K144" s="4">
        <v>22.82</v>
      </c>
      <c r="L144" s="4">
        <v>10</v>
      </c>
      <c r="M144" s="4">
        <v>88.54</v>
      </c>
      <c r="N144" s="4">
        <v>154.0224</v>
      </c>
      <c r="O144" s="4">
        <v>686</v>
      </c>
      <c r="P144" s="4">
        <v>3.8764546470000001</v>
      </c>
      <c r="Q144" s="4">
        <v>58.41</v>
      </c>
      <c r="R144" s="10"/>
    </row>
    <row r="145" spans="1:18" ht="28.8" x14ac:dyDescent="0.3">
      <c r="A145" t="s">
        <v>2</v>
      </c>
      <c r="B145" s="3" t="s">
        <v>280</v>
      </c>
      <c r="C145" s="2">
        <v>43395</v>
      </c>
      <c r="D145" s="9">
        <v>0.69027777777777777</v>
      </c>
      <c r="E145" s="3">
        <f t="shared" ca="1" si="2"/>
        <v>14822287</v>
      </c>
      <c r="F145" t="s">
        <v>11</v>
      </c>
      <c r="G145" t="s">
        <v>14</v>
      </c>
      <c r="H145" s="1" t="s">
        <v>237</v>
      </c>
      <c r="I145" t="s">
        <v>21</v>
      </c>
      <c r="J145" s="4">
        <v>8.1999999999999993</v>
      </c>
      <c r="K145" s="4">
        <v>76.14</v>
      </c>
      <c r="L145" s="4">
        <v>1</v>
      </c>
      <c r="M145" s="4">
        <v>26.23</v>
      </c>
      <c r="N145" s="4">
        <v>158.32069999999999</v>
      </c>
      <c r="O145" s="4">
        <v>30.41</v>
      </c>
      <c r="P145" s="4">
        <v>3.8764546470000001</v>
      </c>
      <c r="Q145" s="4">
        <v>72.947999999999993</v>
      </c>
      <c r="R145" s="10"/>
    </row>
    <row r="146" spans="1:18" x14ac:dyDescent="0.3">
      <c r="A146" t="s">
        <v>1</v>
      </c>
      <c r="B146" s="3" t="s">
        <v>279</v>
      </c>
      <c r="C146" s="2">
        <v>43103</v>
      </c>
      <c r="D146" s="9">
        <v>0.33055555555555555</v>
      </c>
      <c r="E146" s="3">
        <f t="shared" ca="1" si="2"/>
        <v>76761169</v>
      </c>
      <c r="F146" t="s">
        <v>11</v>
      </c>
      <c r="G146" t="s">
        <v>15</v>
      </c>
      <c r="H146" s="1" t="s">
        <v>235</v>
      </c>
      <c r="I146" t="s">
        <v>19</v>
      </c>
      <c r="J146" s="4">
        <v>4</v>
      </c>
      <c r="K146" s="4">
        <v>48.83</v>
      </c>
      <c r="L146" s="4">
        <v>6</v>
      </c>
      <c r="M146" s="4">
        <v>83.52</v>
      </c>
      <c r="N146" s="4">
        <v>134.73009999999999</v>
      </c>
      <c r="O146" s="4">
        <v>467.7</v>
      </c>
      <c r="P146" s="4">
        <v>3.8764546470000001</v>
      </c>
      <c r="Q146" s="4">
        <v>22.081</v>
      </c>
      <c r="R146" s="10"/>
    </row>
    <row r="147" spans="1:18" ht="28.8" x14ac:dyDescent="0.3">
      <c r="A147" t="s">
        <v>2</v>
      </c>
      <c r="B147" s="3" t="s">
        <v>280</v>
      </c>
      <c r="C147" s="2">
        <v>42908</v>
      </c>
      <c r="D147" s="9">
        <v>0.12152777777777778</v>
      </c>
      <c r="E147" s="3">
        <f t="shared" ca="1" si="2"/>
        <v>904697877</v>
      </c>
      <c r="F147" t="s">
        <v>11</v>
      </c>
      <c r="G147" t="s">
        <v>15</v>
      </c>
      <c r="H147" s="1" t="s">
        <v>237</v>
      </c>
      <c r="I147" t="s">
        <v>17</v>
      </c>
      <c r="J147" s="4">
        <v>7.8</v>
      </c>
      <c r="K147" s="4">
        <v>35.049999999999997</v>
      </c>
      <c r="L147" s="4">
        <v>6</v>
      </c>
      <c r="M147" s="4">
        <v>56.67</v>
      </c>
      <c r="N147" s="4">
        <v>136.12880000000001</v>
      </c>
      <c r="O147" s="4">
        <v>277.56</v>
      </c>
      <c r="P147" s="4">
        <v>3.8764546470000001</v>
      </c>
      <c r="Q147" s="4">
        <v>93.947000000000003</v>
      </c>
      <c r="R147" s="10"/>
    </row>
    <row r="148" spans="1:18" x14ac:dyDescent="0.3">
      <c r="A148" t="s">
        <v>1</v>
      </c>
      <c r="B148" s="3" t="s">
        <v>279</v>
      </c>
      <c r="C148" s="2">
        <v>42932</v>
      </c>
      <c r="D148" s="9">
        <v>2.9166666666666667E-2</v>
      </c>
      <c r="E148" s="3">
        <f t="shared" ca="1" si="2"/>
        <v>554998133</v>
      </c>
      <c r="F148" t="s">
        <v>11</v>
      </c>
      <c r="G148" t="s">
        <v>14</v>
      </c>
      <c r="H148" s="1" t="s">
        <v>235</v>
      </c>
      <c r="I148" t="s">
        <v>22</v>
      </c>
      <c r="J148" s="4">
        <v>5</v>
      </c>
      <c r="K148" s="4">
        <v>35.200000000000003</v>
      </c>
      <c r="L148" s="4">
        <v>10</v>
      </c>
      <c r="M148" s="4">
        <v>86.2</v>
      </c>
      <c r="N148" s="4">
        <v>113.23480000000001</v>
      </c>
      <c r="O148" s="4">
        <v>301.39999999999998</v>
      </c>
      <c r="P148" s="4">
        <v>3.8764546470000001</v>
      </c>
      <c r="Q148" s="4">
        <v>75.3</v>
      </c>
      <c r="R148" s="10"/>
    </row>
    <row r="149" spans="1:18" ht="28.8" x14ac:dyDescent="0.3">
      <c r="A149" t="s">
        <v>2</v>
      </c>
      <c r="B149" s="3" t="s">
        <v>280</v>
      </c>
      <c r="C149" s="2">
        <v>42995</v>
      </c>
      <c r="D149" s="9">
        <v>0.27708333333333335</v>
      </c>
      <c r="E149" s="3">
        <f t="shared" ca="1" si="2"/>
        <v>214670341</v>
      </c>
      <c r="F149" t="s">
        <v>12</v>
      </c>
      <c r="G149" t="s">
        <v>15</v>
      </c>
      <c r="H149" s="1" t="s">
        <v>237</v>
      </c>
      <c r="I149" t="s">
        <v>17</v>
      </c>
      <c r="J149" s="4">
        <v>9.8000000000000007</v>
      </c>
      <c r="K149" s="4">
        <v>23.57</v>
      </c>
      <c r="L149" s="4">
        <v>4</v>
      </c>
      <c r="M149" s="4">
        <v>31.79</v>
      </c>
      <c r="N149" s="4">
        <v>155.71190000000001</v>
      </c>
      <c r="O149" s="4">
        <v>264.56</v>
      </c>
      <c r="P149" s="4">
        <v>3.8764546470000001</v>
      </c>
      <c r="Q149" s="4">
        <v>45.62</v>
      </c>
      <c r="R149" s="10"/>
    </row>
    <row r="150" spans="1:18" ht="28.8" x14ac:dyDescent="0.3">
      <c r="A150" t="s">
        <v>3</v>
      </c>
      <c r="B150" s="3" t="s">
        <v>281</v>
      </c>
      <c r="C150" s="2">
        <v>43392</v>
      </c>
      <c r="D150" s="9">
        <v>0.96250000000000002</v>
      </c>
      <c r="E150" s="3">
        <f t="shared" ca="1" si="2"/>
        <v>543257227</v>
      </c>
      <c r="F150" t="s">
        <v>12</v>
      </c>
      <c r="G150" t="s">
        <v>14</v>
      </c>
      <c r="H150" s="1" t="s">
        <v>237</v>
      </c>
      <c r="I150" t="s">
        <v>19</v>
      </c>
      <c r="J150" s="4">
        <v>9.6</v>
      </c>
      <c r="K150" s="4">
        <v>30.8</v>
      </c>
      <c r="L150" s="4">
        <v>8</v>
      </c>
      <c r="M150" s="4">
        <v>89.67</v>
      </c>
      <c r="N150" s="4">
        <v>104.34180000000001</v>
      </c>
      <c r="O150" s="4">
        <v>574.88</v>
      </c>
      <c r="P150" s="4">
        <v>3.8764546470000001</v>
      </c>
      <c r="Q150" s="4">
        <v>88.48</v>
      </c>
      <c r="R150" s="10"/>
    </row>
    <row r="151" spans="1:18" ht="28.8" x14ac:dyDescent="0.3">
      <c r="A151" t="s">
        <v>1</v>
      </c>
      <c r="B151" s="3" t="s">
        <v>279</v>
      </c>
      <c r="C151" s="2">
        <v>43278</v>
      </c>
      <c r="D151" s="9">
        <v>0.93333333333333335</v>
      </c>
      <c r="E151" s="3">
        <f t="shared" ca="1" si="2"/>
        <v>97915096</v>
      </c>
      <c r="F151" t="s">
        <v>12</v>
      </c>
      <c r="G151" t="s">
        <v>15</v>
      </c>
      <c r="H151" s="1" t="s">
        <v>237</v>
      </c>
      <c r="I151" t="s">
        <v>17</v>
      </c>
      <c r="J151" s="4">
        <v>5</v>
      </c>
      <c r="K151" s="4">
        <v>85.02</v>
      </c>
      <c r="L151" s="4">
        <v>8</v>
      </c>
      <c r="M151" s="4">
        <v>48.43</v>
      </c>
      <c r="N151" s="4">
        <v>136.95480000000001</v>
      </c>
      <c r="O151" s="4">
        <v>259.68</v>
      </c>
      <c r="P151" s="4">
        <v>3.8764546470000001</v>
      </c>
      <c r="Q151" s="4">
        <v>21.42</v>
      </c>
      <c r="R151" s="10"/>
    </row>
    <row r="152" spans="1:18" ht="28.8" x14ac:dyDescent="0.3">
      <c r="A152" t="s">
        <v>3</v>
      </c>
      <c r="B152" s="3" t="s">
        <v>281</v>
      </c>
      <c r="C152" s="2">
        <v>43440</v>
      </c>
      <c r="D152" s="9">
        <v>0.83611111111111114</v>
      </c>
      <c r="E152" s="3">
        <f t="shared" ca="1" si="2"/>
        <v>187940165</v>
      </c>
      <c r="F152" t="s">
        <v>11</v>
      </c>
      <c r="G152" t="s">
        <v>14</v>
      </c>
      <c r="H152" s="1" t="s">
        <v>237</v>
      </c>
      <c r="I152" t="s">
        <v>22</v>
      </c>
      <c r="J152" s="4">
        <v>4</v>
      </c>
      <c r="K152" s="4">
        <v>37.75</v>
      </c>
      <c r="L152" s="4">
        <v>4</v>
      </c>
      <c r="M152" s="4">
        <v>19.920000000000002</v>
      </c>
      <c r="N152" s="4">
        <v>189.51840000000001</v>
      </c>
      <c r="O152" s="4">
        <v>366.16</v>
      </c>
      <c r="P152" s="4">
        <v>3.8764546470000001</v>
      </c>
      <c r="Q152" s="4">
        <v>92.34</v>
      </c>
      <c r="R152" s="10"/>
    </row>
    <row r="153" spans="1:18" ht="28.8" x14ac:dyDescent="0.3">
      <c r="A153" t="s">
        <v>2</v>
      </c>
      <c r="B153" s="3" t="s">
        <v>280</v>
      </c>
      <c r="C153" s="2">
        <v>42887</v>
      </c>
      <c r="D153" s="9">
        <v>0.21388888888888888</v>
      </c>
      <c r="E153" s="3">
        <f t="shared" ca="1" si="2"/>
        <v>859033387</v>
      </c>
      <c r="F153" t="s">
        <v>12</v>
      </c>
      <c r="G153" t="s">
        <v>14</v>
      </c>
      <c r="H153" s="1" t="s">
        <v>237</v>
      </c>
      <c r="I153" t="s">
        <v>20</v>
      </c>
      <c r="J153" s="4">
        <v>2</v>
      </c>
      <c r="K153" s="4">
        <v>56.5</v>
      </c>
      <c r="L153" s="4">
        <v>7</v>
      </c>
      <c r="M153" s="4">
        <v>21.5</v>
      </c>
      <c r="N153" s="4">
        <v>100.1893</v>
      </c>
      <c r="O153" s="4">
        <v>241.92</v>
      </c>
      <c r="P153" s="4">
        <v>3.8764546470000001</v>
      </c>
      <c r="Q153" s="4">
        <v>43.164000000000001</v>
      </c>
      <c r="R153" s="10"/>
    </row>
    <row r="154" spans="1:18" ht="28.8" x14ac:dyDescent="0.3">
      <c r="A154" t="s">
        <v>1</v>
      </c>
      <c r="B154" s="3" t="s">
        <v>279</v>
      </c>
      <c r="C154" s="2">
        <v>42892</v>
      </c>
      <c r="D154" s="9">
        <v>0.33541666666666664</v>
      </c>
      <c r="E154" s="3">
        <f t="shared" ca="1" si="2"/>
        <v>321597276</v>
      </c>
      <c r="F154" t="s">
        <v>12</v>
      </c>
      <c r="G154" t="s">
        <v>15</v>
      </c>
      <c r="H154" s="1" t="s">
        <v>237</v>
      </c>
      <c r="I154" t="s">
        <v>22</v>
      </c>
      <c r="J154" s="4">
        <v>7</v>
      </c>
      <c r="K154" s="4">
        <v>58.17</v>
      </c>
      <c r="L154" s="4">
        <v>9</v>
      </c>
      <c r="M154" s="4">
        <v>45.6</v>
      </c>
      <c r="N154" s="4">
        <v>120.5145</v>
      </c>
      <c r="O154" s="4">
        <v>749.16</v>
      </c>
      <c r="P154" s="4">
        <v>3.8764546470000001</v>
      </c>
      <c r="Q154" s="4">
        <v>44.462000000000003</v>
      </c>
      <c r="R154" s="10"/>
    </row>
    <row r="155" spans="1:18" x14ac:dyDescent="0.3">
      <c r="A155" t="s">
        <v>2</v>
      </c>
      <c r="B155" s="3" t="s">
        <v>280</v>
      </c>
      <c r="C155" s="2">
        <v>43196</v>
      </c>
      <c r="D155" s="9">
        <v>0.20902777777777778</v>
      </c>
      <c r="E155" s="3">
        <f t="shared" ca="1" si="2"/>
        <v>980392997</v>
      </c>
      <c r="F155" t="s">
        <v>11</v>
      </c>
      <c r="G155" t="s">
        <v>15</v>
      </c>
      <c r="H155" s="1" t="s">
        <v>235</v>
      </c>
      <c r="I155" t="s">
        <v>21</v>
      </c>
      <c r="J155" s="4">
        <v>9</v>
      </c>
      <c r="K155" s="4">
        <v>42.51</v>
      </c>
      <c r="L155" s="4">
        <v>6</v>
      </c>
      <c r="M155" s="4">
        <v>39</v>
      </c>
      <c r="N155" s="4">
        <v>146.53800000000001</v>
      </c>
      <c r="O155" s="4">
        <v>98.88</v>
      </c>
      <c r="P155" s="4">
        <v>3.8764546470000001</v>
      </c>
      <c r="Q155" s="4">
        <v>66.224000000000004</v>
      </c>
      <c r="R155" s="10"/>
    </row>
    <row r="156" spans="1:18" x14ac:dyDescent="0.3">
      <c r="A156" t="s">
        <v>2</v>
      </c>
      <c r="B156" s="3" t="s">
        <v>280</v>
      </c>
      <c r="C156" s="2">
        <v>42921</v>
      </c>
      <c r="D156" s="9">
        <v>0.60763888888888884</v>
      </c>
      <c r="E156" s="3">
        <f t="shared" ca="1" si="2"/>
        <v>168054050</v>
      </c>
      <c r="F156" t="s">
        <v>11</v>
      </c>
      <c r="G156" t="s">
        <v>15</v>
      </c>
      <c r="H156" s="1" t="s">
        <v>236</v>
      </c>
      <c r="I156" t="s">
        <v>20</v>
      </c>
      <c r="J156" s="4">
        <v>6</v>
      </c>
      <c r="K156" s="4">
        <v>45.8</v>
      </c>
      <c r="L156" s="4">
        <v>8</v>
      </c>
      <c r="M156" s="4">
        <v>52</v>
      </c>
      <c r="N156" s="4">
        <v>137.58690000000001</v>
      </c>
      <c r="O156" s="4">
        <v>647.76</v>
      </c>
      <c r="P156" s="4">
        <v>3.8764546470000001</v>
      </c>
      <c r="Q156" s="4">
        <v>81.039000000000001</v>
      </c>
      <c r="R156" s="10"/>
    </row>
    <row r="157" spans="1:18" ht="28.8" x14ac:dyDescent="0.3">
      <c r="A157" t="s">
        <v>1</v>
      </c>
      <c r="B157" s="3" t="s">
        <v>279</v>
      </c>
      <c r="C157" s="2">
        <v>42959</v>
      </c>
      <c r="D157" s="9">
        <v>0.71458333333333335</v>
      </c>
      <c r="E157" s="3">
        <f t="shared" ca="1" si="2"/>
        <v>408212544</v>
      </c>
      <c r="F157" t="s">
        <v>12</v>
      </c>
      <c r="G157" t="s">
        <v>14</v>
      </c>
      <c r="H157" s="1" t="s">
        <v>237</v>
      </c>
      <c r="I157" t="s">
        <v>21</v>
      </c>
      <c r="J157" s="4">
        <v>3.8</v>
      </c>
      <c r="K157" s="4">
        <v>82.31</v>
      </c>
      <c r="L157" s="4">
        <v>5</v>
      </c>
      <c r="M157" s="4">
        <v>46.7</v>
      </c>
      <c r="N157" s="4">
        <v>139.6866</v>
      </c>
      <c r="O157" s="4">
        <v>461.45</v>
      </c>
      <c r="P157" s="4">
        <v>3.8764546470000001</v>
      </c>
      <c r="Q157" s="4">
        <v>45.33</v>
      </c>
      <c r="R157" s="10"/>
    </row>
    <row r="158" spans="1:18" x14ac:dyDescent="0.3">
      <c r="A158" t="s">
        <v>3</v>
      </c>
      <c r="B158" s="3" t="s">
        <v>281</v>
      </c>
      <c r="C158" s="2">
        <v>43230</v>
      </c>
      <c r="D158" s="9">
        <v>0.69513888888888886</v>
      </c>
      <c r="E158" s="3">
        <f t="shared" ca="1" si="2"/>
        <v>744392130</v>
      </c>
      <c r="F158" t="s">
        <v>12</v>
      </c>
      <c r="G158" t="s">
        <v>14</v>
      </c>
      <c r="H158" s="1" t="s">
        <v>236</v>
      </c>
      <c r="I158" t="s">
        <v>18</v>
      </c>
      <c r="J158" s="4">
        <v>1.6</v>
      </c>
      <c r="K158" s="4">
        <v>57.83</v>
      </c>
      <c r="L158" s="4">
        <v>1</v>
      </c>
      <c r="M158" s="4">
        <v>77.7</v>
      </c>
      <c r="N158" s="4">
        <v>168.1799</v>
      </c>
      <c r="O158" s="4">
        <v>72.17</v>
      </c>
      <c r="P158" s="4">
        <v>3.8764546470000001</v>
      </c>
      <c r="Q158" s="4">
        <v>41.51</v>
      </c>
      <c r="R158" s="10"/>
    </row>
    <row r="159" spans="1:18" x14ac:dyDescent="0.3">
      <c r="A159" t="s">
        <v>3</v>
      </c>
      <c r="B159" s="3" t="s">
        <v>281</v>
      </c>
      <c r="C159" s="2">
        <v>43235</v>
      </c>
      <c r="D159" s="9">
        <v>0.64166666666666672</v>
      </c>
      <c r="E159" s="3">
        <f t="shared" ca="1" si="2"/>
        <v>15702416</v>
      </c>
      <c r="F159" t="s">
        <v>12</v>
      </c>
      <c r="G159" t="s">
        <v>15</v>
      </c>
      <c r="H159" s="1" t="s">
        <v>235</v>
      </c>
      <c r="I159" t="s">
        <v>19</v>
      </c>
      <c r="J159" s="4">
        <v>7.3</v>
      </c>
      <c r="K159" s="4">
        <v>47.24</v>
      </c>
      <c r="L159" s="4">
        <v>5</v>
      </c>
      <c r="M159" s="4">
        <v>98.05</v>
      </c>
      <c r="N159" s="4">
        <v>129.54499999999999</v>
      </c>
      <c r="O159" s="4">
        <v>251.4</v>
      </c>
      <c r="P159" s="4">
        <v>3.8764546470000001</v>
      </c>
      <c r="Q159" s="4">
        <v>88.13</v>
      </c>
      <c r="R159" s="10"/>
    </row>
    <row r="160" spans="1:18" x14ac:dyDescent="0.3">
      <c r="A160" t="s">
        <v>3</v>
      </c>
      <c r="B160" s="3" t="s">
        <v>281</v>
      </c>
      <c r="C160" s="2">
        <v>43222</v>
      </c>
      <c r="D160" s="9">
        <v>0.48125000000000001</v>
      </c>
      <c r="E160" s="3">
        <f t="shared" ca="1" si="2"/>
        <v>452606393</v>
      </c>
      <c r="F160" t="s">
        <v>12</v>
      </c>
      <c r="G160" t="s">
        <v>14</v>
      </c>
      <c r="H160" s="1" t="s">
        <v>235</v>
      </c>
      <c r="I160" t="s">
        <v>17</v>
      </c>
      <c r="J160" s="4">
        <v>3.8</v>
      </c>
      <c r="K160" s="4">
        <v>67.349999999999994</v>
      </c>
      <c r="L160" s="4">
        <v>9</v>
      </c>
      <c r="M160" s="4">
        <v>27.15</v>
      </c>
      <c r="N160" s="4">
        <v>145.7739</v>
      </c>
      <c r="O160" s="4">
        <v>874.98</v>
      </c>
      <c r="P160" s="4">
        <v>3.8764546470000001</v>
      </c>
      <c r="Q160" s="4">
        <v>99.367000000000004</v>
      </c>
      <c r="R160" s="10"/>
    </row>
    <row r="161" spans="1:18" x14ac:dyDescent="0.3">
      <c r="A161" t="s">
        <v>3</v>
      </c>
      <c r="B161" s="3" t="s">
        <v>281</v>
      </c>
      <c r="C161" s="2">
        <v>43355</v>
      </c>
      <c r="D161" s="9">
        <v>0.26250000000000001</v>
      </c>
      <c r="E161" s="3">
        <f t="shared" ca="1" si="2"/>
        <v>269143202</v>
      </c>
      <c r="F161" t="s">
        <v>12</v>
      </c>
      <c r="G161" t="s">
        <v>15</v>
      </c>
      <c r="H161" s="1" t="s">
        <v>235</v>
      </c>
      <c r="I161" t="s">
        <v>20</v>
      </c>
      <c r="J161" s="4">
        <v>3</v>
      </c>
      <c r="K161" s="4">
        <v>89.47</v>
      </c>
      <c r="L161" s="4">
        <v>6</v>
      </c>
      <c r="M161" s="4">
        <v>71.62</v>
      </c>
      <c r="N161" s="4">
        <v>169.17660000000001</v>
      </c>
      <c r="O161" s="4">
        <v>560.34</v>
      </c>
      <c r="P161" s="4">
        <v>3.8764546470000001</v>
      </c>
      <c r="Q161" s="4">
        <v>92.462999999999994</v>
      </c>
      <c r="R161" s="10"/>
    </row>
    <row r="162" spans="1:18" ht="28.8" x14ac:dyDescent="0.3">
      <c r="A162" t="s">
        <v>2</v>
      </c>
      <c r="B162" s="3" t="s">
        <v>280</v>
      </c>
      <c r="C162" s="2">
        <v>43263</v>
      </c>
      <c r="D162" s="9">
        <v>0.58333333333333337</v>
      </c>
      <c r="E162" s="3">
        <f t="shared" ca="1" si="2"/>
        <v>22684368</v>
      </c>
      <c r="F162" t="s">
        <v>11</v>
      </c>
      <c r="G162" t="s">
        <v>15</v>
      </c>
      <c r="H162" s="1" t="s">
        <v>237</v>
      </c>
      <c r="I162" t="s">
        <v>21</v>
      </c>
      <c r="J162" s="4">
        <v>5</v>
      </c>
      <c r="K162" s="4">
        <v>66.7</v>
      </c>
      <c r="L162" s="4">
        <v>8</v>
      </c>
      <c r="M162" s="4">
        <v>41.8</v>
      </c>
      <c r="N162" s="4">
        <v>179.6395</v>
      </c>
      <c r="O162" s="4">
        <v>345.44</v>
      </c>
      <c r="P162" s="4">
        <v>3.8764546470000001</v>
      </c>
      <c r="Q162" s="4">
        <v>24.039000000000001</v>
      </c>
      <c r="R162" s="10"/>
    </row>
    <row r="163" spans="1:18" x14ac:dyDescent="0.3">
      <c r="A163" t="s">
        <v>1</v>
      </c>
      <c r="B163" s="3" t="s">
        <v>279</v>
      </c>
      <c r="C163" s="2">
        <v>43356</v>
      </c>
      <c r="D163" s="9">
        <v>8.7499999999999994E-2</v>
      </c>
      <c r="E163" s="3">
        <f t="shared" ca="1" si="2"/>
        <v>71052388</v>
      </c>
      <c r="F163" t="s">
        <v>12</v>
      </c>
      <c r="G163" t="s">
        <v>15</v>
      </c>
      <c r="H163" s="1" t="s">
        <v>236</v>
      </c>
      <c r="I163" t="s">
        <v>20</v>
      </c>
      <c r="J163" s="4">
        <v>7</v>
      </c>
      <c r="K163" s="4">
        <v>10.46</v>
      </c>
      <c r="L163" s="4">
        <v>1</v>
      </c>
      <c r="M163" s="4">
        <v>59.97</v>
      </c>
      <c r="N163" s="4">
        <v>161.08750000000001</v>
      </c>
      <c r="O163" s="4">
        <v>63.69</v>
      </c>
      <c r="P163" s="4">
        <v>3.8764546470000001</v>
      </c>
      <c r="Q163" s="4">
        <v>79.370999999999995</v>
      </c>
      <c r="R163" s="10"/>
    </row>
    <row r="164" spans="1:18" ht="28.8" x14ac:dyDescent="0.3">
      <c r="A164" t="s">
        <v>1</v>
      </c>
      <c r="B164" s="3" t="s">
        <v>279</v>
      </c>
      <c r="C164" s="2">
        <v>42804</v>
      </c>
      <c r="D164" s="9">
        <v>0.80208333333333337</v>
      </c>
      <c r="E164" s="3">
        <f t="shared" ca="1" si="2"/>
        <v>357333549</v>
      </c>
      <c r="F164" t="s">
        <v>12</v>
      </c>
      <c r="G164" t="s">
        <v>15</v>
      </c>
      <c r="H164" s="1" t="s">
        <v>237</v>
      </c>
      <c r="I164" t="s">
        <v>21</v>
      </c>
      <c r="J164" s="4">
        <v>4</v>
      </c>
      <c r="K164" s="4">
        <v>15.04</v>
      </c>
      <c r="L164" s="4">
        <v>7</v>
      </c>
      <c r="M164" s="4">
        <v>53.35</v>
      </c>
      <c r="N164" s="4">
        <v>170.80969999999999</v>
      </c>
      <c r="O164" s="4">
        <v>320.52999999999997</v>
      </c>
      <c r="P164" s="4">
        <v>3.8764546470000001</v>
      </c>
      <c r="Q164" s="4">
        <v>61.43</v>
      </c>
      <c r="R164" s="10"/>
    </row>
    <row r="165" spans="1:18" x14ac:dyDescent="0.3">
      <c r="A165" t="s">
        <v>2</v>
      </c>
      <c r="B165" s="3" t="s">
        <v>280</v>
      </c>
      <c r="C165" s="2">
        <v>42978</v>
      </c>
      <c r="D165" s="9">
        <v>0.28194444444444444</v>
      </c>
      <c r="E165" s="3">
        <f t="shared" ca="1" si="2"/>
        <v>29559157</v>
      </c>
      <c r="F165" t="s">
        <v>12</v>
      </c>
      <c r="G165" t="s">
        <v>15</v>
      </c>
      <c r="H165" s="1" t="s">
        <v>235</v>
      </c>
      <c r="I165" t="s">
        <v>20</v>
      </c>
      <c r="J165" s="4">
        <v>6</v>
      </c>
      <c r="K165" s="4">
        <v>43.61</v>
      </c>
      <c r="L165" s="4">
        <v>2</v>
      </c>
      <c r="M165" s="4">
        <v>98.71</v>
      </c>
      <c r="N165" s="4">
        <v>115.0818</v>
      </c>
      <c r="O165" s="4">
        <v>152.80000000000001</v>
      </c>
      <c r="P165" s="4">
        <v>3.8764546470000001</v>
      </c>
      <c r="Q165" s="4">
        <v>91.034999999999997</v>
      </c>
      <c r="R165" s="10"/>
    </row>
    <row r="166" spans="1:18" ht="28.8" x14ac:dyDescent="0.3">
      <c r="A166" t="s">
        <v>3</v>
      </c>
      <c r="B166" s="3" t="s">
        <v>281</v>
      </c>
      <c r="C166" s="2">
        <v>43351</v>
      </c>
      <c r="D166" s="9">
        <v>0.43263888888888891</v>
      </c>
      <c r="E166" s="3">
        <f t="shared" ca="1" si="2"/>
        <v>946375723</v>
      </c>
      <c r="F166" t="s">
        <v>12</v>
      </c>
      <c r="G166" t="s">
        <v>15</v>
      </c>
      <c r="H166" s="1" t="s">
        <v>237</v>
      </c>
      <c r="I166" t="s">
        <v>21</v>
      </c>
      <c r="J166" s="4">
        <v>1.7</v>
      </c>
      <c r="K166" s="4">
        <v>91.42</v>
      </c>
      <c r="L166" s="4">
        <v>10</v>
      </c>
      <c r="M166" s="4">
        <v>44.4</v>
      </c>
      <c r="N166" s="4">
        <v>118.0788</v>
      </c>
      <c r="O166" s="4">
        <v>399</v>
      </c>
      <c r="P166" s="4">
        <v>3.8764546470000001</v>
      </c>
      <c r="Q166" s="4">
        <v>42.655999999999999</v>
      </c>
      <c r="R166" s="10"/>
    </row>
    <row r="167" spans="1:18" x14ac:dyDescent="0.3">
      <c r="A167" t="s">
        <v>3</v>
      </c>
      <c r="B167" s="3" t="s">
        <v>281</v>
      </c>
      <c r="C167" s="2">
        <v>43204</v>
      </c>
      <c r="D167" s="9">
        <v>0.91388888888888886</v>
      </c>
      <c r="E167" s="3">
        <f t="shared" ca="1" si="2"/>
        <v>832064779</v>
      </c>
      <c r="F167" t="s">
        <v>12</v>
      </c>
      <c r="G167" t="s">
        <v>14</v>
      </c>
      <c r="H167" s="1" t="s">
        <v>235</v>
      </c>
      <c r="I167" t="s">
        <v>17</v>
      </c>
      <c r="J167" s="4">
        <v>8.5</v>
      </c>
      <c r="K167" s="4">
        <v>57.56</v>
      </c>
      <c r="L167" s="4">
        <v>8</v>
      </c>
      <c r="M167" s="4">
        <v>30.82</v>
      </c>
      <c r="N167" s="4">
        <v>113.99039999999999</v>
      </c>
      <c r="O167" s="4">
        <v>340.56</v>
      </c>
      <c r="P167" s="4">
        <v>3.8764546470000001</v>
      </c>
      <c r="Q167" s="4">
        <v>86.771000000000001</v>
      </c>
      <c r="R167" s="10"/>
    </row>
    <row r="168" spans="1:18" x14ac:dyDescent="0.3">
      <c r="A168" t="s">
        <v>2</v>
      </c>
      <c r="B168" s="3" t="s">
        <v>280</v>
      </c>
      <c r="C168" s="2">
        <v>43396</v>
      </c>
      <c r="D168" s="9">
        <v>0.29166666666666669</v>
      </c>
      <c r="E168" s="3">
        <f t="shared" ca="1" si="2"/>
        <v>772036711</v>
      </c>
      <c r="F168" t="s">
        <v>12</v>
      </c>
      <c r="G168" t="s">
        <v>15</v>
      </c>
      <c r="H168" s="1" t="s">
        <v>236</v>
      </c>
      <c r="I168" t="s">
        <v>19</v>
      </c>
      <c r="J168" s="4">
        <v>6.9</v>
      </c>
      <c r="K168" s="4">
        <v>56.01</v>
      </c>
      <c r="L168" s="4">
        <v>10</v>
      </c>
      <c r="M168" s="4">
        <v>51.46</v>
      </c>
      <c r="N168" s="4">
        <v>110.9102</v>
      </c>
      <c r="O168" s="4">
        <v>955.8</v>
      </c>
      <c r="P168" s="4">
        <v>3.8764546470000001</v>
      </c>
      <c r="Q168" s="4">
        <v>58.5</v>
      </c>
      <c r="R168" s="10"/>
    </row>
    <row r="169" spans="1:18" ht="28.8" x14ac:dyDescent="0.3">
      <c r="A169" t="s">
        <v>1</v>
      </c>
      <c r="B169" s="3" t="s">
        <v>279</v>
      </c>
      <c r="C169" s="2">
        <v>42908</v>
      </c>
      <c r="D169" s="9">
        <v>0.52013888888888893</v>
      </c>
      <c r="E169" s="3">
        <f t="shared" ca="1" si="2"/>
        <v>741677719</v>
      </c>
      <c r="F169" t="s">
        <v>12</v>
      </c>
      <c r="G169" t="s">
        <v>15</v>
      </c>
      <c r="H169" s="1" t="s">
        <v>237</v>
      </c>
      <c r="I169" t="s">
        <v>22</v>
      </c>
      <c r="J169" s="4">
        <v>2</v>
      </c>
      <c r="K169" s="4">
        <v>59.94</v>
      </c>
      <c r="L169" s="4">
        <v>10</v>
      </c>
      <c r="M169" s="4">
        <v>88.47</v>
      </c>
      <c r="N169" s="4">
        <v>110.70310000000001</v>
      </c>
      <c r="O169" s="4">
        <v>989.8</v>
      </c>
      <c r="P169" s="4">
        <v>3.8764546470000001</v>
      </c>
      <c r="Q169" s="4">
        <v>88.05</v>
      </c>
      <c r="R169" s="10"/>
    </row>
    <row r="170" spans="1:18" x14ac:dyDescent="0.3">
      <c r="A170" t="s">
        <v>1</v>
      </c>
      <c r="B170" s="3" t="s">
        <v>279</v>
      </c>
      <c r="C170" s="2">
        <v>43230</v>
      </c>
      <c r="D170" s="9">
        <v>0.91874999999999996</v>
      </c>
      <c r="E170" s="3">
        <f t="shared" ca="1" si="2"/>
        <v>489158966</v>
      </c>
      <c r="F170" t="s">
        <v>12</v>
      </c>
      <c r="G170" t="s">
        <v>15</v>
      </c>
      <c r="H170" s="1" t="s">
        <v>236</v>
      </c>
      <c r="I170" t="s">
        <v>21</v>
      </c>
      <c r="J170" s="4">
        <v>7.1</v>
      </c>
      <c r="K170" s="4">
        <v>66.319999999999993</v>
      </c>
      <c r="L170" s="4">
        <v>6</v>
      </c>
      <c r="M170" s="4">
        <v>58.73</v>
      </c>
      <c r="N170" s="4">
        <v>178.92760000000001</v>
      </c>
      <c r="O170" s="4">
        <v>307.68</v>
      </c>
      <c r="P170" s="4">
        <v>3.8764546470000001</v>
      </c>
      <c r="Q170" s="4">
        <v>92.65</v>
      </c>
      <c r="R170" s="10"/>
    </row>
    <row r="171" spans="1:18" ht="28.8" x14ac:dyDescent="0.3">
      <c r="A171" t="s">
        <v>1</v>
      </c>
      <c r="B171" s="3" t="s">
        <v>279</v>
      </c>
      <c r="C171" s="2">
        <v>43036</v>
      </c>
      <c r="D171" s="9">
        <v>0.5444444444444444</v>
      </c>
      <c r="E171" s="3">
        <f t="shared" ca="1" si="2"/>
        <v>683853670</v>
      </c>
      <c r="F171" t="s">
        <v>12</v>
      </c>
      <c r="G171" t="s">
        <v>14</v>
      </c>
      <c r="H171" s="1" t="s">
        <v>237</v>
      </c>
      <c r="I171" t="s">
        <v>20</v>
      </c>
      <c r="J171" s="4">
        <v>7.5</v>
      </c>
      <c r="K171" s="4">
        <v>16.170000000000002</v>
      </c>
      <c r="L171" s="4">
        <v>7</v>
      </c>
      <c r="M171" s="4">
        <v>29.84</v>
      </c>
      <c r="N171" s="4">
        <v>174.17160000000001</v>
      </c>
      <c r="O171" s="4">
        <v>486.64</v>
      </c>
      <c r="P171" s="4">
        <v>3.8764546470000001</v>
      </c>
      <c r="Q171" s="4">
        <v>52.16</v>
      </c>
      <c r="R171" s="10"/>
    </row>
    <row r="172" spans="1:18" x14ac:dyDescent="0.3">
      <c r="A172" t="s">
        <v>1</v>
      </c>
      <c r="B172" s="3" t="s">
        <v>279</v>
      </c>
      <c r="C172" s="2">
        <v>43176</v>
      </c>
      <c r="D172" s="9">
        <v>0.77777777777777779</v>
      </c>
      <c r="E172" s="3">
        <f t="shared" ca="1" si="2"/>
        <v>158677785</v>
      </c>
      <c r="F172" t="s">
        <v>12</v>
      </c>
      <c r="G172" t="s">
        <v>15</v>
      </c>
      <c r="H172" s="1" t="s">
        <v>235</v>
      </c>
      <c r="I172" t="s">
        <v>17</v>
      </c>
      <c r="J172" s="4">
        <v>6.4</v>
      </c>
      <c r="K172" s="4">
        <v>81.06</v>
      </c>
      <c r="L172" s="4">
        <v>5</v>
      </c>
      <c r="M172" s="4">
        <v>98.57</v>
      </c>
      <c r="N172" s="4">
        <v>111.3092</v>
      </c>
      <c r="O172" s="4">
        <v>350.05</v>
      </c>
      <c r="P172" s="4">
        <v>3.8764546470000001</v>
      </c>
      <c r="Q172" s="4">
        <v>47.808</v>
      </c>
      <c r="R172" s="10"/>
    </row>
    <row r="173" spans="1:18" ht="28.8" x14ac:dyDescent="0.3">
      <c r="A173" t="s">
        <v>3</v>
      </c>
      <c r="B173" s="3" t="s">
        <v>281</v>
      </c>
      <c r="C173" s="2">
        <v>43306</v>
      </c>
      <c r="D173" s="9">
        <v>0.12152777777777778</v>
      </c>
      <c r="E173" s="3">
        <f t="shared" ca="1" si="2"/>
        <v>609563860</v>
      </c>
      <c r="F173" t="s">
        <v>12</v>
      </c>
      <c r="G173" t="s">
        <v>14</v>
      </c>
      <c r="H173" s="1" t="s">
        <v>237</v>
      </c>
      <c r="I173" t="s">
        <v>21</v>
      </c>
      <c r="J173" s="4">
        <v>7</v>
      </c>
      <c r="K173" s="4">
        <v>38.83</v>
      </c>
      <c r="L173" s="4">
        <v>5</v>
      </c>
      <c r="M173" s="4">
        <v>34.39</v>
      </c>
      <c r="N173" s="4">
        <v>128.53890000000001</v>
      </c>
      <c r="O173" s="4">
        <v>400.25</v>
      </c>
      <c r="P173" s="4">
        <v>3.8764546470000001</v>
      </c>
      <c r="Q173" s="4">
        <v>74.775000000000006</v>
      </c>
      <c r="R173" s="10"/>
    </row>
    <row r="174" spans="1:18" x14ac:dyDescent="0.3">
      <c r="A174" t="s">
        <v>2</v>
      </c>
      <c r="B174" s="3" t="s">
        <v>280</v>
      </c>
      <c r="C174" s="2">
        <v>43073</v>
      </c>
      <c r="D174" s="9">
        <v>0.72430555555555554</v>
      </c>
      <c r="E174" s="3">
        <f t="shared" ca="1" si="2"/>
        <v>494240319</v>
      </c>
      <c r="F174" t="s">
        <v>12</v>
      </c>
      <c r="G174" t="s">
        <v>15</v>
      </c>
      <c r="H174" s="1" t="s">
        <v>236</v>
      </c>
      <c r="I174" t="s">
        <v>18</v>
      </c>
      <c r="J174" s="4">
        <v>7.2</v>
      </c>
      <c r="K174" s="4">
        <v>87.68</v>
      </c>
      <c r="L174" s="4">
        <v>8</v>
      </c>
      <c r="M174" s="4">
        <v>23.11</v>
      </c>
      <c r="N174" s="4">
        <v>172.43719999999999</v>
      </c>
      <c r="O174" s="4">
        <v>166.8</v>
      </c>
      <c r="P174" s="4">
        <v>3.8764546470000001</v>
      </c>
      <c r="Q174" s="4">
        <v>83.67</v>
      </c>
      <c r="R174" s="10"/>
    </row>
    <row r="175" spans="1:18" ht="28.8" x14ac:dyDescent="0.3">
      <c r="A175" t="s">
        <v>3</v>
      </c>
      <c r="B175" s="3" t="s">
        <v>281</v>
      </c>
      <c r="C175" s="2">
        <v>43101</v>
      </c>
      <c r="D175" s="9">
        <v>0.72430555555555554</v>
      </c>
      <c r="E175" s="3">
        <f t="shared" ca="1" si="2"/>
        <v>887617434</v>
      </c>
      <c r="F175" t="s">
        <v>12</v>
      </c>
      <c r="G175" t="s">
        <v>14</v>
      </c>
      <c r="H175" s="1" t="s">
        <v>237</v>
      </c>
      <c r="I175" t="s">
        <v>18</v>
      </c>
      <c r="J175" s="4">
        <v>5.3</v>
      </c>
      <c r="K175" s="4">
        <v>55.51</v>
      </c>
      <c r="L175" s="4">
        <v>6</v>
      </c>
      <c r="M175" s="4">
        <v>84.62</v>
      </c>
      <c r="N175" s="4">
        <v>148.46870000000001</v>
      </c>
      <c r="O175" s="4">
        <v>317.33999999999997</v>
      </c>
      <c r="P175" s="4">
        <v>3.8764546470000001</v>
      </c>
      <c r="Q175" s="4">
        <v>99.63</v>
      </c>
      <c r="R175" s="10"/>
    </row>
    <row r="176" spans="1:18" x14ac:dyDescent="0.3">
      <c r="A176" t="s">
        <v>3</v>
      </c>
      <c r="B176" s="3" t="s">
        <v>281</v>
      </c>
      <c r="C176" s="2">
        <v>42921</v>
      </c>
      <c r="D176" s="9">
        <v>0.10694444444444444</v>
      </c>
      <c r="E176" s="3">
        <f t="shared" ca="1" si="2"/>
        <v>625380482</v>
      </c>
      <c r="F176" t="s">
        <v>12</v>
      </c>
      <c r="G176" t="s">
        <v>15</v>
      </c>
      <c r="H176" s="1" t="s">
        <v>235</v>
      </c>
      <c r="I176" t="s">
        <v>21</v>
      </c>
      <c r="J176" s="4">
        <v>6.6</v>
      </c>
      <c r="K176" s="4">
        <v>22.77</v>
      </c>
      <c r="L176" s="4">
        <v>8</v>
      </c>
      <c r="M176" s="4">
        <v>86.5</v>
      </c>
      <c r="N176" s="4">
        <v>121.6409</v>
      </c>
      <c r="O176" s="4">
        <v>158.32</v>
      </c>
      <c r="P176" s="4">
        <v>3.8764546470000001</v>
      </c>
      <c r="Q176" s="4">
        <v>92.462000000000003</v>
      </c>
      <c r="R176" s="10"/>
    </row>
    <row r="177" spans="1:18" x14ac:dyDescent="0.3">
      <c r="A177" t="s">
        <v>1</v>
      </c>
      <c r="B177" s="3" t="s">
        <v>279</v>
      </c>
      <c r="C177" s="2">
        <v>42937</v>
      </c>
      <c r="D177" s="9">
        <v>0.62708333333333333</v>
      </c>
      <c r="E177" s="3">
        <f t="shared" ca="1" si="2"/>
        <v>958101680</v>
      </c>
      <c r="F177" t="s">
        <v>12</v>
      </c>
      <c r="G177" t="s">
        <v>14</v>
      </c>
      <c r="H177" s="1" t="s">
        <v>235</v>
      </c>
      <c r="I177" t="s">
        <v>19</v>
      </c>
      <c r="J177" s="4">
        <v>2.8</v>
      </c>
      <c r="K177" s="4">
        <v>13.15</v>
      </c>
      <c r="L177" s="4">
        <v>9</v>
      </c>
      <c r="M177" s="4">
        <v>47.95</v>
      </c>
      <c r="N177" s="4">
        <v>116.6681</v>
      </c>
      <c r="O177" s="4">
        <v>304.56</v>
      </c>
      <c r="P177" s="4">
        <v>3.8764546470000001</v>
      </c>
      <c r="Q177" s="4">
        <v>21.1</v>
      </c>
      <c r="R177" s="10"/>
    </row>
    <row r="178" spans="1:18" ht="28.8" x14ac:dyDescent="0.3">
      <c r="A178" t="s">
        <v>1</v>
      </c>
      <c r="B178" s="3" t="s">
        <v>279</v>
      </c>
      <c r="C178" s="2">
        <v>43107</v>
      </c>
      <c r="D178" s="9">
        <v>8.7499999999999994E-2</v>
      </c>
      <c r="E178" s="3">
        <f t="shared" ca="1" si="2"/>
        <v>454656184</v>
      </c>
      <c r="F178" t="s">
        <v>12</v>
      </c>
      <c r="G178" t="s">
        <v>14</v>
      </c>
      <c r="H178" s="1" t="s">
        <v>237</v>
      </c>
      <c r="I178" t="s">
        <v>21</v>
      </c>
      <c r="J178" s="4">
        <v>5.9</v>
      </c>
      <c r="K178" s="4">
        <v>57.13</v>
      </c>
      <c r="L178" s="4">
        <v>8</v>
      </c>
      <c r="M178" s="4">
        <v>96.8</v>
      </c>
      <c r="N178" s="4">
        <v>139.8646</v>
      </c>
      <c r="O178" s="4">
        <v>177.36</v>
      </c>
      <c r="P178" s="4">
        <v>3.8764546470000001</v>
      </c>
      <c r="Q178" s="4">
        <v>88.86</v>
      </c>
      <c r="R178" s="10"/>
    </row>
    <row r="179" spans="1:18" ht="28.8" x14ac:dyDescent="0.3">
      <c r="A179" t="s">
        <v>2</v>
      </c>
      <c r="B179" s="3" t="s">
        <v>280</v>
      </c>
      <c r="C179" s="2">
        <v>43365</v>
      </c>
      <c r="D179" s="9">
        <v>0.5493055555555556</v>
      </c>
      <c r="E179" s="3">
        <f t="shared" ca="1" si="2"/>
        <v>561463837</v>
      </c>
      <c r="F179" t="s">
        <v>11</v>
      </c>
      <c r="G179" t="s">
        <v>15</v>
      </c>
      <c r="H179" s="1" t="s">
        <v>237</v>
      </c>
      <c r="I179" t="s">
        <v>22</v>
      </c>
      <c r="J179" s="4">
        <v>1.4</v>
      </c>
      <c r="K179" s="4">
        <v>26.56</v>
      </c>
      <c r="L179" s="4">
        <v>7</v>
      </c>
      <c r="M179" s="4">
        <v>77.17</v>
      </c>
      <c r="N179" s="4">
        <v>134.96119999999999</v>
      </c>
      <c r="O179" s="4">
        <v>157.57</v>
      </c>
      <c r="P179" s="4">
        <v>3.8764546470000001</v>
      </c>
      <c r="Q179" s="4">
        <v>42</v>
      </c>
      <c r="R179" s="10"/>
    </row>
    <row r="180" spans="1:18" x14ac:dyDescent="0.3">
      <c r="A180" t="s">
        <v>1</v>
      </c>
      <c r="B180" s="3" t="s">
        <v>279</v>
      </c>
      <c r="C180" s="2">
        <v>43177</v>
      </c>
      <c r="D180" s="9">
        <v>0.20902777777777778</v>
      </c>
      <c r="E180" s="3">
        <f t="shared" ca="1" si="2"/>
        <v>83819631</v>
      </c>
      <c r="F180" t="s">
        <v>12</v>
      </c>
      <c r="G180" t="s">
        <v>15</v>
      </c>
      <c r="H180" s="1" t="s">
        <v>235</v>
      </c>
      <c r="I180" t="s">
        <v>21</v>
      </c>
      <c r="J180" s="4">
        <v>3.6</v>
      </c>
      <c r="K180" s="4">
        <v>34.76</v>
      </c>
      <c r="L180" s="4">
        <v>6</v>
      </c>
      <c r="M180" s="4">
        <v>50.7</v>
      </c>
      <c r="N180" s="4">
        <v>154.2003</v>
      </c>
      <c r="O180" s="4">
        <v>443.28</v>
      </c>
      <c r="P180" s="4">
        <v>3.8764546470000001</v>
      </c>
      <c r="Q180" s="4">
        <v>95.930999999999997</v>
      </c>
      <c r="R180" s="10"/>
    </row>
    <row r="181" spans="1:18" x14ac:dyDescent="0.3">
      <c r="A181" t="s">
        <v>2</v>
      </c>
      <c r="B181" s="3" t="s">
        <v>280</v>
      </c>
      <c r="C181" s="2">
        <v>43462</v>
      </c>
      <c r="D181" s="9">
        <v>8.2638888888888887E-2</v>
      </c>
      <c r="E181" s="3">
        <f t="shared" ca="1" si="2"/>
        <v>511832651</v>
      </c>
      <c r="F181" t="s">
        <v>12</v>
      </c>
      <c r="G181" t="s">
        <v>14</v>
      </c>
      <c r="H181" s="1" t="s">
        <v>235</v>
      </c>
      <c r="I181" t="s">
        <v>17</v>
      </c>
      <c r="J181" s="4">
        <v>8.5</v>
      </c>
      <c r="K181" s="4">
        <v>17.989999999999998</v>
      </c>
      <c r="L181" s="4">
        <v>3</v>
      </c>
      <c r="M181" s="4">
        <v>17.8</v>
      </c>
      <c r="N181" s="4">
        <v>112.84869999999999</v>
      </c>
      <c r="O181" s="4">
        <v>260.39999999999998</v>
      </c>
      <c r="P181" s="4">
        <v>3.8764546470000001</v>
      </c>
      <c r="Q181" s="4">
        <v>48.457999999999998</v>
      </c>
      <c r="R181" s="10"/>
    </row>
    <row r="182" spans="1:18" x14ac:dyDescent="0.3">
      <c r="A182" t="s">
        <v>2</v>
      </c>
      <c r="B182" s="3" t="s">
        <v>280</v>
      </c>
      <c r="C182" s="2">
        <v>42903</v>
      </c>
      <c r="D182" s="9">
        <v>7.7777777777777779E-2</v>
      </c>
      <c r="E182" s="3">
        <f t="shared" ca="1" si="2"/>
        <v>522562776</v>
      </c>
      <c r="F182" t="s">
        <v>12</v>
      </c>
      <c r="G182" t="s">
        <v>15</v>
      </c>
      <c r="H182" s="1" t="s">
        <v>236</v>
      </c>
      <c r="I182" t="s">
        <v>22</v>
      </c>
      <c r="J182" s="4">
        <v>4</v>
      </c>
      <c r="K182" s="4">
        <v>82.75</v>
      </c>
      <c r="L182" s="4">
        <v>7</v>
      </c>
      <c r="M182" s="4">
        <v>38.700000000000003</v>
      </c>
      <c r="N182" s="4">
        <v>167.42760000000001</v>
      </c>
      <c r="O182" s="4">
        <v>449.82</v>
      </c>
      <c r="P182" s="4">
        <v>3.8764546470000001</v>
      </c>
      <c r="Q182" s="4">
        <v>64.989999999999995</v>
      </c>
      <c r="R182" s="10"/>
    </row>
    <row r="183" spans="1:18" x14ac:dyDescent="0.3">
      <c r="A183" t="s">
        <v>2</v>
      </c>
      <c r="B183" s="3" t="s">
        <v>280</v>
      </c>
      <c r="C183" s="2">
        <v>42828</v>
      </c>
      <c r="D183" s="9">
        <v>0.21875</v>
      </c>
      <c r="E183" s="3">
        <f t="shared" ca="1" si="2"/>
        <v>97007549</v>
      </c>
      <c r="F183" t="s">
        <v>12</v>
      </c>
      <c r="G183" t="s">
        <v>14</v>
      </c>
      <c r="H183" s="1" t="s">
        <v>236</v>
      </c>
      <c r="I183" t="s">
        <v>21</v>
      </c>
      <c r="J183" s="4">
        <v>6</v>
      </c>
      <c r="K183" s="4">
        <v>20.61</v>
      </c>
      <c r="L183" s="4">
        <v>8</v>
      </c>
      <c r="M183" s="4">
        <v>89.43</v>
      </c>
      <c r="N183" s="4">
        <v>150.18010000000001</v>
      </c>
      <c r="O183" s="4">
        <v>307.76</v>
      </c>
      <c r="P183" s="4">
        <v>3.8764546470000001</v>
      </c>
      <c r="Q183" s="4">
        <v>87.177000000000007</v>
      </c>
      <c r="R183" s="10"/>
    </row>
    <row r="184" spans="1:18" x14ac:dyDescent="0.3">
      <c r="A184" t="s">
        <v>1</v>
      </c>
      <c r="B184" s="3" t="s">
        <v>279</v>
      </c>
      <c r="C184" s="2">
        <v>43198</v>
      </c>
      <c r="D184" s="9">
        <v>0.28680555555555554</v>
      </c>
      <c r="E184" s="3">
        <f t="shared" ca="1" si="2"/>
        <v>27386890</v>
      </c>
      <c r="F184" t="s">
        <v>12</v>
      </c>
      <c r="G184" t="s">
        <v>14</v>
      </c>
      <c r="H184" s="1" t="s">
        <v>235</v>
      </c>
      <c r="I184" t="s">
        <v>20</v>
      </c>
      <c r="J184" s="4">
        <v>4</v>
      </c>
      <c r="K184" s="4">
        <v>34.56</v>
      </c>
      <c r="L184" s="4">
        <v>10</v>
      </c>
      <c r="M184" s="4">
        <v>28.8</v>
      </c>
      <c r="N184" s="4">
        <v>104.0329</v>
      </c>
      <c r="O184" s="4">
        <v>155</v>
      </c>
      <c r="P184" s="4">
        <v>3.8764546470000001</v>
      </c>
      <c r="Q184" s="4">
        <v>20.486999999999998</v>
      </c>
      <c r="R184" s="10"/>
    </row>
    <row r="185" spans="1:18" x14ac:dyDescent="0.3">
      <c r="A185" t="s">
        <v>2</v>
      </c>
      <c r="B185" s="3" t="s">
        <v>280</v>
      </c>
      <c r="C185" s="2">
        <v>42797</v>
      </c>
      <c r="D185" s="9">
        <v>0.51041666666666663</v>
      </c>
      <c r="E185" s="3">
        <f t="shared" ca="1" si="2"/>
        <v>123705280</v>
      </c>
      <c r="F185" t="s">
        <v>12</v>
      </c>
      <c r="G185" t="s">
        <v>15</v>
      </c>
      <c r="H185" s="1" t="s">
        <v>235</v>
      </c>
      <c r="I185" t="s">
        <v>17</v>
      </c>
      <c r="J185" s="4">
        <v>5</v>
      </c>
      <c r="K185" s="4">
        <v>69</v>
      </c>
      <c r="L185" s="4">
        <v>8</v>
      </c>
      <c r="M185" s="4">
        <v>98.3</v>
      </c>
      <c r="N185" s="4">
        <v>159.41579999999999</v>
      </c>
      <c r="O185" s="4">
        <v>274.48</v>
      </c>
      <c r="P185" s="4">
        <v>3.8764546470000001</v>
      </c>
      <c r="Q185" s="4">
        <v>95.725999999999999</v>
      </c>
      <c r="R185" s="10"/>
    </row>
    <row r="186" spans="1:18" ht="28.8" x14ac:dyDescent="0.3">
      <c r="A186" t="s">
        <v>1</v>
      </c>
      <c r="B186" s="3" t="s">
        <v>279</v>
      </c>
      <c r="C186" s="2">
        <v>42922</v>
      </c>
      <c r="D186" s="9">
        <v>0.35972222222222222</v>
      </c>
      <c r="E186" s="3">
        <f t="shared" ca="1" si="2"/>
        <v>19368218</v>
      </c>
      <c r="F186" t="s">
        <v>11</v>
      </c>
      <c r="G186" t="s">
        <v>15</v>
      </c>
      <c r="H186" s="1" t="s">
        <v>237</v>
      </c>
      <c r="I186" t="s">
        <v>20</v>
      </c>
      <c r="J186" s="4">
        <v>4</v>
      </c>
      <c r="K186" s="4">
        <v>59.91</v>
      </c>
      <c r="L186" s="4">
        <v>7</v>
      </c>
      <c r="M186" s="4">
        <v>98.82</v>
      </c>
      <c r="N186" s="4">
        <v>104.367</v>
      </c>
      <c r="O186" s="4">
        <v>86.38</v>
      </c>
      <c r="P186" s="4">
        <v>3.8764546470000001</v>
      </c>
      <c r="Q186" s="4">
        <v>98.507000000000005</v>
      </c>
      <c r="R186" s="10"/>
    </row>
    <row r="187" spans="1:18" x14ac:dyDescent="0.3">
      <c r="A187" t="s">
        <v>3</v>
      </c>
      <c r="B187" s="3" t="s">
        <v>281</v>
      </c>
      <c r="C187" s="2">
        <v>43294</v>
      </c>
      <c r="D187" s="9">
        <v>0.71458333333333335</v>
      </c>
      <c r="E187" s="3">
        <f t="shared" ca="1" si="2"/>
        <v>339487205</v>
      </c>
      <c r="F187" t="s">
        <v>12</v>
      </c>
      <c r="G187" t="s">
        <v>14</v>
      </c>
      <c r="H187" s="1" t="s">
        <v>235</v>
      </c>
      <c r="I187" t="s">
        <v>21</v>
      </c>
      <c r="J187" s="4">
        <v>2.8</v>
      </c>
      <c r="K187" s="4">
        <v>71.25</v>
      </c>
      <c r="L187" s="4">
        <v>3</v>
      </c>
      <c r="M187" s="4">
        <v>21.94</v>
      </c>
      <c r="N187" s="4">
        <v>162.95060000000001</v>
      </c>
      <c r="O187" s="4">
        <v>54.24</v>
      </c>
      <c r="P187" s="4">
        <v>3.8764546470000001</v>
      </c>
      <c r="Q187" s="4">
        <v>62.74</v>
      </c>
      <c r="R187" s="10"/>
    </row>
    <row r="188" spans="1:18" x14ac:dyDescent="0.3">
      <c r="A188" t="s">
        <v>3</v>
      </c>
      <c r="B188" s="3" t="s">
        <v>281</v>
      </c>
      <c r="C188" s="2">
        <v>42947</v>
      </c>
      <c r="D188" s="9">
        <v>0.1361111111111111</v>
      </c>
      <c r="E188" s="3">
        <f t="shared" ca="1" si="2"/>
        <v>87535089</v>
      </c>
      <c r="F188" t="s">
        <v>11</v>
      </c>
      <c r="G188" t="s">
        <v>14</v>
      </c>
      <c r="H188" s="1" t="s">
        <v>235</v>
      </c>
      <c r="I188" t="s">
        <v>19</v>
      </c>
      <c r="J188" s="4">
        <v>9.3000000000000007</v>
      </c>
      <c r="K188" s="4">
        <v>27.58</v>
      </c>
      <c r="L188" s="4">
        <v>8</v>
      </c>
      <c r="M188" s="4">
        <v>48.9</v>
      </c>
      <c r="N188" s="4">
        <v>146.61760000000001</v>
      </c>
      <c r="O188" s="4">
        <v>755.92</v>
      </c>
      <c r="P188" s="4">
        <v>3.8764546470000001</v>
      </c>
      <c r="Q188" s="4">
        <v>97.602999999999994</v>
      </c>
      <c r="R188" s="10"/>
    </row>
    <row r="189" spans="1:18" x14ac:dyDescent="0.3">
      <c r="A189" t="s">
        <v>3</v>
      </c>
      <c r="B189" s="3" t="s">
        <v>281</v>
      </c>
      <c r="C189" s="2">
        <v>43032</v>
      </c>
      <c r="D189" s="9">
        <v>0.20902777777777778</v>
      </c>
      <c r="E189" s="3">
        <f t="shared" ca="1" si="2"/>
        <v>94748473</v>
      </c>
      <c r="F189" t="s">
        <v>12</v>
      </c>
      <c r="G189" t="s">
        <v>14</v>
      </c>
      <c r="H189" s="1" t="s">
        <v>236</v>
      </c>
      <c r="I189" t="s">
        <v>19</v>
      </c>
      <c r="J189" s="4">
        <v>1.6</v>
      </c>
      <c r="K189" s="4">
        <v>51.97</v>
      </c>
      <c r="L189" s="4">
        <v>4</v>
      </c>
      <c r="M189" s="4">
        <v>48.16</v>
      </c>
      <c r="N189" s="4">
        <v>189.13919999999999</v>
      </c>
      <c r="O189" s="4">
        <v>185.88</v>
      </c>
      <c r="P189" s="4">
        <v>3.8764546470000001</v>
      </c>
      <c r="Q189" s="4">
        <v>34.83</v>
      </c>
      <c r="R189" s="10"/>
    </row>
    <row r="190" spans="1:18" x14ac:dyDescent="0.3">
      <c r="A190" t="s">
        <v>1</v>
      </c>
      <c r="B190" s="3" t="s">
        <v>279</v>
      </c>
      <c r="C190" s="2">
        <v>42886</v>
      </c>
      <c r="D190" s="9">
        <v>0.89444444444444449</v>
      </c>
      <c r="E190" s="3">
        <f t="shared" ca="1" si="2"/>
        <v>328315105</v>
      </c>
      <c r="F190" t="s">
        <v>12</v>
      </c>
      <c r="G190" t="s">
        <v>15</v>
      </c>
      <c r="H190" s="1" t="s">
        <v>235</v>
      </c>
      <c r="I190" t="s">
        <v>19</v>
      </c>
      <c r="J190" s="4">
        <v>7</v>
      </c>
      <c r="K190" s="4">
        <v>42.72</v>
      </c>
      <c r="L190" s="4">
        <v>1</v>
      </c>
      <c r="M190" s="4">
        <v>80.290000000000006</v>
      </c>
      <c r="N190" s="4">
        <v>150.69540000000001</v>
      </c>
      <c r="O190" s="4">
        <v>74.069999999999993</v>
      </c>
      <c r="P190" s="4">
        <v>3.8764546470000001</v>
      </c>
      <c r="Q190" s="4">
        <v>88.058000000000007</v>
      </c>
      <c r="R190" s="10"/>
    </row>
    <row r="191" spans="1:18" ht="28.8" x14ac:dyDescent="0.3">
      <c r="A191" t="s">
        <v>2</v>
      </c>
      <c r="B191" s="3" t="s">
        <v>280</v>
      </c>
      <c r="C191" s="2">
        <v>42839</v>
      </c>
      <c r="D191" s="9">
        <v>0.65138888888888891</v>
      </c>
      <c r="E191" s="3">
        <f t="shared" ca="1" si="2"/>
        <v>752768623</v>
      </c>
      <c r="F191" t="s">
        <v>11</v>
      </c>
      <c r="G191" t="s">
        <v>15</v>
      </c>
      <c r="H191" s="1" t="s">
        <v>237</v>
      </c>
      <c r="I191" t="s">
        <v>19</v>
      </c>
      <c r="J191" s="4">
        <v>4.8</v>
      </c>
      <c r="K191" s="4">
        <v>34.99</v>
      </c>
      <c r="L191" s="4">
        <v>4</v>
      </c>
      <c r="M191" s="4">
        <v>63.51</v>
      </c>
      <c r="N191" s="4">
        <v>141.172</v>
      </c>
      <c r="O191" s="4">
        <v>279.24</v>
      </c>
      <c r="P191" s="4">
        <v>3.8764546470000001</v>
      </c>
      <c r="Q191" s="4">
        <v>40.695</v>
      </c>
      <c r="R191" s="10"/>
    </row>
    <row r="192" spans="1:18" ht="28.8" x14ac:dyDescent="0.3">
      <c r="A192" t="s">
        <v>3</v>
      </c>
      <c r="B192" s="3" t="s">
        <v>281</v>
      </c>
      <c r="C192" s="2">
        <v>43192</v>
      </c>
      <c r="D192" s="9">
        <v>0.28194444444444444</v>
      </c>
      <c r="E192" s="3">
        <f t="shared" ca="1" si="2"/>
        <v>114048350</v>
      </c>
      <c r="F192" t="s">
        <v>11</v>
      </c>
      <c r="G192" t="s">
        <v>15</v>
      </c>
      <c r="H192" s="1" t="s">
        <v>237</v>
      </c>
      <c r="I192" t="s">
        <v>19</v>
      </c>
      <c r="J192" s="4">
        <v>9.6999999999999993</v>
      </c>
      <c r="K192" s="4">
        <v>92.03</v>
      </c>
      <c r="L192" s="4">
        <v>3</v>
      </c>
      <c r="M192" s="4">
        <v>73.33</v>
      </c>
      <c r="N192" s="4">
        <v>122.3897</v>
      </c>
      <c r="O192" s="4">
        <v>231.12</v>
      </c>
      <c r="P192" s="4">
        <v>3.8764546470000001</v>
      </c>
      <c r="Q192" s="4">
        <v>89.66</v>
      </c>
      <c r="R192" s="10"/>
    </row>
    <row r="193" spans="1:18" x14ac:dyDescent="0.3">
      <c r="A193" t="s">
        <v>3</v>
      </c>
      <c r="B193" s="3" t="s">
        <v>281</v>
      </c>
      <c r="C193" s="2">
        <v>42981</v>
      </c>
      <c r="D193" s="9">
        <v>0.32569444444444445</v>
      </c>
      <c r="E193" s="3">
        <f t="shared" ca="1" si="2"/>
        <v>948279385</v>
      </c>
      <c r="F193" t="s">
        <v>11</v>
      </c>
      <c r="G193" t="s">
        <v>15</v>
      </c>
      <c r="H193" s="1" t="s">
        <v>235</v>
      </c>
      <c r="I193" t="s">
        <v>22</v>
      </c>
      <c r="J193" s="4">
        <v>2</v>
      </c>
      <c r="K193" s="4">
        <v>21.21</v>
      </c>
      <c r="L193" s="4">
        <v>2</v>
      </c>
      <c r="M193" s="4">
        <v>11.3</v>
      </c>
      <c r="N193" s="4">
        <v>133.14779999999999</v>
      </c>
      <c r="O193" s="4">
        <v>147.04</v>
      </c>
      <c r="P193" s="4">
        <v>3.8764546470000001</v>
      </c>
      <c r="Q193" s="4">
        <v>24.683</v>
      </c>
      <c r="R193" s="10"/>
    </row>
    <row r="194" spans="1:18" x14ac:dyDescent="0.3">
      <c r="A194" t="s">
        <v>2</v>
      </c>
      <c r="B194" s="3" t="s">
        <v>280</v>
      </c>
      <c r="C194" s="2">
        <v>43193</v>
      </c>
      <c r="D194" s="9">
        <v>0.4909722222222222</v>
      </c>
      <c r="E194" s="3">
        <f t="shared" ca="1" si="2"/>
        <v>640520845</v>
      </c>
      <c r="F194" t="s">
        <v>11</v>
      </c>
      <c r="G194" t="s">
        <v>15</v>
      </c>
      <c r="H194" s="1" t="s">
        <v>236</v>
      </c>
      <c r="I194" t="s">
        <v>21</v>
      </c>
      <c r="J194" s="4">
        <v>9.4</v>
      </c>
      <c r="K194" s="4">
        <v>69.83</v>
      </c>
      <c r="L194" s="4">
        <v>9</v>
      </c>
      <c r="M194" s="4">
        <v>23.83</v>
      </c>
      <c r="N194" s="4">
        <v>141.05070000000001</v>
      </c>
      <c r="O194" s="4">
        <v>790.2</v>
      </c>
      <c r="P194" s="4">
        <v>3.8764546470000001</v>
      </c>
      <c r="Q194" s="4">
        <v>80.290000000000006</v>
      </c>
      <c r="R194" s="10"/>
    </row>
    <row r="195" spans="1:18" x14ac:dyDescent="0.3">
      <c r="A195" t="s">
        <v>3</v>
      </c>
      <c r="B195" s="3" t="s">
        <v>281</v>
      </c>
      <c r="C195" s="2">
        <v>43272</v>
      </c>
      <c r="D195" s="9">
        <v>0.97222222222222221</v>
      </c>
      <c r="E195" s="3">
        <f t="shared" ref="E195:E258" ca="1" si="3">RANDBETWEEN(10000000,1000000000)</f>
        <v>378593595</v>
      </c>
      <c r="F195" t="s">
        <v>12</v>
      </c>
      <c r="G195" t="s">
        <v>15</v>
      </c>
      <c r="H195" s="1" t="s">
        <v>235</v>
      </c>
      <c r="I195" t="s">
        <v>19</v>
      </c>
      <c r="J195" s="4">
        <v>5.9</v>
      </c>
      <c r="K195" s="4">
        <v>49.96</v>
      </c>
      <c r="L195" s="4">
        <v>4</v>
      </c>
      <c r="M195" s="4">
        <v>91.06</v>
      </c>
      <c r="N195" s="4">
        <v>177.18690000000001</v>
      </c>
      <c r="O195" s="4">
        <v>102.2</v>
      </c>
      <c r="P195" s="4">
        <v>3.8764546470000001</v>
      </c>
      <c r="Q195" s="4">
        <v>85.031999999999996</v>
      </c>
      <c r="R195" s="10"/>
    </row>
    <row r="196" spans="1:18" ht="28.8" x14ac:dyDescent="0.3">
      <c r="A196" t="s">
        <v>1</v>
      </c>
      <c r="B196" s="3" t="s">
        <v>279</v>
      </c>
      <c r="C196" s="2">
        <v>43348</v>
      </c>
      <c r="D196" s="9">
        <v>8.2638888888888887E-2</v>
      </c>
      <c r="E196" s="3">
        <f t="shared" ca="1" si="3"/>
        <v>519105309</v>
      </c>
      <c r="F196" t="s">
        <v>12</v>
      </c>
      <c r="G196" t="s">
        <v>15</v>
      </c>
      <c r="H196" s="1" t="s">
        <v>237</v>
      </c>
      <c r="I196" t="s">
        <v>18</v>
      </c>
      <c r="J196" s="4">
        <v>4.3</v>
      </c>
      <c r="K196" s="4">
        <v>63.31</v>
      </c>
      <c r="L196" s="4">
        <v>5</v>
      </c>
      <c r="M196" s="4">
        <v>28.16</v>
      </c>
      <c r="N196" s="4">
        <v>164.9589</v>
      </c>
      <c r="O196" s="4">
        <v>163.55000000000001</v>
      </c>
      <c r="P196" s="4">
        <v>3.8764546470000001</v>
      </c>
      <c r="Q196" s="4">
        <v>25.206</v>
      </c>
      <c r="R196" s="10"/>
    </row>
    <row r="197" spans="1:18" x14ac:dyDescent="0.3">
      <c r="A197" t="s">
        <v>2</v>
      </c>
      <c r="B197" s="3" t="s">
        <v>280</v>
      </c>
      <c r="C197" s="2">
        <v>43381</v>
      </c>
      <c r="D197" s="9">
        <v>0.84583333333333333</v>
      </c>
      <c r="E197" s="3">
        <f t="shared" ca="1" si="3"/>
        <v>173784349</v>
      </c>
      <c r="F197" t="s">
        <v>11</v>
      </c>
      <c r="G197" t="s">
        <v>14</v>
      </c>
      <c r="H197" s="1" t="s">
        <v>236</v>
      </c>
      <c r="I197" t="s">
        <v>22</v>
      </c>
      <c r="J197" s="4">
        <v>1</v>
      </c>
      <c r="K197" s="4">
        <v>87.36</v>
      </c>
      <c r="L197" s="4">
        <v>1</v>
      </c>
      <c r="M197" s="4">
        <v>36.32</v>
      </c>
      <c r="N197" s="4">
        <v>158.8956</v>
      </c>
      <c r="O197" s="4">
        <v>74.290000000000006</v>
      </c>
      <c r="P197" s="4">
        <v>3.8764546470000001</v>
      </c>
      <c r="Q197" s="4">
        <v>49.924999999999997</v>
      </c>
      <c r="R197" s="10"/>
    </row>
    <row r="198" spans="1:18" x14ac:dyDescent="0.3">
      <c r="A198" t="s">
        <v>2</v>
      </c>
      <c r="B198" s="3" t="s">
        <v>280</v>
      </c>
      <c r="C198" s="2">
        <v>42970</v>
      </c>
      <c r="D198" s="9">
        <v>0.35486111111111113</v>
      </c>
      <c r="E198" s="3">
        <f t="shared" ca="1" si="3"/>
        <v>560552379</v>
      </c>
      <c r="F198" t="s">
        <v>12</v>
      </c>
      <c r="G198" t="s">
        <v>14</v>
      </c>
      <c r="H198" s="1" t="s">
        <v>236</v>
      </c>
      <c r="I198" t="s">
        <v>17</v>
      </c>
      <c r="J198" s="4">
        <v>2</v>
      </c>
      <c r="K198" s="4">
        <v>12.53</v>
      </c>
      <c r="L198" s="4">
        <v>2</v>
      </c>
      <c r="M198" s="4">
        <v>87.51</v>
      </c>
      <c r="N198" s="4">
        <v>140.64859999999999</v>
      </c>
      <c r="O198" s="4">
        <v>87.4</v>
      </c>
      <c r="P198" s="4">
        <v>3.8764546470000001</v>
      </c>
      <c r="Q198" s="4">
        <v>23.957000000000001</v>
      </c>
      <c r="R198" s="10"/>
    </row>
    <row r="199" spans="1:18" x14ac:dyDescent="0.3">
      <c r="A199" t="s">
        <v>1</v>
      </c>
      <c r="B199" s="3" t="s">
        <v>279</v>
      </c>
      <c r="C199" s="2">
        <v>43449</v>
      </c>
      <c r="D199" s="9">
        <v>0.15555555555555556</v>
      </c>
      <c r="E199" s="3">
        <f t="shared" ca="1" si="3"/>
        <v>818411157</v>
      </c>
      <c r="F199" t="s">
        <v>11</v>
      </c>
      <c r="G199" t="s">
        <v>15</v>
      </c>
      <c r="H199" s="1" t="s">
        <v>235</v>
      </c>
      <c r="I199" t="s">
        <v>19</v>
      </c>
      <c r="J199" s="4">
        <v>9</v>
      </c>
      <c r="K199" s="4">
        <v>51.45</v>
      </c>
      <c r="L199" s="4">
        <v>1</v>
      </c>
      <c r="M199" s="4">
        <v>86.39</v>
      </c>
      <c r="N199" s="4">
        <v>146.3931</v>
      </c>
      <c r="O199" s="4">
        <v>25.29</v>
      </c>
      <c r="P199" s="4">
        <v>3.8764546470000001</v>
      </c>
      <c r="Q199" s="4">
        <v>77.293000000000006</v>
      </c>
      <c r="R199" s="10"/>
    </row>
    <row r="200" spans="1:18" ht="28.8" x14ac:dyDescent="0.3">
      <c r="A200" t="s">
        <v>2</v>
      </c>
      <c r="B200" s="3" t="s">
        <v>280</v>
      </c>
      <c r="C200" s="2">
        <v>43370</v>
      </c>
      <c r="D200" s="9">
        <v>4.3749999999999997E-2</v>
      </c>
      <c r="E200" s="3">
        <f t="shared" ca="1" si="3"/>
        <v>112467627</v>
      </c>
      <c r="F200" t="s">
        <v>12</v>
      </c>
      <c r="G200" t="s">
        <v>15</v>
      </c>
      <c r="H200" s="1" t="s">
        <v>237</v>
      </c>
      <c r="I200" t="s">
        <v>17</v>
      </c>
      <c r="J200" s="4">
        <v>8</v>
      </c>
      <c r="K200" s="4">
        <v>82.82</v>
      </c>
      <c r="L200" s="4">
        <v>4</v>
      </c>
      <c r="M200" s="4">
        <v>36.19</v>
      </c>
      <c r="N200" s="4">
        <v>123.4965</v>
      </c>
      <c r="O200" s="4">
        <v>166</v>
      </c>
      <c r="P200" s="4">
        <v>3.8764546470000001</v>
      </c>
      <c r="Q200" s="4">
        <v>91.569000000000003</v>
      </c>
      <c r="R200" s="10"/>
    </row>
    <row r="201" spans="1:18" ht="28.8" x14ac:dyDescent="0.3">
      <c r="A201" t="s">
        <v>2</v>
      </c>
      <c r="B201" s="3" t="s">
        <v>280</v>
      </c>
      <c r="C201" s="2">
        <v>42985</v>
      </c>
      <c r="D201" s="9">
        <v>0.30625000000000002</v>
      </c>
      <c r="E201" s="3">
        <f t="shared" ca="1" si="3"/>
        <v>780497400</v>
      </c>
      <c r="F201" t="s">
        <v>11</v>
      </c>
      <c r="G201" t="s">
        <v>14</v>
      </c>
      <c r="H201" s="1" t="s">
        <v>237</v>
      </c>
      <c r="I201" t="s">
        <v>21</v>
      </c>
      <c r="J201" s="4">
        <v>4.0999999999999996</v>
      </c>
      <c r="K201" s="4">
        <v>56.09</v>
      </c>
      <c r="L201" s="4">
        <v>5</v>
      </c>
      <c r="M201" s="4">
        <v>86.94</v>
      </c>
      <c r="N201" s="4">
        <v>161.60499999999999</v>
      </c>
      <c r="O201" s="4">
        <v>356.95</v>
      </c>
      <c r="P201" s="4">
        <v>3.8764546470000001</v>
      </c>
      <c r="Q201" s="4">
        <v>43.465000000000003</v>
      </c>
      <c r="R201" s="10"/>
    </row>
    <row r="202" spans="1:18" ht="28.8" x14ac:dyDescent="0.3">
      <c r="A202" t="s">
        <v>2</v>
      </c>
      <c r="B202" s="3" t="s">
        <v>280</v>
      </c>
      <c r="C202" s="2">
        <v>43307</v>
      </c>
      <c r="D202" s="9">
        <v>0.22847222222222222</v>
      </c>
      <c r="E202" s="3">
        <f t="shared" ca="1" si="3"/>
        <v>716916257</v>
      </c>
      <c r="F202" t="s">
        <v>11</v>
      </c>
      <c r="G202" t="s">
        <v>14</v>
      </c>
      <c r="H202" s="1" t="s">
        <v>237</v>
      </c>
      <c r="I202" t="s">
        <v>20</v>
      </c>
      <c r="J202" s="4">
        <v>9</v>
      </c>
      <c r="K202" s="4">
        <v>48.73</v>
      </c>
      <c r="L202" s="4">
        <v>6</v>
      </c>
      <c r="M202" s="4">
        <v>77.540000000000006</v>
      </c>
      <c r="N202" s="4">
        <v>173.18450000000001</v>
      </c>
      <c r="O202" s="4">
        <v>114.9</v>
      </c>
      <c r="P202" s="4">
        <v>3.8764546470000001</v>
      </c>
      <c r="Q202" s="4">
        <v>36.037999999999997</v>
      </c>
      <c r="R202" s="10"/>
    </row>
    <row r="203" spans="1:18" x14ac:dyDescent="0.3">
      <c r="A203" t="s">
        <v>3</v>
      </c>
      <c r="B203" s="3" t="s">
        <v>281</v>
      </c>
      <c r="C203" s="2">
        <v>43284</v>
      </c>
      <c r="D203" s="9">
        <v>0.83125000000000004</v>
      </c>
      <c r="E203" s="3">
        <f t="shared" ca="1" si="3"/>
        <v>651115437</v>
      </c>
      <c r="F203" t="s">
        <v>11</v>
      </c>
      <c r="G203" t="s">
        <v>14</v>
      </c>
      <c r="H203" s="1" t="s">
        <v>236</v>
      </c>
      <c r="I203" t="s">
        <v>18</v>
      </c>
      <c r="J203" s="4">
        <v>4.0999999999999996</v>
      </c>
      <c r="K203" s="4">
        <v>62.62</v>
      </c>
      <c r="L203" s="4">
        <v>4</v>
      </c>
      <c r="M203" s="4">
        <v>18.010000000000002</v>
      </c>
      <c r="N203" s="4">
        <v>105.6965</v>
      </c>
      <c r="O203" s="4">
        <v>229.96</v>
      </c>
      <c r="P203" s="4">
        <v>3.8764546470000001</v>
      </c>
      <c r="Q203" s="4">
        <v>12.996</v>
      </c>
      <c r="R203" s="10"/>
    </row>
    <row r="204" spans="1:18" x14ac:dyDescent="0.3">
      <c r="A204" t="s">
        <v>2</v>
      </c>
      <c r="B204" s="3" t="s">
        <v>280</v>
      </c>
      <c r="C204" s="2">
        <v>42830</v>
      </c>
      <c r="D204" s="9">
        <v>0.92361111111111116</v>
      </c>
      <c r="E204" s="3">
        <f t="shared" ca="1" si="3"/>
        <v>390134951</v>
      </c>
      <c r="F204" t="s">
        <v>12</v>
      </c>
      <c r="G204" t="s">
        <v>15</v>
      </c>
      <c r="H204" s="1" t="s">
        <v>236</v>
      </c>
      <c r="I204" t="s">
        <v>18</v>
      </c>
      <c r="J204" s="4">
        <v>1.5</v>
      </c>
      <c r="K204" s="4">
        <v>41.57</v>
      </c>
      <c r="L204" s="4">
        <v>7</v>
      </c>
      <c r="M204" s="4">
        <v>31.06</v>
      </c>
      <c r="N204" s="4">
        <v>154.42439999999999</v>
      </c>
      <c r="O204" s="4">
        <v>429.87</v>
      </c>
      <c r="P204" s="4">
        <v>3.8764546470000001</v>
      </c>
      <c r="Q204" s="4">
        <v>50.578000000000003</v>
      </c>
      <c r="R204" s="10"/>
    </row>
    <row r="205" spans="1:18" x14ac:dyDescent="0.3">
      <c r="A205" t="s">
        <v>3</v>
      </c>
      <c r="B205" s="3" t="s">
        <v>281</v>
      </c>
      <c r="C205" s="2">
        <v>42919</v>
      </c>
      <c r="D205" s="9">
        <v>0.58819444444444446</v>
      </c>
      <c r="E205" s="3">
        <f t="shared" ca="1" si="3"/>
        <v>775495630</v>
      </c>
      <c r="F205" t="s">
        <v>12</v>
      </c>
      <c r="G205" t="s">
        <v>14</v>
      </c>
      <c r="H205" s="1" t="s">
        <v>235</v>
      </c>
      <c r="I205" t="s">
        <v>17</v>
      </c>
      <c r="J205" s="4">
        <v>9.8000000000000007</v>
      </c>
      <c r="K205" s="4">
        <v>48.66</v>
      </c>
      <c r="L205" s="4">
        <v>10</v>
      </c>
      <c r="M205" s="4">
        <v>17.82</v>
      </c>
      <c r="N205" s="4">
        <v>107.9375</v>
      </c>
      <c r="O205" s="4">
        <v>259</v>
      </c>
      <c r="P205" s="4">
        <v>3.8764546470000001</v>
      </c>
      <c r="Q205" s="4">
        <v>38.97</v>
      </c>
      <c r="R205" s="10"/>
    </row>
    <row r="206" spans="1:18" ht="28.8" x14ac:dyDescent="0.3">
      <c r="A206" t="s">
        <v>3</v>
      </c>
      <c r="B206" s="3" t="s">
        <v>281</v>
      </c>
      <c r="C206" s="2">
        <v>42826</v>
      </c>
      <c r="D206" s="9">
        <v>0.36458333333333331</v>
      </c>
      <c r="E206" s="3">
        <f t="shared" ca="1" si="3"/>
        <v>662122420</v>
      </c>
      <c r="F206" t="s">
        <v>12</v>
      </c>
      <c r="G206" t="s">
        <v>14</v>
      </c>
      <c r="H206" s="1" t="s">
        <v>237</v>
      </c>
      <c r="I206" t="s">
        <v>19</v>
      </c>
      <c r="J206" s="4">
        <v>5.3</v>
      </c>
      <c r="K206" s="4">
        <v>86.1</v>
      </c>
      <c r="L206" s="4">
        <v>5</v>
      </c>
      <c r="M206" s="4">
        <v>45.2</v>
      </c>
      <c r="N206" s="4">
        <v>131.8673</v>
      </c>
      <c r="O206" s="4">
        <v>88.85</v>
      </c>
      <c r="P206" s="4">
        <v>3.8764546470000001</v>
      </c>
      <c r="Q206" s="4">
        <v>38.11</v>
      </c>
      <c r="R206" s="10"/>
    </row>
    <row r="207" spans="1:18" x14ac:dyDescent="0.3">
      <c r="A207" t="s">
        <v>1</v>
      </c>
      <c r="B207" s="3" t="s">
        <v>279</v>
      </c>
      <c r="C207" s="2">
        <v>43225</v>
      </c>
      <c r="D207" s="9">
        <v>0.63680555555555551</v>
      </c>
      <c r="E207" s="3">
        <f t="shared" ca="1" si="3"/>
        <v>989204672</v>
      </c>
      <c r="F207" t="s">
        <v>11</v>
      </c>
      <c r="G207" t="s">
        <v>15</v>
      </c>
      <c r="H207" s="1" t="s">
        <v>235</v>
      </c>
      <c r="I207" t="s">
        <v>17</v>
      </c>
      <c r="J207" s="4">
        <v>7.9</v>
      </c>
      <c r="K207" s="4">
        <v>62.69</v>
      </c>
      <c r="L207" s="4">
        <v>9</v>
      </c>
      <c r="M207" s="4">
        <v>99.21</v>
      </c>
      <c r="N207" s="4">
        <v>143.41489999999999</v>
      </c>
      <c r="O207" s="4">
        <v>207.27</v>
      </c>
      <c r="P207" s="4">
        <v>3.8764546470000001</v>
      </c>
      <c r="Q207" s="4">
        <v>81.099999999999994</v>
      </c>
      <c r="R207" s="10"/>
    </row>
    <row r="208" spans="1:18" ht="28.8" x14ac:dyDescent="0.3">
      <c r="A208" t="s">
        <v>2</v>
      </c>
      <c r="B208" s="3" t="s">
        <v>280</v>
      </c>
      <c r="C208" s="2">
        <v>43289</v>
      </c>
      <c r="D208" s="9">
        <v>0.63680555555555551</v>
      </c>
      <c r="E208" s="3">
        <f t="shared" ca="1" si="3"/>
        <v>167922774</v>
      </c>
      <c r="F208" t="s">
        <v>11</v>
      </c>
      <c r="G208" t="s">
        <v>14</v>
      </c>
      <c r="H208" s="1" t="s">
        <v>237</v>
      </c>
      <c r="I208" t="s">
        <v>18</v>
      </c>
      <c r="J208" s="4">
        <v>7.3</v>
      </c>
      <c r="K208" s="4">
        <v>85.75</v>
      </c>
      <c r="L208" s="4">
        <v>9</v>
      </c>
      <c r="M208" s="4">
        <v>17.79</v>
      </c>
      <c r="N208" s="4">
        <v>125.72020000000001</v>
      </c>
      <c r="O208" s="4">
        <v>599.85</v>
      </c>
      <c r="P208" s="4">
        <v>3.8764546470000001</v>
      </c>
      <c r="Q208" s="4">
        <v>14.19</v>
      </c>
      <c r="R208" s="10"/>
    </row>
    <row r="209" spans="1:18" x14ac:dyDescent="0.3">
      <c r="A209" t="s">
        <v>2</v>
      </c>
      <c r="B209" s="3" t="s">
        <v>280</v>
      </c>
      <c r="C209" s="2">
        <v>43319</v>
      </c>
      <c r="D209" s="9">
        <v>0.79236111111111107</v>
      </c>
      <c r="E209" s="3">
        <f t="shared" ca="1" si="3"/>
        <v>769343792</v>
      </c>
      <c r="F209" t="s">
        <v>11</v>
      </c>
      <c r="G209" t="s">
        <v>14</v>
      </c>
      <c r="H209" s="1" t="s">
        <v>235</v>
      </c>
      <c r="I209" t="s">
        <v>19</v>
      </c>
      <c r="J209" s="4">
        <v>7.2</v>
      </c>
      <c r="K209" s="4">
        <v>57.02</v>
      </c>
      <c r="L209" s="4">
        <v>10</v>
      </c>
      <c r="M209" s="4">
        <v>35.659999999999997</v>
      </c>
      <c r="N209" s="4">
        <v>158.54060000000001</v>
      </c>
      <c r="O209" s="4">
        <v>285.3</v>
      </c>
      <c r="P209" s="4">
        <v>3.8764546470000001</v>
      </c>
      <c r="Q209" s="4">
        <v>35.71</v>
      </c>
      <c r="R209" s="10"/>
    </row>
    <row r="210" spans="1:18" x14ac:dyDescent="0.3">
      <c r="A210" t="s">
        <v>3</v>
      </c>
      <c r="B210" s="3" t="s">
        <v>281</v>
      </c>
      <c r="C210" s="2">
        <v>43081</v>
      </c>
      <c r="D210" s="9">
        <v>0.56388888888888888</v>
      </c>
      <c r="E210" s="3">
        <f t="shared" ca="1" si="3"/>
        <v>447304542</v>
      </c>
      <c r="F210" t="s">
        <v>11</v>
      </c>
      <c r="G210" t="s">
        <v>15</v>
      </c>
      <c r="H210" s="1" t="s">
        <v>235</v>
      </c>
      <c r="I210" t="s">
        <v>22</v>
      </c>
      <c r="J210" s="4">
        <v>7</v>
      </c>
      <c r="K210" s="4">
        <v>56.6</v>
      </c>
      <c r="L210" s="4">
        <v>3</v>
      </c>
      <c r="M210" s="4">
        <v>68.7</v>
      </c>
      <c r="N210" s="4">
        <v>111.65349999999999</v>
      </c>
      <c r="O210" s="4">
        <v>91.11</v>
      </c>
      <c r="P210" s="4">
        <v>3.8764546470000001</v>
      </c>
      <c r="Q210" s="4">
        <v>71.16</v>
      </c>
      <c r="R210" s="10"/>
    </row>
    <row r="211" spans="1:18" ht="28.8" x14ac:dyDescent="0.3">
      <c r="A211" t="s">
        <v>3</v>
      </c>
      <c r="B211" s="3" t="s">
        <v>281</v>
      </c>
      <c r="C211" s="2">
        <v>42911</v>
      </c>
      <c r="D211" s="9">
        <v>0.75347222222222221</v>
      </c>
      <c r="E211" s="3">
        <f t="shared" ca="1" si="3"/>
        <v>597537922</v>
      </c>
      <c r="F211" t="s">
        <v>11</v>
      </c>
      <c r="G211" t="s">
        <v>15</v>
      </c>
      <c r="H211" s="1" t="s">
        <v>237</v>
      </c>
      <c r="I211" t="s">
        <v>18</v>
      </c>
      <c r="J211" s="4">
        <v>1.8</v>
      </c>
      <c r="K211" s="4">
        <v>17.66</v>
      </c>
      <c r="L211" s="4">
        <v>9</v>
      </c>
      <c r="M211" s="4">
        <v>48.66</v>
      </c>
      <c r="N211" s="4">
        <v>149.2371</v>
      </c>
      <c r="O211" s="4">
        <v>897.57</v>
      </c>
      <c r="P211" s="4">
        <v>3.8764546470000001</v>
      </c>
      <c r="Q211" s="4">
        <v>65.09</v>
      </c>
      <c r="R211" s="10"/>
    </row>
    <row r="212" spans="1:18" x14ac:dyDescent="0.3">
      <c r="A212" t="s">
        <v>1</v>
      </c>
      <c r="B212" s="3" t="s">
        <v>279</v>
      </c>
      <c r="C212" s="2">
        <v>43213</v>
      </c>
      <c r="D212" s="9">
        <v>0.92361111111111116</v>
      </c>
      <c r="E212" s="3">
        <f t="shared" ca="1" si="3"/>
        <v>674969274</v>
      </c>
      <c r="F212" t="s">
        <v>12</v>
      </c>
      <c r="G212" t="s">
        <v>15</v>
      </c>
      <c r="H212" s="1" t="s">
        <v>235</v>
      </c>
      <c r="I212" t="s">
        <v>18</v>
      </c>
      <c r="J212" s="4">
        <v>8</v>
      </c>
      <c r="K212" s="4">
        <v>95.69</v>
      </c>
      <c r="L212" s="4">
        <v>9</v>
      </c>
      <c r="M212" s="4">
        <v>81.06</v>
      </c>
      <c r="N212" s="4">
        <v>171.82329999999999</v>
      </c>
      <c r="O212" s="4">
        <v>236.07</v>
      </c>
      <c r="P212" s="4">
        <v>3.8764546470000001</v>
      </c>
      <c r="Q212" s="4">
        <v>79.075999999999993</v>
      </c>
      <c r="R212" s="10"/>
    </row>
    <row r="213" spans="1:18" x14ac:dyDescent="0.3">
      <c r="A213" t="s">
        <v>2</v>
      </c>
      <c r="B213" s="3" t="s">
        <v>280</v>
      </c>
      <c r="C213" s="2">
        <v>43133</v>
      </c>
      <c r="D213" s="9">
        <v>0.83125000000000004</v>
      </c>
      <c r="E213" s="3">
        <f t="shared" ca="1" si="3"/>
        <v>176823628</v>
      </c>
      <c r="F213" t="s">
        <v>11</v>
      </c>
      <c r="G213" t="s">
        <v>15</v>
      </c>
      <c r="H213" s="1" t="s">
        <v>236</v>
      </c>
      <c r="I213" t="s">
        <v>21</v>
      </c>
      <c r="J213" s="4">
        <v>2</v>
      </c>
      <c r="K213" s="4">
        <v>26.16</v>
      </c>
      <c r="L213" s="4">
        <v>9</v>
      </c>
      <c r="M213" s="4">
        <v>46.58</v>
      </c>
      <c r="N213" s="4">
        <v>158.84710000000001</v>
      </c>
      <c r="O213" s="4">
        <v>839.34</v>
      </c>
      <c r="P213" s="4">
        <v>3.8764546470000001</v>
      </c>
      <c r="Q213" s="4">
        <v>79.986000000000004</v>
      </c>
      <c r="R213" s="10"/>
    </row>
    <row r="214" spans="1:18" x14ac:dyDescent="0.3">
      <c r="A214" t="s">
        <v>3</v>
      </c>
      <c r="B214" s="3" t="s">
        <v>281</v>
      </c>
      <c r="C214" s="2">
        <v>43094</v>
      </c>
      <c r="D214" s="9">
        <v>0.90902777777777777</v>
      </c>
      <c r="E214" s="3">
        <f t="shared" ca="1" si="3"/>
        <v>606268311</v>
      </c>
      <c r="F214" t="s">
        <v>12</v>
      </c>
      <c r="G214" t="s">
        <v>15</v>
      </c>
      <c r="H214" s="1" t="s">
        <v>235</v>
      </c>
      <c r="I214" t="s">
        <v>19</v>
      </c>
      <c r="J214" s="4">
        <v>6.8</v>
      </c>
      <c r="K214" s="4">
        <v>29.98</v>
      </c>
      <c r="L214" s="4">
        <v>5</v>
      </c>
      <c r="M214" s="4">
        <v>40.42</v>
      </c>
      <c r="N214" s="4">
        <v>170.2867</v>
      </c>
      <c r="O214" s="4">
        <v>461.8</v>
      </c>
      <c r="P214" s="4">
        <v>3.8764546470000001</v>
      </c>
      <c r="Q214" s="4">
        <v>99.897999999999996</v>
      </c>
      <c r="R214" s="10"/>
    </row>
    <row r="215" spans="1:18" ht="28.8" x14ac:dyDescent="0.3">
      <c r="A215" t="s">
        <v>3</v>
      </c>
      <c r="B215" s="3" t="s">
        <v>281</v>
      </c>
      <c r="C215" s="2">
        <v>43150</v>
      </c>
      <c r="D215" s="9">
        <v>0.48125000000000001</v>
      </c>
      <c r="E215" s="3">
        <f t="shared" ca="1" si="3"/>
        <v>382194345</v>
      </c>
      <c r="F215" t="s">
        <v>12</v>
      </c>
      <c r="G215" t="s">
        <v>15</v>
      </c>
      <c r="H215" s="1" t="s">
        <v>237</v>
      </c>
      <c r="I215" t="s">
        <v>20</v>
      </c>
      <c r="J215" s="4">
        <v>1.4</v>
      </c>
      <c r="K215" s="4">
        <v>36.049999999999997</v>
      </c>
      <c r="L215" s="4">
        <v>3</v>
      </c>
      <c r="M215" s="4">
        <v>59.88</v>
      </c>
      <c r="N215" s="4">
        <v>134.1858</v>
      </c>
      <c r="O215" s="4">
        <v>139.26</v>
      </c>
      <c r="P215" s="4">
        <v>3.8764546470000001</v>
      </c>
      <c r="Q215" s="4">
        <v>85.174000000000007</v>
      </c>
      <c r="R215" s="10"/>
    </row>
    <row r="216" spans="1:18" x14ac:dyDescent="0.3">
      <c r="A216" t="s">
        <v>3</v>
      </c>
      <c r="B216" s="3" t="s">
        <v>281</v>
      </c>
      <c r="C216" s="2">
        <v>43181</v>
      </c>
      <c r="D216" s="9">
        <v>0.79722222222222228</v>
      </c>
      <c r="E216" s="3">
        <f t="shared" ca="1" si="3"/>
        <v>239901835</v>
      </c>
      <c r="F216" t="s">
        <v>11</v>
      </c>
      <c r="G216" t="s">
        <v>14</v>
      </c>
      <c r="H216" s="1" t="s">
        <v>236</v>
      </c>
      <c r="I216" t="s">
        <v>20</v>
      </c>
      <c r="J216" s="4">
        <v>8.6999999999999993</v>
      </c>
      <c r="K216" s="4">
        <v>29.94</v>
      </c>
      <c r="L216" s="4">
        <v>7</v>
      </c>
      <c r="M216" s="4">
        <v>92.01</v>
      </c>
      <c r="N216" s="4">
        <v>156.11240000000001</v>
      </c>
      <c r="O216" s="4">
        <v>207.27</v>
      </c>
      <c r="P216" s="4">
        <v>3.8764546470000001</v>
      </c>
      <c r="Q216" s="4">
        <v>66.551000000000002</v>
      </c>
      <c r="R216" s="10"/>
    </row>
    <row r="217" spans="1:18" ht="28.8" x14ac:dyDescent="0.3">
      <c r="A217" t="s">
        <v>1</v>
      </c>
      <c r="B217" s="3" t="s">
        <v>279</v>
      </c>
      <c r="C217" s="2">
        <v>42923</v>
      </c>
      <c r="D217" s="9">
        <v>0.5541666666666667</v>
      </c>
      <c r="E217" s="3">
        <f t="shared" ca="1" si="3"/>
        <v>173490520</v>
      </c>
      <c r="F217" t="s">
        <v>12</v>
      </c>
      <c r="G217" t="s">
        <v>15</v>
      </c>
      <c r="H217" s="1" t="s">
        <v>237</v>
      </c>
      <c r="I217" t="s">
        <v>19</v>
      </c>
      <c r="J217" s="4">
        <v>7.5</v>
      </c>
      <c r="K217" s="4">
        <v>38.51</v>
      </c>
      <c r="L217" s="4">
        <v>1</v>
      </c>
      <c r="M217" s="4">
        <v>72.739999999999995</v>
      </c>
      <c r="N217" s="4">
        <v>128.2458</v>
      </c>
      <c r="O217" s="4">
        <v>18.28</v>
      </c>
      <c r="P217" s="4">
        <v>3.8764546470000001</v>
      </c>
      <c r="Q217" s="4">
        <v>63.27</v>
      </c>
      <c r="R217" s="10"/>
    </row>
    <row r="218" spans="1:18" x14ac:dyDescent="0.3">
      <c r="A218" t="s">
        <v>3</v>
      </c>
      <c r="B218" s="3" t="s">
        <v>281</v>
      </c>
      <c r="C218" s="2">
        <v>43408</v>
      </c>
      <c r="D218" s="9">
        <v>0.92847222222222225</v>
      </c>
      <c r="E218" s="3">
        <f t="shared" ca="1" si="3"/>
        <v>503620859</v>
      </c>
      <c r="F218" t="s">
        <v>11</v>
      </c>
      <c r="G218" t="s">
        <v>15</v>
      </c>
      <c r="H218" s="1" t="s">
        <v>236</v>
      </c>
      <c r="I218" t="s">
        <v>20</v>
      </c>
      <c r="J218" s="4">
        <v>1</v>
      </c>
      <c r="K218" s="4">
        <v>13.17</v>
      </c>
      <c r="L218" s="4">
        <v>5</v>
      </c>
      <c r="M218" s="4">
        <v>12.42</v>
      </c>
      <c r="N218" s="4">
        <v>148.42099999999999</v>
      </c>
      <c r="O218" s="4">
        <v>123.85</v>
      </c>
      <c r="P218" s="4">
        <v>3.8764546470000001</v>
      </c>
      <c r="Q218" s="4">
        <v>75.86</v>
      </c>
      <c r="R218" s="10"/>
    </row>
    <row r="219" spans="1:18" x14ac:dyDescent="0.3">
      <c r="A219" t="s">
        <v>1</v>
      </c>
      <c r="B219" s="3" t="s">
        <v>279</v>
      </c>
      <c r="C219" s="2">
        <v>42926</v>
      </c>
      <c r="D219" s="9">
        <v>0.4861111111111111</v>
      </c>
      <c r="E219" s="3">
        <f t="shared" ca="1" si="3"/>
        <v>156418059</v>
      </c>
      <c r="F219" t="s">
        <v>11</v>
      </c>
      <c r="G219" t="s">
        <v>14</v>
      </c>
      <c r="H219" s="1" t="s">
        <v>236</v>
      </c>
      <c r="I219" t="s">
        <v>18</v>
      </c>
      <c r="J219" s="4">
        <v>4</v>
      </c>
      <c r="K219" s="4">
        <v>99.31</v>
      </c>
      <c r="L219" s="4">
        <v>3</v>
      </c>
      <c r="M219" s="4">
        <v>60.17</v>
      </c>
      <c r="N219" s="4">
        <v>107.0227</v>
      </c>
      <c r="O219" s="4">
        <v>283.92</v>
      </c>
      <c r="P219" s="4">
        <v>3.8764546470000001</v>
      </c>
      <c r="Q219" s="4">
        <v>36.840000000000003</v>
      </c>
      <c r="R219" s="10"/>
    </row>
    <row r="220" spans="1:18" x14ac:dyDescent="0.3">
      <c r="A220" t="s">
        <v>3</v>
      </c>
      <c r="B220" s="3" t="s">
        <v>281</v>
      </c>
      <c r="C220" s="2">
        <v>43359</v>
      </c>
      <c r="D220" s="9">
        <v>0.47638888888888886</v>
      </c>
      <c r="E220" s="3">
        <f t="shared" ca="1" si="3"/>
        <v>826692308</v>
      </c>
      <c r="F220" t="s">
        <v>12</v>
      </c>
      <c r="G220" t="s">
        <v>15</v>
      </c>
      <c r="H220" s="1" t="s">
        <v>235</v>
      </c>
      <c r="I220" t="s">
        <v>22</v>
      </c>
      <c r="J220" s="4">
        <v>4</v>
      </c>
      <c r="K220" s="4">
        <v>42.8</v>
      </c>
      <c r="L220" s="4">
        <v>8</v>
      </c>
      <c r="M220" s="4">
        <v>50.06</v>
      </c>
      <c r="N220" s="4">
        <v>162.81829999999999</v>
      </c>
      <c r="O220" s="4">
        <v>758.96</v>
      </c>
      <c r="P220" s="4">
        <v>3.8764546470000001</v>
      </c>
      <c r="Q220" s="4">
        <v>41.838000000000001</v>
      </c>
      <c r="R220" s="10"/>
    </row>
    <row r="221" spans="1:18" ht="28.8" x14ac:dyDescent="0.3">
      <c r="A221" t="s">
        <v>3</v>
      </c>
      <c r="B221" s="3" t="s">
        <v>281</v>
      </c>
      <c r="C221" s="2">
        <v>42857</v>
      </c>
      <c r="D221" s="9">
        <v>0.44236111111111109</v>
      </c>
      <c r="E221" s="3">
        <f t="shared" ca="1" si="3"/>
        <v>682842053</v>
      </c>
      <c r="F221" t="s">
        <v>11</v>
      </c>
      <c r="G221" t="s">
        <v>15</v>
      </c>
      <c r="H221" s="1" t="s">
        <v>237</v>
      </c>
      <c r="I221" t="s">
        <v>21</v>
      </c>
      <c r="J221" s="4">
        <v>7</v>
      </c>
      <c r="K221" s="4">
        <v>96.99</v>
      </c>
      <c r="L221" s="4">
        <v>3</v>
      </c>
      <c r="M221" s="4">
        <v>85.99</v>
      </c>
      <c r="N221" s="4">
        <v>126.1061</v>
      </c>
      <c r="O221" s="4">
        <v>172.02</v>
      </c>
      <c r="P221" s="4">
        <v>3.8764546470000001</v>
      </c>
      <c r="Q221" s="4">
        <v>68.429000000000002</v>
      </c>
      <c r="R221" s="10"/>
    </row>
    <row r="222" spans="1:18" x14ac:dyDescent="0.3">
      <c r="A222" t="s">
        <v>3</v>
      </c>
      <c r="B222" s="3" t="s">
        <v>281</v>
      </c>
      <c r="C222" s="2">
        <v>42858</v>
      </c>
      <c r="D222" s="9">
        <v>0.68055555555555558</v>
      </c>
      <c r="E222" s="3">
        <f t="shared" ca="1" si="3"/>
        <v>705784450</v>
      </c>
      <c r="F222" t="s">
        <v>12</v>
      </c>
      <c r="G222" t="s">
        <v>15</v>
      </c>
      <c r="H222" s="1" t="s">
        <v>235</v>
      </c>
      <c r="I222" t="s">
        <v>18</v>
      </c>
      <c r="J222" s="4">
        <v>9.6999999999999993</v>
      </c>
      <c r="K222" s="4">
        <v>67.91</v>
      </c>
      <c r="L222" s="4">
        <v>6</v>
      </c>
      <c r="M222" s="4">
        <v>20.64</v>
      </c>
      <c r="N222" s="4">
        <v>147.70249999999999</v>
      </c>
      <c r="O222" s="4">
        <v>272.10000000000002</v>
      </c>
      <c r="P222" s="4">
        <v>3.8764546470000001</v>
      </c>
      <c r="Q222" s="4">
        <v>35.780999999999999</v>
      </c>
      <c r="R222" s="10"/>
    </row>
    <row r="223" spans="1:18" x14ac:dyDescent="0.3">
      <c r="A223" t="s">
        <v>3</v>
      </c>
      <c r="B223" s="3" t="s">
        <v>281</v>
      </c>
      <c r="C223" s="2">
        <v>43246</v>
      </c>
      <c r="D223" s="9">
        <v>0.61250000000000004</v>
      </c>
      <c r="E223" s="3">
        <f t="shared" ca="1" si="3"/>
        <v>890249173</v>
      </c>
      <c r="F223" t="s">
        <v>12</v>
      </c>
      <c r="G223" t="s">
        <v>15</v>
      </c>
      <c r="H223" s="1" t="s">
        <v>235</v>
      </c>
      <c r="I223" t="s">
        <v>21</v>
      </c>
      <c r="J223" s="4">
        <v>4.9000000000000004</v>
      </c>
      <c r="K223" s="4">
        <v>80.38</v>
      </c>
      <c r="L223" s="4">
        <v>7</v>
      </c>
      <c r="M223" s="4">
        <v>13.95</v>
      </c>
      <c r="N223" s="4">
        <v>142.71289999999999</v>
      </c>
      <c r="O223" s="4">
        <v>434.56</v>
      </c>
      <c r="P223" s="4">
        <v>3.8764546470000001</v>
      </c>
      <c r="Q223" s="4">
        <v>88.093999999999994</v>
      </c>
      <c r="R223" s="10"/>
    </row>
    <row r="224" spans="1:18" x14ac:dyDescent="0.3">
      <c r="A224" t="s">
        <v>2</v>
      </c>
      <c r="B224" s="3" t="s">
        <v>280</v>
      </c>
      <c r="C224" s="2">
        <v>43437</v>
      </c>
      <c r="D224" s="9">
        <v>0.11180555555555556</v>
      </c>
      <c r="E224" s="3">
        <f t="shared" ca="1" si="3"/>
        <v>533246792</v>
      </c>
      <c r="F224" t="s">
        <v>12</v>
      </c>
      <c r="G224" t="s">
        <v>15</v>
      </c>
      <c r="H224" s="1" t="s">
        <v>236</v>
      </c>
      <c r="I224" t="s">
        <v>18</v>
      </c>
      <c r="J224" s="4">
        <v>7.9</v>
      </c>
      <c r="K224" s="4">
        <v>78.3</v>
      </c>
      <c r="L224" s="4">
        <v>5</v>
      </c>
      <c r="M224" s="4">
        <v>87.71</v>
      </c>
      <c r="N224" s="4">
        <v>182.31710000000001</v>
      </c>
      <c r="O224" s="4">
        <v>59.05</v>
      </c>
      <c r="P224" s="4">
        <v>3.8764546470000001</v>
      </c>
      <c r="Q224" s="4">
        <v>90.432000000000002</v>
      </c>
      <c r="R224" s="10"/>
    </row>
    <row r="225" spans="1:18" x14ac:dyDescent="0.3">
      <c r="A225" t="s">
        <v>2</v>
      </c>
      <c r="B225" s="3" t="s">
        <v>280</v>
      </c>
      <c r="C225" s="2">
        <v>43264</v>
      </c>
      <c r="D225" s="9">
        <v>0.15069444444444444</v>
      </c>
      <c r="E225" s="3">
        <f t="shared" ca="1" si="3"/>
        <v>306649642</v>
      </c>
      <c r="F225" t="s">
        <v>11</v>
      </c>
      <c r="G225" t="s">
        <v>14</v>
      </c>
      <c r="H225" s="1" t="s">
        <v>236</v>
      </c>
      <c r="I225" t="s">
        <v>22</v>
      </c>
      <c r="J225" s="4">
        <v>5.4</v>
      </c>
      <c r="K225" s="4">
        <v>78.650000000000006</v>
      </c>
      <c r="L225" s="4">
        <v>1</v>
      </c>
      <c r="M225" s="4">
        <v>82.93</v>
      </c>
      <c r="N225" s="4">
        <v>172.38919999999999</v>
      </c>
      <c r="O225" s="4">
        <v>12.54</v>
      </c>
      <c r="P225" s="4">
        <v>3.8764546470000001</v>
      </c>
      <c r="Q225" s="4">
        <v>87.88</v>
      </c>
      <c r="R225" s="10"/>
    </row>
    <row r="226" spans="1:18" x14ac:dyDescent="0.3">
      <c r="A226" t="s">
        <v>1</v>
      </c>
      <c r="B226" s="3" t="s">
        <v>279</v>
      </c>
      <c r="C226" s="2">
        <v>42866</v>
      </c>
      <c r="D226" s="9">
        <v>9.7222222222222224E-3</v>
      </c>
      <c r="E226" s="3">
        <f t="shared" ca="1" si="3"/>
        <v>917780714</v>
      </c>
      <c r="F226" t="s">
        <v>12</v>
      </c>
      <c r="G226" t="s">
        <v>15</v>
      </c>
      <c r="H226" s="1" t="s">
        <v>236</v>
      </c>
      <c r="I226" t="s">
        <v>21</v>
      </c>
      <c r="J226" s="4">
        <v>3.5</v>
      </c>
      <c r="K226" s="4">
        <v>21.92</v>
      </c>
      <c r="L226" s="4">
        <v>2</v>
      </c>
      <c r="M226" s="4">
        <v>18.66</v>
      </c>
      <c r="N226" s="4">
        <v>139.08609999999999</v>
      </c>
      <c r="O226" s="4">
        <v>86.5</v>
      </c>
      <c r="P226" s="4">
        <v>3.8764546470000001</v>
      </c>
      <c r="Q226" s="4">
        <v>60.94</v>
      </c>
      <c r="R226" s="10"/>
    </row>
    <row r="227" spans="1:18" ht="28.8" x14ac:dyDescent="0.3">
      <c r="A227" t="s">
        <v>2</v>
      </c>
      <c r="B227" s="3" t="s">
        <v>280</v>
      </c>
      <c r="C227" s="2">
        <v>43136</v>
      </c>
      <c r="D227" s="9">
        <v>0.40833333333333333</v>
      </c>
      <c r="E227" s="3">
        <f t="shared" ca="1" si="3"/>
        <v>362692203</v>
      </c>
      <c r="F227" t="s">
        <v>11</v>
      </c>
      <c r="G227" t="s">
        <v>14</v>
      </c>
      <c r="H227" s="1" t="s">
        <v>237</v>
      </c>
      <c r="I227" t="s">
        <v>20</v>
      </c>
      <c r="J227" s="4">
        <v>7</v>
      </c>
      <c r="K227" s="4">
        <v>43.56</v>
      </c>
      <c r="L227" s="4">
        <v>2</v>
      </c>
      <c r="M227" s="4">
        <v>61.74</v>
      </c>
      <c r="N227" s="4">
        <v>179.27189999999999</v>
      </c>
      <c r="O227" s="4">
        <v>174.32</v>
      </c>
      <c r="P227" s="4">
        <v>3.8764546470000001</v>
      </c>
      <c r="Q227" s="4">
        <v>26</v>
      </c>
      <c r="R227" s="10"/>
    </row>
    <row r="228" spans="1:18" x14ac:dyDescent="0.3">
      <c r="A228" t="s">
        <v>3</v>
      </c>
      <c r="B228" s="3" t="s">
        <v>281</v>
      </c>
      <c r="C228" s="2">
        <v>43226</v>
      </c>
      <c r="D228" s="9">
        <v>0.2722222222222222</v>
      </c>
      <c r="E228" s="3">
        <f t="shared" ca="1" si="3"/>
        <v>411431594</v>
      </c>
      <c r="F228" t="s">
        <v>12</v>
      </c>
      <c r="G228" t="s">
        <v>14</v>
      </c>
      <c r="H228" s="1" t="s">
        <v>235</v>
      </c>
      <c r="I228" t="s">
        <v>17</v>
      </c>
      <c r="J228" s="4">
        <v>6.7</v>
      </c>
      <c r="K228" s="4">
        <v>82.62</v>
      </c>
      <c r="L228" s="4">
        <v>9</v>
      </c>
      <c r="M228" s="4">
        <v>28.82</v>
      </c>
      <c r="N228" s="4">
        <v>171.27680000000001</v>
      </c>
      <c r="O228" s="4">
        <v>624.33000000000004</v>
      </c>
      <c r="P228" s="4">
        <v>3.8764546470000001</v>
      </c>
      <c r="Q228" s="4">
        <v>41.35</v>
      </c>
      <c r="R228" s="10"/>
    </row>
    <row r="229" spans="1:18" x14ac:dyDescent="0.3">
      <c r="A229" t="s">
        <v>2</v>
      </c>
      <c r="B229" s="3" t="s">
        <v>280</v>
      </c>
      <c r="C229" s="2">
        <v>42816</v>
      </c>
      <c r="D229" s="9">
        <v>0.81666666666666665</v>
      </c>
      <c r="E229" s="3">
        <f t="shared" ca="1" si="3"/>
        <v>421981071</v>
      </c>
      <c r="F229" t="s">
        <v>12</v>
      </c>
      <c r="G229" t="s">
        <v>14</v>
      </c>
      <c r="H229" s="1" t="s">
        <v>235</v>
      </c>
      <c r="I229" t="s">
        <v>18</v>
      </c>
      <c r="J229" s="4">
        <v>6.6</v>
      </c>
      <c r="K229" s="4">
        <v>22.3</v>
      </c>
      <c r="L229" s="4">
        <v>4</v>
      </c>
      <c r="M229" s="4">
        <v>34.28</v>
      </c>
      <c r="N229" s="4">
        <v>119.0318</v>
      </c>
      <c r="O229" s="4">
        <v>148.24</v>
      </c>
      <c r="P229" s="4">
        <v>3.8764546470000001</v>
      </c>
      <c r="Q229" s="4">
        <v>18.478999999999999</v>
      </c>
      <c r="R229" s="10"/>
    </row>
    <row r="230" spans="1:18" x14ac:dyDescent="0.3">
      <c r="A230" t="s">
        <v>3</v>
      </c>
      <c r="B230" s="3" t="s">
        <v>281</v>
      </c>
      <c r="C230" s="2">
        <v>42861</v>
      </c>
      <c r="D230" s="9">
        <v>5.347222222222222E-2</v>
      </c>
      <c r="E230" s="3">
        <f t="shared" ca="1" si="3"/>
        <v>200752274</v>
      </c>
      <c r="F230" t="s">
        <v>11</v>
      </c>
      <c r="G230" t="s">
        <v>14</v>
      </c>
      <c r="H230" s="1" t="s">
        <v>236</v>
      </c>
      <c r="I230" t="s">
        <v>18</v>
      </c>
      <c r="J230" s="4">
        <v>7</v>
      </c>
      <c r="K230" s="4">
        <v>80.75</v>
      </c>
      <c r="L230" s="4">
        <v>6</v>
      </c>
      <c r="M230" s="4">
        <v>18.98</v>
      </c>
      <c r="N230" s="4">
        <v>183.25</v>
      </c>
      <c r="O230" s="4">
        <v>544.20000000000005</v>
      </c>
      <c r="P230" s="4">
        <v>3.8764546470000001</v>
      </c>
      <c r="Q230" s="4">
        <v>89.298000000000002</v>
      </c>
      <c r="R230" s="10"/>
    </row>
    <row r="231" spans="1:18" x14ac:dyDescent="0.3">
      <c r="A231" t="s">
        <v>1</v>
      </c>
      <c r="B231" s="3" t="s">
        <v>279</v>
      </c>
      <c r="C231" s="2">
        <v>43326</v>
      </c>
      <c r="D231" s="9">
        <v>0.3888888888888889</v>
      </c>
      <c r="E231" s="3">
        <f t="shared" ca="1" si="3"/>
        <v>493158014</v>
      </c>
      <c r="F231" t="s">
        <v>11</v>
      </c>
      <c r="G231" t="s">
        <v>15</v>
      </c>
      <c r="H231" s="1" t="s">
        <v>235</v>
      </c>
      <c r="I231" t="s">
        <v>19</v>
      </c>
      <c r="J231" s="4">
        <v>7</v>
      </c>
      <c r="K231" s="4">
        <v>95.94</v>
      </c>
      <c r="L231" s="4">
        <v>8</v>
      </c>
      <c r="M231" s="4">
        <v>22.26</v>
      </c>
      <c r="N231" s="4">
        <v>136.72909999999999</v>
      </c>
      <c r="O231" s="4">
        <v>507.36</v>
      </c>
      <c r="P231" s="4">
        <v>3.8764546470000001</v>
      </c>
      <c r="Q231" s="4">
        <v>34.76</v>
      </c>
      <c r="R231" s="10"/>
    </row>
    <row r="232" spans="1:18" x14ac:dyDescent="0.3">
      <c r="A232" t="s">
        <v>3</v>
      </c>
      <c r="B232" s="3" t="s">
        <v>281</v>
      </c>
      <c r="C232" s="2">
        <v>43285</v>
      </c>
      <c r="D232" s="9">
        <v>0.96736111111111112</v>
      </c>
      <c r="E232" s="3">
        <f t="shared" ca="1" si="3"/>
        <v>76216675</v>
      </c>
      <c r="F232" t="s">
        <v>11</v>
      </c>
      <c r="G232" t="s">
        <v>15</v>
      </c>
      <c r="H232" s="1" t="s">
        <v>236</v>
      </c>
      <c r="I232" t="s">
        <v>22</v>
      </c>
      <c r="J232" s="4">
        <v>1</v>
      </c>
      <c r="K232" s="4">
        <v>79.7</v>
      </c>
      <c r="L232" s="4">
        <v>2</v>
      </c>
      <c r="M232" s="4">
        <v>97.57</v>
      </c>
      <c r="N232" s="4">
        <v>163.8417</v>
      </c>
      <c r="O232" s="4">
        <v>162.74</v>
      </c>
      <c r="P232" s="4">
        <v>3.8764546470000001</v>
      </c>
      <c r="Q232" s="4">
        <v>17.459</v>
      </c>
      <c r="R232" s="10"/>
    </row>
    <row r="233" spans="1:18" ht="28.8" x14ac:dyDescent="0.3">
      <c r="A233" t="s">
        <v>3</v>
      </c>
      <c r="B233" s="3" t="s">
        <v>281</v>
      </c>
      <c r="C233" s="2">
        <v>42962</v>
      </c>
      <c r="D233" s="9">
        <v>0.45208333333333334</v>
      </c>
      <c r="E233" s="3">
        <f t="shared" ca="1" si="3"/>
        <v>433641259</v>
      </c>
      <c r="F233" t="s">
        <v>11</v>
      </c>
      <c r="G233" t="s">
        <v>14</v>
      </c>
      <c r="H233" s="1" t="s">
        <v>237</v>
      </c>
      <c r="I233" t="s">
        <v>18</v>
      </c>
      <c r="J233" s="4">
        <v>4</v>
      </c>
      <c r="K233" s="4">
        <v>23.03</v>
      </c>
      <c r="L233" s="4">
        <v>3</v>
      </c>
      <c r="M233" s="4">
        <v>10.07</v>
      </c>
      <c r="N233" s="4">
        <v>125.7928</v>
      </c>
      <c r="O233" s="4">
        <v>31.77</v>
      </c>
      <c r="P233" s="4">
        <v>3.8764546470000001</v>
      </c>
      <c r="Q233" s="4">
        <v>51.06</v>
      </c>
      <c r="R233" s="10"/>
    </row>
    <row r="234" spans="1:18" x14ac:dyDescent="0.3">
      <c r="A234" t="s">
        <v>3</v>
      </c>
      <c r="B234" s="3" t="s">
        <v>281</v>
      </c>
      <c r="C234" s="2">
        <v>43307</v>
      </c>
      <c r="D234" s="9">
        <v>0.31111111111111112</v>
      </c>
      <c r="E234" s="3">
        <f t="shared" ca="1" si="3"/>
        <v>226708518</v>
      </c>
      <c r="F234" t="s">
        <v>11</v>
      </c>
      <c r="G234" t="s">
        <v>15</v>
      </c>
      <c r="H234" s="1" t="s">
        <v>236</v>
      </c>
      <c r="I234" t="s">
        <v>17</v>
      </c>
      <c r="J234" s="4">
        <v>8</v>
      </c>
      <c r="K234" s="4">
        <v>74.989999999999995</v>
      </c>
      <c r="L234" s="4">
        <v>9</v>
      </c>
      <c r="M234" s="4">
        <v>45.55</v>
      </c>
      <c r="N234" s="4">
        <v>159.68369999999999</v>
      </c>
      <c r="O234" s="4">
        <v>756.81</v>
      </c>
      <c r="P234" s="4">
        <v>3.8764546470000001</v>
      </c>
      <c r="Q234" s="4">
        <v>80.06</v>
      </c>
      <c r="R234" s="10"/>
    </row>
    <row r="235" spans="1:18" x14ac:dyDescent="0.3">
      <c r="A235" t="s">
        <v>3</v>
      </c>
      <c r="B235" s="3" t="s">
        <v>281</v>
      </c>
      <c r="C235" s="2">
        <v>42914</v>
      </c>
      <c r="D235" s="9">
        <v>0.16041666666666668</v>
      </c>
      <c r="E235" s="3">
        <f t="shared" ca="1" si="3"/>
        <v>804228228</v>
      </c>
      <c r="F235" t="s">
        <v>12</v>
      </c>
      <c r="G235" t="s">
        <v>14</v>
      </c>
      <c r="H235" s="1" t="s">
        <v>236</v>
      </c>
      <c r="I235" t="s">
        <v>22</v>
      </c>
      <c r="J235" s="4">
        <v>1</v>
      </c>
      <c r="K235" s="4">
        <v>71.92</v>
      </c>
      <c r="L235" s="4">
        <v>4</v>
      </c>
      <c r="M235" s="4">
        <v>97.42</v>
      </c>
      <c r="N235" s="4">
        <v>184.15260000000001</v>
      </c>
      <c r="O235" s="4">
        <v>295.27999999999997</v>
      </c>
      <c r="P235" s="4">
        <v>3.8764546470000001</v>
      </c>
      <c r="Q235" s="4">
        <v>64.06</v>
      </c>
      <c r="R235" s="10"/>
    </row>
    <row r="236" spans="1:18" x14ac:dyDescent="0.3">
      <c r="A236" t="s">
        <v>1</v>
      </c>
      <c r="B236" s="3" t="s">
        <v>279</v>
      </c>
      <c r="C236" s="2">
        <v>42820</v>
      </c>
      <c r="D236" s="9">
        <v>0.32569444444444445</v>
      </c>
      <c r="E236" s="3">
        <f t="shared" ca="1" si="3"/>
        <v>345526223</v>
      </c>
      <c r="F236" t="s">
        <v>12</v>
      </c>
      <c r="G236" t="s">
        <v>14</v>
      </c>
      <c r="H236" s="1" t="s">
        <v>235</v>
      </c>
      <c r="I236" t="s">
        <v>17</v>
      </c>
      <c r="J236" s="4">
        <v>3</v>
      </c>
      <c r="K236" s="4">
        <v>37.409999999999997</v>
      </c>
      <c r="L236" s="4">
        <v>10</v>
      </c>
      <c r="M236" s="4">
        <v>93.25</v>
      </c>
      <c r="N236" s="4">
        <v>106.1674</v>
      </c>
      <c r="O236" s="4">
        <v>519.4</v>
      </c>
      <c r="P236" s="4">
        <v>3.8764546470000001</v>
      </c>
      <c r="Q236" s="4">
        <v>22.64</v>
      </c>
      <c r="R236" s="10"/>
    </row>
    <row r="237" spans="1:18" x14ac:dyDescent="0.3">
      <c r="A237" t="s">
        <v>1</v>
      </c>
      <c r="B237" s="3" t="s">
        <v>279</v>
      </c>
      <c r="C237" s="2">
        <v>42847</v>
      </c>
      <c r="D237" s="9">
        <v>0.21875</v>
      </c>
      <c r="E237" s="3">
        <f t="shared" ca="1" si="3"/>
        <v>335150264</v>
      </c>
      <c r="F237" t="s">
        <v>11</v>
      </c>
      <c r="G237" t="s">
        <v>15</v>
      </c>
      <c r="H237" s="1" t="s">
        <v>235</v>
      </c>
      <c r="I237" t="s">
        <v>20</v>
      </c>
      <c r="J237" s="4">
        <v>6</v>
      </c>
      <c r="K237" s="4">
        <v>57.94</v>
      </c>
      <c r="L237" s="4">
        <v>2</v>
      </c>
      <c r="M237" s="4">
        <v>67.319999999999993</v>
      </c>
      <c r="N237" s="4">
        <v>101.1627</v>
      </c>
      <c r="O237" s="4">
        <v>186.28</v>
      </c>
      <c r="P237" s="4">
        <v>3.8764546470000001</v>
      </c>
      <c r="Q237" s="4">
        <v>61.96</v>
      </c>
      <c r="R237" s="10"/>
    </row>
    <row r="238" spans="1:18" ht="28.8" x14ac:dyDescent="0.3">
      <c r="A238" t="s">
        <v>2</v>
      </c>
      <c r="B238" s="3" t="s">
        <v>280</v>
      </c>
      <c r="C238" s="2">
        <v>43441</v>
      </c>
      <c r="D238" s="9">
        <v>5.8333333333333334E-2</v>
      </c>
      <c r="E238" s="3">
        <f t="shared" ca="1" si="3"/>
        <v>20070380</v>
      </c>
      <c r="F238" t="s">
        <v>12</v>
      </c>
      <c r="G238" t="s">
        <v>15</v>
      </c>
      <c r="H238" s="1" t="s">
        <v>237</v>
      </c>
      <c r="I238" t="s">
        <v>17</v>
      </c>
      <c r="J238" s="4">
        <v>2</v>
      </c>
      <c r="K238" s="4">
        <v>40.4</v>
      </c>
      <c r="L238" s="4">
        <v>5</v>
      </c>
      <c r="M238" s="4">
        <v>80.78</v>
      </c>
      <c r="N238" s="4">
        <v>139.91480000000001</v>
      </c>
      <c r="O238" s="4">
        <v>87.05</v>
      </c>
      <c r="P238" s="4">
        <v>3.8764546470000001</v>
      </c>
      <c r="Q238" s="4">
        <v>22.63</v>
      </c>
      <c r="R238" s="10"/>
    </row>
    <row r="239" spans="1:18" ht="28.8" x14ac:dyDescent="0.3">
      <c r="A239" t="s">
        <v>2</v>
      </c>
      <c r="B239" s="3" t="s">
        <v>280</v>
      </c>
      <c r="C239" s="2">
        <v>43363</v>
      </c>
      <c r="D239" s="9">
        <v>0.24305555555555555</v>
      </c>
      <c r="E239" s="3">
        <f t="shared" ca="1" si="3"/>
        <v>672556676</v>
      </c>
      <c r="F239" t="s">
        <v>11</v>
      </c>
      <c r="G239" t="s">
        <v>14</v>
      </c>
      <c r="H239" s="1" t="s">
        <v>237</v>
      </c>
      <c r="I239" t="s">
        <v>22</v>
      </c>
      <c r="J239" s="4">
        <v>2.1</v>
      </c>
      <c r="K239" s="4">
        <v>79.39</v>
      </c>
      <c r="L239" s="4">
        <v>5</v>
      </c>
      <c r="M239" s="4">
        <v>70.28</v>
      </c>
      <c r="N239" s="4">
        <v>153.6806</v>
      </c>
      <c r="O239" s="4">
        <v>221.1</v>
      </c>
      <c r="P239" s="4">
        <v>3.8764546470000001</v>
      </c>
      <c r="Q239" s="4">
        <v>57.87</v>
      </c>
      <c r="R239" s="10"/>
    </row>
    <row r="240" spans="1:18" x14ac:dyDescent="0.3">
      <c r="A240" t="s">
        <v>3</v>
      </c>
      <c r="B240" s="3" t="s">
        <v>281</v>
      </c>
      <c r="C240" s="2">
        <v>43320</v>
      </c>
      <c r="D240" s="9">
        <v>0.66111111111111109</v>
      </c>
      <c r="E240" s="3">
        <f t="shared" ca="1" si="3"/>
        <v>673639119</v>
      </c>
      <c r="F240" t="s">
        <v>11</v>
      </c>
      <c r="G240" t="s">
        <v>14</v>
      </c>
      <c r="H240" s="1" t="s">
        <v>236</v>
      </c>
      <c r="I240" t="s">
        <v>18</v>
      </c>
      <c r="J240" s="4">
        <v>4.2</v>
      </c>
      <c r="K240" s="4">
        <v>16.72</v>
      </c>
      <c r="L240" s="4">
        <v>5</v>
      </c>
      <c r="M240" s="4">
        <v>41.44</v>
      </c>
      <c r="N240" s="4">
        <v>175.3897</v>
      </c>
      <c r="O240" s="4">
        <v>66.099999999999994</v>
      </c>
      <c r="P240" s="4">
        <v>3.8764546470000001</v>
      </c>
      <c r="Q240" s="4">
        <v>23.79</v>
      </c>
      <c r="R240" s="10"/>
    </row>
    <row r="241" spans="1:18" x14ac:dyDescent="0.3">
      <c r="A241" t="s">
        <v>1</v>
      </c>
      <c r="B241" s="3" t="s">
        <v>279</v>
      </c>
      <c r="C241" s="2">
        <v>43255</v>
      </c>
      <c r="D241" s="9">
        <v>0.2722222222222222</v>
      </c>
      <c r="E241" s="3">
        <f t="shared" ca="1" si="3"/>
        <v>80449786</v>
      </c>
      <c r="F241" t="s">
        <v>12</v>
      </c>
      <c r="G241" t="s">
        <v>15</v>
      </c>
      <c r="H241" s="1" t="s">
        <v>235</v>
      </c>
      <c r="I241" t="s">
        <v>22</v>
      </c>
      <c r="J241" s="4">
        <v>7</v>
      </c>
      <c r="K241" s="4">
        <v>11.22</v>
      </c>
      <c r="L241" s="4">
        <v>1</v>
      </c>
      <c r="M241" s="4">
        <v>66.17</v>
      </c>
      <c r="N241" s="4">
        <v>175.14099999999999</v>
      </c>
      <c r="O241" s="4">
        <v>89.69</v>
      </c>
      <c r="P241" s="4">
        <v>3.8764546470000001</v>
      </c>
      <c r="Q241" s="4">
        <v>86.872</v>
      </c>
      <c r="R241" s="10"/>
    </row>
    <row r="242" spans="1:18" ht="28.8" x14ac:dyDescent="0.3">
      <c r="A242" t="s">
        <v>1</v>
      </c>
      <c r="B242" s="3" t="s">
        <v>279</v>
      </c>
      <c r="C242" s="2">
        <v>43432</v>
      </c>
      <c r="D242" s="9">
        <v>0.43263888888888891</v>
      </c>
      <c r="E242" s="3">
        <f t="shared" ca="1" si="3"/>
        <v>894727965</v>
      </c>
      <c r="F242" t="s">
        <v>12</v>
      </c>
      <c r="G242" t="s">
        <v>15</v>
      </c>
      <c r="H242" s="1" t="s">
        <v>237</v>
      </c>
      <c r="I242" t="s">
        <v>21</v>
      </c>
      <c r="J242" s="4">
        <v>3.7</v>
      </c>
      <c r="K242" s="4">
        <v>79.819999999999993</v>
      </c>
      <c r="L242" s="4">
        <v>9</v>
      </c>
      <c r="M242" s="4">
        <v>62.47</v>
      </c>
      <c r="N242" s="4">
        <v>173.82079999999999</v>
      </c>
      <c r="O242" s="4">
        <v>224.46</v>
      </c>
      <c r="P242" s="4">
        <v>3.8764546470000001</v>
      </c>
      <c r="Q242" s="4">
        <v>24.744</v>
      </c>
      <c r="R242" s="10"/>
    </row>
    <row r="243" spans="1:18" ht="28.8" x14ac:dyDescent="0.3">
      <c r="A243" t="s">
        <v>1</v>
      </c>
      <c r="B243" s="3" t="s">
        <v>279</v>
      </c>
      <c r="C243" s="2">
        <v>43248</v>
      </c>
      <c r="D243" s="9">
        <v>5.8333333333333334E-2</v>
      </c>
      <c r="E243" s="3">
        <f t="shared" ca="1" si="3"/>
        <v>52402676</v>
      </c>
      <c r="F243" t="s">
        <v>12</v>
      </c>
      <c r="G243" t="s">
        <v>15</v>
      </c>
      <c r="H243" s="1" t="s">
        <v>237</v>
      </c>
      <c r="I243" t="s">
        <v>17</v>
      </c>
      <c r="J243" s="4">
        <v>9.1999999999999993</v>
      </c>
      <c r="K243" s="4">
        <v>25.97</v>
      </c>
      <c r="L243" s="4">
        <v>2</v>
      </c>
      <c r="M243" s="4">
        <v>53.19</v>
      </c>
      <c r="N243" s="4">
        <v>117.9255</v>
      </c>
      <c r="O243" s="4">
        <v>119.54</v>
      </c>
      <c r="P243" s="4">
        <v>3.8764546470000001</v>
      </c>
      <c r="Q243" s="4">
        <v>89.85</v>
      </c>
      <c r="R243" s="10"/>
    </row>
    <row r="244" spans="1:18" ht="28.8" x14ac:dyDescent="0.3">
      <c r="A244" t="s">
        <v>2</v>
      </c>
      <c r="B244" s="3" t="s">
        <v>280</v>
      </c>
      <c r="C244" s="2">
        <v>43229</v>
      </c>
      <c r="D244" s="9">
        <v>0.79236111111111107</v>
      </c>
      <c r="E244" s="3">
        <f t="shared" ca="1" si="3"/>
        <v>273346099</v>
      </c>
      <c r="F244" t="s">
        <v>12</v>
      </c>
      <c r="G244" t="s">
        <v>14</v>
      </c>
      <c r="H244" s="1" t="s">
        <v>237</v>
      </c>
      <c r="I244" t="s">
        <v>22</v>
      </c>
      <c r="J244" s="4">
        <v>8.9</v>
      </c>
      <c r="K244" s="4">
        <v>89.82</v>
      </c>
      <c r="L244" s="4">
        <v>2</v>
      </c>
      <c r="M244" s="4">
        <v>59.24</v>
      </c>
      <c r="N244" s="4">
        <v>155.46870000000001</v>
      </c>
      <c r="O244" s="4">
        <v>186.4</v>
      </c>
      <c r="P244" s="4">
        <v>3.8764546470000001</v>
      </c>
      <c r="Q244" s="4">
        <v>84.825999999999993</v>
      </c>
      <c r="R244" s="10"/>
    </row>
    <row r="245" spans="1:18" x14ac:dyDescent="0.3">
      <c r="A245" t="s">
        <v>1</v>
      </c>
      <c r="B245" s="3" t="s">
        <v>279</v>
      </c>
      <c r="C245" s="2">
        <v>43048</v>
      </c>
      <c r="D245" s="9">
        <v>0.37916666666666665</v>
      </c>
      <c r="E245" s="3">
        <f t="shared" ca="1" si="3"/>
        <v>406637348</v>
      </c>
      <c r="F245" t="s">
        <v>12</v>
      </c>
      <c r="G245" t="s">
        <v>14</v>
      </c>
      <c r="H245" s="1" t="s">
        <v>236</v>
      </c>
      <c r="I245" t="s">
        <v>19</v>
      </c>
      <c r="J245" s="4">
        <v>8</v>
      </c>
      <c r="K245" s="4">
        <v>43.83</v>
      </c>
      <c r="L245" s="4">
        <v>4</v>
      </c>
      <c r="M245" s="4">
        <v>35.270000000000003</v>
      </c>
      <c r="N245" s="4">
        <v>179.89930000000001</v>
      </c>
      <c r="O245" s="4">
        <v>250.6</v>
      </c>
      <c r="P245" s="4">
        <v>3.8764546470000001</v>
      </c>
      <c r="Q245" s="4">
        <v>39.771999999999998</v>
      </c>
      <c r="R245" s="10"/>
    </row>
    <row r="246" spans="1:18" ht="28.8" x14ac:dyDescent="0.3">
      <c r="A246" t="s">
        <v>3</v>
      </c>
      <c r="B246" s="3" t="s">
        <v>281</v>
      </c>
      <c r="C246" s="2">
        <v>43215</v>
      </c>
      <c r="D246" s="9">
        <v>0.35</v>
      </c>
      <c r="E246" s="3">
        <f t="shared" ca="1" si="3"/>
        <v>733951541</v>
      </c>
      <c r="F246" t="s">
        <v>12</v>
      </c>
      <c r="G246" t="s">
        <v>15</v>
      </c>
      <c r="H246" s="1" t="s">
        <v>237</v>
      </c>
      <c r="I246" t="s">
        <v>19</v>
      </c>
      <c r="J246" s="4">
        <v>8.3000000000000007</v>
      </c>
      <c r="K246" s="4">
        <v>11.27</v>
      </c>
      <c r="L246" s="4">
        <v>8</v>
      </c>
      <c r="M246" s="4">
        <v>46.33</v>
      </c>
      <c r="N246" s="4">
        <v>168.67490000000001</v>
      </c>
      <c r="O246" s="4">
        <v>750.96</v>
      </c>
      <c r="P246" s="4">
        <v>3.8764546470000001</v>
      </c>
      <c r="Q246" s="4">
        <v>13.76</v>
      </c>
      <c r="R246" s="10"/>
    </row>
    <row r="247" spans="1:18" x14ac:dyDescent="0.3">
      <c r="A247" t="s">
        <v>1</v>
      </c>
      <c r="B247" s="3" t="s">
        <v>279</v>
      </c>
      <c r="C247" s="2">
        <v>43306</v>
      </c>
      <c r="D247" s="9">
        <v>6.805555555555555E-2</v>
      </c>
      <c r="E247" s="3">
        <f t="shared" ca="1" si="3"/>
        <v>762637952</v>
      </c>
      <c r="F247" t="s">
        <v>12</v>
      </c>
      <c r="G247" t="s">
        <v>14</v>
      </c>
      <c r="H247" s="1" t="s">
        <v>236</v>
      </c>
      <c r="I247" t="s">
        <v>19</v>
      </c>
      <c r="J247" s="4">
        <v>6.5</v>
      </c>
      <c r="K247" s="4">
        <v>12.01</v>
      </c>
      <c r="L247" s="4">
        <v>8</v>
      </c>
      <c r="M247" s="4">
        <v>16.18</v>
      </c>
      <c r="N247" s="4">
        <v>121.4525</v>
      </c>
      <c r="O247" s="4">
        <v>380.72</v>
      </c>
      <c r="P247" s="4">
        <v>3.8764546470000001</v>
      </c>
      <c r="Q247" s="4">
        <v>77.14</v>
      </c>
      <c r="R247" s="10"/>
    </row>
    <row r="248" spans="1:18" x14ac:dyDescent="0.3">
      <c r="A248" t="s">
        <v>3</v>
      </c>
      <c r="B248" s="3" t="s">
        <v>281</v>
      </c>
      <c r="C248" s="2">
        <v>43421</v>
      </c>
      <c r="D248" s="9">
        <v>8.2638888888888887E-2</v>
      </c>
      <c r="E248" s="3">
        <f t="shared" ca="1" si="3"/>
        <v>571758873</v>
      </c>
      <c r="F248" t="s">
        <v>11</v>
      </c>
      <c r="G248" t="s">
        <v>14</v>
      </c>
      <c r="H248" s="1" t="s">
        <v>236</v>
      </c>
      <c r="I248" t="s">
        <v>18</v>
      </c>
      <c r="J248" s="4">
        <v>7.1</v>
      </c>
      <c r="K248" s="4">
        <v>19.329999999999998</v>
      </c>
      <c r="L248" s="4">
        <v>3</v>
      </c>
      <c r="M248" s="4">
        <v>85.98</v>
      </c>
      <c r="N248" s="4">
        <v>180.1867</v>
      </c>
      <c r="O248" s="4">
        <v>244.2</v>
      </c>
      <c r="P248" s="4">
        <v>3.8764546470000001</v>
      </c>
      <c r="Q248" s="4">
        <v>96.915999999999997</v>
      </c>
      <c r="R248" s="10"/>
    </row>
    <row r="249" spans="1:18" x14ac:dyDescent="0.3">
      <c r="A249" t="s">
        <v>1</v>
      </c>
      <c r="B249" s="3" t="s">
        <v>279</v>
      </c>
      <c r="C249" s="2">
        <v>43036</v>
      </c>
      <c r="D249" s="9">
        <v>0.52500000000000002</v>
      </c>
      <c r="E249" s="3">
        <f t="shared" ca="1" si="3"/>
        <v>757976330</v>
      </c>
      <c r="F249" t="s">
        <v>12</v>
      </c>
      <c r="G249" t="s">
        <v>14</v>
      </c>
      <c r="H249" s="1" t="s">
        <v>235</v>
      </c>
      <c r="I249" t="s">
        <v>22</v>
      </c>
      <c r="J249" s="4">
        <v>4</v>
      </c>
      <c r="K249" s="4">
        <v>80.040000000000006</v>
      </c>
      <c r="L249" s="4">
        <v>5</v>
      </c>
      <c r="M249" s="4">
        <v>69.72</v>
      </c>
      <c r="N249" s="4">
        <v>119.2206</v>
      </c>
      <c r="O249" s="4">
        <v>89.7</v>
      </c>
      <c r="P249" s="4">
        <v>3.8764546470000001</v>
      </c>
      <c r="Q249" s="4">
        <v>31.91</v>
      </c>
      <c r="R249" s="10"/>
    </row>
    <row r="250" spans="1:18" ht="28.8" x14ac:dyDescent="0.3">
      <c r="A250" t="s">
        <v>1</v>
      </c>
      <c r="B250" s="3" t="s">
        <v>279</v>
      </c>
      <c r="C250" s="2">
        <v>43020</v>
      </c>
      <c r="D250" s="9">
        <v>0.11666666666666667</v>
      </c>
      <c r="E250" s="3">
        <f t="shared" ca="1" si="3"/>
        <v>340406486</v>
      </c>
      <c r="F250" t="s">
        <v>12</v>
      </c>
      <c r="G250" t="s">
        <v>14</v>
      </c>
      <c r="H250" s="1" t="s">
        <v>237</v>
      </c>
      <c r="I250" t="s">
        <v>18</v>
      </c>
      <c r="J250" s="4">
        <v>8</v>
      </c>
      <c r="K250" s="4">
        <v>48.18</v>
      </c>
      <c r="L250" s="4">
        <v>4</v>
      </c>
      <c r="M250" s="4">
        <v>44.45</v>
      </c>
      <c r="N250" s="4">
        <v>106.31189999999999</v>
      </c>
      <c r="O250" s="4">
        <v>310.88</v>
      </c>
      <c r="P250" s="4">
        <v>3.8764546470000001</v>
      </c>
      <c r="Q250" s="4">
        <v>18.03</v>
      </c>
      <c r="R250" s="10"/>
    </row>
    <row r="251" spans="1:18" ht="28.8" x14ac:dyDescent="0.3">
      <c r="A251" t="s">
        <v>3</v>
      </c>
      <c r="B251" s="3" t="s">
        <v>281</v>
      </c>
      <c r="C251" s="2">
        <v>42889</v>
      </c>
      <c r="D251" s="9">
        <v>0.88472222222222219</v>
      </c>
      <c r="E251" s="3">
        <f t="shared" ca="1" si="3"/>
        <v>629458950</v>
      </c>
      <c r="F251" t="s">
        <v>12</v>
      </c>
      <c r="G251" t="s">
        <v>15</v>
      </c>
      <c r="H251" s="1" t="s">
        <v>237</v>
      </c>
      <c r="I251" t="s">
        <v>21</v>
      </c>
      <c r="J251" s="4">
        <v>7</v>
      </c>
      <c r="K251" s="4">
        <v>90.08</v>
      </c>
      <c r="L251" s="4">
        <v>7</v>
      </c>
      <c r="M251" s="4">
        <v>12.49</v>
      </c>
      <c r="N251" s="4">
        <v>117.00360000000001</v>
      </c>
      <c r="O251" s="4">
        <v>511.42</v>
      </c>
      <c r="P251" s="4">
        <v>3.8764546470000001</v>
      </c>
      <c r="Q251" s="4">
        <v>90.04</v>
      </c>
      <c r="R251" s="10"/>
    </row>
    <row r="252" spans="1:18" x14ac:dyDescent="0.3">
      <c r="A252" t="s">
        <v>3</v>
      </c>
      <c r="B252" s="3" t="s">
        <v>281</v>
      </c>
      <c r="C252" s="2">
        <v>43240</v>
      </c>
      <c r="D252" s="9">
        <v>0.15069444444444444</v>
      </c>
      <c r="E252" s="3">
        <f t="shared" ca="1" si="3"/>
        <v>45461009</v>
      </c>
      <c r="F252" t="s">
        <v>12</v>
      </c>
      <c r="G252" t="s">
        <v>14</v>
      </c>
      <c r="H252" s="1" t="s">
        <v>235</v>
      </c>
      <c r="I252" t="s">
        <v>21</v>
      </c>
      <c r="J252" s="4">
        <v>5.3</v>
      </c>
      <c r="K252" s="4">
        <v>36.049999999999997</v>
      </c>
      <c r="L252" s="4">
        <v>9</v>
      </c>
      <c r="M252" s="4">
        <v>47.69</v>
      </c>
      <c r="N252" s="4">
        <v>182.44489999999999</v>
      </c>
      <c r="O252" s="4">
        <v>418.95</v>
      </c>
      <c r="P252" s="4">
        <v>3.8764546470000001</v>
      </c>
      <c r="Q252" s="4">
        <v>13.15</v>
      </c>
      <c r="R252" s="10"/>
    </row>
    <row r="253" spans="1:18" ht="28.8" x14ac:dyDescent="0.3">
      <c r="A253" t="s">
        <v>2</v>
      </c>
      <c r="B253" s="3" t="s">
        <v>280</v>
      </c>
      <c r="C253" s="2">
        <v>42834</v>
      </c>
      <c r="D253" s="9">
        <v>0.89444444444444449</v>
      </c>
      <c r="E253" s="3">
        <f t="shared" ca="1" si="3"/>
        <v>863563268</v>
      </c>
      <c r="F253" t="s">
        <v>12</v>
      </c>
      <c r="G253" t="s">
        <v>14</v>
      </c>
      <c r="H253" s="1" t="s">
        <v>237</v>
      </c>
      <c r="I253" t="s">
        <v>22</v>
      </c>
      <c r="J253" s="4">
        <v>3.3</v>
      </c>
      <c r="K253" s="4">
        <v>94.73</v>
      </c>
      <c r="L253" s="4">
        <v>10</v>
      </c>
      <c r="M253" s="4">
        <v>65.040000000000006</v>
      </c>
      <c r="N253" s="4">
        <v>130.09870000000001</v>
      </c>
      <c r="O253" s="4">
        <v>351.9</v>
      </c>
      <c r="P253" s="4">
        <v>3.8764546470000001</v>
      </c>
      <c r="Q253" s="4">
        <v>90.35</v>
      </c>
      <c r="R253" s="10"/>
    </row>
    <row r="254" spans="1:18" ht="28.8" x14ac:dyDescent="0.3">
      <c r="A254" t="s">
        <v>2</v>
      </c>
      <c r="B254" s="3" t="s">
        <v>280</v>
      </c>
      <c r="C254" s="2">
        <v>43180</v>
      </c>
      <c r="D254" s="9">
        <v>0.87986111111111109</v>
      </c>
      <c r="E254" s="3">
        <f t="shared" ca="1" si="3"/>
        <v>335607740</v>
      </c>
      <c r="F254" t="s">
        <v>11</v>
      </c>
      <c r="G254" t="s">
        <v>15</v>
      </c>
      <c r="H254" s="1" t="s">
        <v>237</v>
      </c>
      <c r="I254" t="s">
        <v>20</v>
      </c>
      <c r="J254" s="4">
        <v>2.1</v>
      </c>
      <c r="K254" s="4">
        <v>11.88</v>
      </c>
      <c r="L254" s="4">
        <v>2</v>
      </c>
      <c r="M254" s="4">
        <v>73.08</v>
      </c>
      <c r="N254" s="4">
        <v>163.1748</v>
      </c>
      <c r="O254" s="4">
        <v>28.78</v>
      </c>
      <c r="P254" s="4">
        <v>3.8764546470000001</v>
      </c>
      <c r="Q254" s="4">
        <v>42.54</v>
      </c>
      <c r="R254" s="10"/>
    </row>
    <row r="255" spans="1:18" x14ac:dyDescent="0.3">
      <c r="A255" t="s">
        <v>1</v>
      </c>
      <c r="B255" s="3" t="s">
        <v>279</v>
      </c>
      <c r="C255" s="2">
        <v>43016</v>
      </c>
      <c r="D255" s="9">
        <v>1.4583333333333334E-2</v>
      </c>
      <c r="E255" s="3">
        <f t="shared" ca="1" si="3"/>
        <v>783522013</v>
      </c>
      <c r="F255" t="s">
        <v>12</v>
      </c>
      <c r="G255" t="s">
        <v>15</v>
      </c>
      <c r="H255" s="1" t="s">
        <v>236</v>
      </c>
      <c r="I255" t="s">
        <v>19</v>
      </c>
      <c r="J255" s="4">
        <v>3</v>
      </c>
      <c r="K255" s="4">
        <v>25.37</v>
      </c>
      <c r="L255" s="4">
        <v>4</v>
      </c>
      <c r="M255" s="4">
        <v>39.97</v>
      </c>
      <c r="N255" s="4">
        <v>126.4165</v>
      </c>
      <c r="O255" s="4">
        <v>95</v>
      </c>
      <c r="P255" s="4">
        <v>3.8764546470000001</v>
      </c>
      <c r="Q255" s="4">
        <v>69.459999999999994</v>
      </c>
      <c r="R255" s="10"/>
    </row>
    <row r="256" spans="1:18" x14ac:dyDescent="0.3">
      <c r="A256" t="s">
        <v>1</v>
      </c>
      <c r="B256" s="3" t="s">
        <v>279</v>
      </c>
      <c r="C256" s="2">
        <v>42863</v>
      </c>
      <c r="D256" s="9">
        <v>0.36944444444444446</v>
      </c>
      <c r="E256" s="3">
        <f t="shared" ca="1" si="3"/>
        <v>783888057</v>
      </c>
      <c r="F256" t="s">
        <v>12</v>
      </c>
      <c r="G256" t="s">
        <v>14</v>
      </c>
      <c r="H256" s="1" t="s">
        <v>236</v>
      </c>
      <c r="I256" t="s">
        <v>19</v>
      </c>
      <c r="J256" s="4">
        <v>6.6</v>
      </c>
      <c r="K256" s="4">
        <v>36.24</v>
      </c>
      <c r="L256" s="4">
        <v>8</v>
      </c>
      <c r="M256" s="4">
        <v>93.15</v>
      </c>
      <c r="N256" s="4">
        <v>128.0438</v>
      </c>
      <c r="O256" s="4">
        <v>471.2</v>
      </c>
      <c r="P256" s="4">
        <v>3.8764546470000001</v>
      </c>
      <c r="Q256" s="4">
        <v>98.7</v>
      </c>
      <c r="R256" s="10"/>
    </row>
    <row r="257" spans="1:18" x14ac:dyDescent="0.3">
      <c r="A257" t="s">
        <v>3</v>
      </c>
      <c r="B257" s="3" t="s">
        <v>281</v>
      </c>
      <c r="C257" s="2">
        <v>43210</v>
      </c>
      <c r="D257" s="9">
        <v>0.48125000000000001</v>
      </c>
      <c r="E257" s="3">
        <f t="shared" ca="1" si="3"/>
        <v>844817631</v>
      </c>
      <c r="F257" t="s">
        <v>12</v>
      </c>
      <c r="G257" t="s">
        <v>14</v>
      </c>
      <c r="H257" s="1" t="s">
        <v>236</v>
      </c>
      <c r="I257" t="s">
        <v>22</v>
      </c>
      <c r="J257" s="4">
        <v>8.1</v>
      </c>
      <c r="K257" s="4">
        <v>90.94</v>
      </c>
      <c r="L257" s="4">
        <v>4</v>
      </c>
      <c r="M257" s="4">
        <v>29.26</v>
      </c>
      <c r="N257" s="4">
        <v>174.55269999999999</v>
      </c>
      <c r="O257" s="4">
        <v>130.47999999999999</v>
      </c>
      <c r="P257" s="4">
        <v>3.8764546470000001</v>
      </c>
      <c r="Q257" s="4">
        <v>11.06</v>
      </c>
      <c r="R257" s="10"/>
    </row>
    <row r="258" spans="1:18" ht="28.8" x14ac:dyDescent="0.3">
      <c r="A258" t="s">
        <v>1</v>
      </c>
      <c r="B258" s="3" t="s">
        <v>279</v>
      </c>
      <c r="C258" s="2">
        <v>43372</v>
      </c>
      <c r="D258" s="9">
        <v>0.64166666666666672</v>
      </c>
      <c r="E258" s="3">
        <f t="shared" ca="1" si="3"/>
        <v>249794726</v>
      </c>
      <c r="F258" t="s">
        <v>12</v>
      </c>
      <c r="G258" t="s">
        <v>14</v>
      </c>
      <c r="H258" s="1" t="s">
        <v>237</v>
      </c>
      <c r="I258" t="s">
        <v>18</v>
      </c>
      <c r="J258" s="4">
        <v>6</v>
      </c>
      <c r="K258" s="4">
        <v>30.82</v>
      </c>
      <c r="L258" s="4">
        <v>1</v>
      </c>
      <c r="M258" s="4">
        <v>39.79</v>
      </c>
      <c r="N258" s="4">
        <v>183.61750000000001</v>
      </c>
      <c r="O258" s="4">
        <v>66.349999999999994</v>
      </c>
      <c r="P258" s="4">
        <v>3.8764546470000001</v>
      </c>
      <c r="Q258" s="4">
        <v>74.113</v>
      </c>
      <c r="R258" s="10"/>
    </row>
    <row r="259" spans="1:18" x14ac:dyDescent="0.3">
      <c r="A259" t="s">
        <v>1</v>
      </c>
      <c r="B259" s="3" t="s">
        <v>279</v>
      </c>
      <c r="C259" s="2">
        <v>43359</v>
      </c>
      <c r="D259" s="9">
        <v>0.74861111111111112</v>
      </c>
      <c r="E259" s="3">
        <f t="shared" ref="E259:E322" ca="1" si="4">RANDBETWEEN(10000000,1000000000)</f>
        <v>673764024</v>
      </c>
      <c r="F259" t="s">
        <v>12</v>
      </c>
      <c r="G259" t="s">
        <v>14</v>
      </c>
      <c r="H259" s="1" t="s">
        <v>235</v>
      </c>
      <c r="I259" t="s">
        <v>19</v>
      </c>
      <c r="J259" s="4">
        <v>2.6</v>
      </c>
      <c r="K259" s="4">
        <v>67.540000000000006</v>
      </c>
      <c r="L259" s="4">
        <v>6</v>
      </c>
      <c r="M259" s="4">
        <v>63.45</v>
      </c>
      <c r="N259" s="4">
        <v>106.3156</v>
      </c>
      <c r="O259" s="4">
        <v>155.46</v>
      </c>
      <c r="P259" s="4">
        <v>3.8764546470000001</v>
      </c>
      <c r="Q259" s="4">
        <v>41.027999999999999</v>
      </c>
      <c r="R259" s="10"/>
    </row>
    <row r="260" spans="1:18" x14ac:dyDescent="0.3">
      <c r="A260" t="s">
        <v>1</v>
      </c>
      <c r="B260" s="3" t="s">
        <v>279</v>
      </c>
      <c r="C260" s="2">
        <v>43205</v>
      </c>
      <c r="D260" s="9">
        <v>0.47638888888888886</v>
      </c>
      <c r="E260" s="3">
        <f t="shared" ca="1" si="4"/>
        <v>706101566</v>
      </c>
      <c r="F260" t="s">
        <v>12</v>
      </c>
      <c r="G260" t="s">
        <v>14</v>
      </c>
      <c r="H260" s="1" t="s">
        <v>235</v>
      </c>
      <c r="I260" t="s">
        <v>18</v>
      </c>
      <c r="J260" s="4">
        <v>3.4</v>
      </c>
      <c r="K260" s="4">
        <v>13.28</v>
      </c>
      <c r="L260" s="4">
        <v>4</v>
      </c>
      <c r="M260" s="4">
        <v>18.82</v>
      </c>
      <c r="N260" s="4">
        <v>100.08450000000001</v>
      </c>
      <c r="O260" s="4">
        <v>129</v>
      </c>
      <c r="P260" s="4">
        <v>3.8764546470000001</v>
      </c>
      <c r="Q260" s="4">
        <v>55.558</v>
      </c>
      <c r="R260" s="10"/>
    </row>
    <row r="261" spans="1:18" ht="28.8" x14ac:dyDescent="0.3">
      <c r="A261" t="s">
        <v>2</v>
      </c>
      <c r="B261" s="3" t="s">
        <v>280</v>
      </c>
      <c r="C261" s="2">
        <v>43152</v>
      </c>
      <c r="D261" s="9">
        <v>0.92361111111111116</v>
      </c>
      <c r="E261" s="3">
        <f t="shared" ca="1" si="4"/>
        <v>486034636</v>
      </c>
      <c r="F261" t="s">
        <v>12</v>
      </c>
      <c r="G261" t="s">
        <v>14</v>
      </c>
      <c r="H261" s="1" t="s">
        <v>237</v>
      </c>
      <c r="I261" t="s">
        <v>18</v>
      </c>
      <c r="J261" s="4">
        <v>1.1000000000000001</v>
      </c>
      <c r="K261" s="4">
        <v>13.25</v>
      </c>
      <c r="L261" s="4">
        <v>4</v>
      </c>
      <c r="M261" s="4">
        <v>80.349999999999994</v>
      </c>
      <c r="N261" s="4">
        <v>119.0866</v>
      </c>
      <c r="O261" s="4">
        <v>263.76</v>
      </c>
      <c r="P261" s="4">
        <v>3.8764546470000001</v>
      </c>
      <c r="Q261" s="4">
        <v>90.09</v>
      </c>
      <c r="R261" s="10"/>
    </row>
    <row r="262" spans="1:18" x14ac:dyDescent="0.3">
      <c r="A262" t="s">
        <v>1</v>
      </c>
      <c r="B262" s="3" t="s">
        <v>279</v>
      </c>
      <c r="C262" s="2">
        <v>42915</v>
      </c>
      <c r="D262" s="9">
        <v>0.69513888888888886</v>
      </c>
      <c r="E262" s="3">
        <f t="shared" ca="1" si="4"/>
        <v>69711671</v>
      </c>
      <c r="F262" t="s">
        <v>11</v>
      </c>
      <c r="G262" t="s">
        <v>15</v>
      </c>
      <c r="H262" s="1" t="s">
        <v>235</v>
      </c>
      <c r="I262" t="s">
        <v>18</v>
      </c>
      <c r="J262" s="4">
        <v>1.6</v>
      </c>
      <c r="K262" s="4">
        <v>18.670000000000002</v>
      </c>
      <c r="L262" s="4">
        <v>9</v>
      </c>
      <c r="M262" s="4">
        <v>90.01</v>
      </c>
      <c r="N262" s="4">
        <v>108.4181</v>
      </c>
      <c r="O262" s="4">
        <v>675.54</v>
      </c>
      <c r="P262" s="4">
        <v>3.8764546470000001</v>
      </c>
      <c r="Q262" s="4">
        <v>26.186</v>
      </c>
      <c r="R262" s="10"/>
    </row>
    <row r="263" spans="1:18" x14ac:dyDescent="0.3">
      <c r="A263" t="s">
        <v>2</v>
      </c>
      <c r="B263" s="3" t="s">
        <v>280</v>
      </c>
      <c r="C263" s="2">
        <v>43050</v>
      </c>
      <c r="D263" s="9">
        <v>0.5444444444444444</v>
      </c>
      <c r="E263" s="3">
        <f t="shared" ca="1" si="4"/>
        <v>445803190</v>
      </c>
      <c r="F263" t="s">
        <v>11</v>
      </c>
      <c r="G263" t="s">
        <v>15</v>
      </c>
      <c r="H263" s="1" t="s">
        <v>235</v>
      </c>
      <c r="I263" t="s">
        <v>22</v>
      </c>
      <c r="J263" s="4">
        <v>9.1999999999999993</v>
      </c>
      <c r="K263" s="4">
        <v>87.14</v>
      </c>
      <c r="L263" s="4">
        <v>4</v>
      </c>
      <c r="M263" s="4">
        <v>82.01</v>
      </c>
      <c r="N263" s="4">
        <v>173.34119999999999</v>
      </c>
      <c r="O263" s="4">
        <v>65.8</v>
      </c>
      <c r="P263" s="4">
        <v>3.8764546470000001</v>
      </c>
      <c r="Q263" s="4">
        <v>90.393000000000001</v>
      </c>
      <c r="R263" s="10"/>
    </row>
    <row r="264" spans="1:18" x14ac:dyDescent="0.3">
      <c r="A264" t="s">
        <v>3</v>
      </c>
      <c r="B264" s="3" t="s">
        <v>281</v>
      </c>
      <c r="C264" s="2">
        <v>43194</v>
      </c>
      <c r="D264" s="9">
        <v>9.7222222222222224E-3</v>
      </c>
      <c r="E264" s="3">
        <f t="shared" ca="1" si="4"/>
        <v>450947803</v>
      </c>
      <c r="F264" t="s">
        <v>11</v>
      </c>
      <c r="G264" t="s">
        <v>14</v>
      </c>
      <c r="H264" s="1" t="s">
        <v>236</v>
      </c>
      <c r="I264" t="s">
        <v>22</v>
      </c>
      <c r="J264" s="4">
        <v>2</v>
      </c>
      <c r="K264" s="4">
        <v>16.96</v>
      </c>
      <c r="L264" s="4">
        <v>4</v>
      </c>
      <c r="M264" s="4">
        <v>15.15</v>
      </c>
      <c r="N264" s="4">
        <v>189.1438</v>
      </c>
      <c r="O264" s="4">
        <v>153.19999999999999</v>
      </c>
      <c r="P264" s="4">
        <v>3.8764546470000001</v>
      </c>
      <c r="Q264" s="4">
        <v>44.997999999999998</v>
      </c>
      <c r="R264" s="10"/>
    </row>
    <row r="265" spans="1:18" x14ac:dyDescent="0.3">
      <c r="A265" t="s">
        <v>1</v>
      </c>
      <c r="B265" s="3" t="s">
        <v>279</v>
      </c>
      <c r="C265" s="2">
        <v>43291</v>
      </c>
      <c r="D265" s="9">
        <v>0.59305555555555556</v>
      </c>
      <c r="E265" s="3">
        <f t="shared" ca="1" si="4"/>
        <v>768839389</v>
      </c>
      <c r="F265" t="s">
        <v>11</v>
      </c>
      <c r="G265" t="s">
        <v>14</v>
      </c>
      <c r="H265" s="1" t="s">
        <v>236</v>
      </c>
      <c r="I265" t="s">
        <v>20</v>
      </c>
      <c r="J265" s="4">
        <v>7.2</v>
      </c>
      <c r="K265" s="4">
        <v>89.58</v>
      </c>
      <c r="L265" s="4">
        <v>10</v>
      </c>
      <c r="M265" s="4">
        <v>93.86</v>
      </c>
      <c r="N265" s="4">
        <v>124.26600000000001</v>
      </c>
      <c r="O265" s="4">
        <v>222.4</v>
      </c>
      <c r="P265" s="4">
        <v>3.8764546470000001</v>
      </c>
      <c r="Q265" s="4">
        <v>86.58</v>
      </c>
      <c r="R265" s="10"/>
    </row>
    <row r="266" spans="1:18" x14ac:dyDescent="0.3">
      <c r="A266" t="s">
        <v>3</v>
      </c>
      <c r="B266" s="3" t="s">
        <v>281</v>
      </c>
      <c r="C266" s="2">
        <v>43130</v>
      </c>
      <c r="D266" s="9">
        <v>0.66597222222222219</v>
      </c>
      <c r="E266" s="3">
        <f t="shared" ca="1" si="4"/>
        <v>228369631</v>
      </c>
      <c r="F266" t="s">
        <v>12</v>
      </c>
      <c r="G266" t="s">
        <v>15</v>
      </c>
      <c r="H266" s="1" t="s">
        <v>235</v>
      </c>
      <c r="I266" t="s">
        <v>20</v>
      </c>
      <c r="J266" s="4">
        <v>4.5</v>
      </c>
      <c r="K266" s="4">
        <v>29.4</v>
      </c>
      <c r="L266" s="4">
        <v>1</v>
      </c>
      <c r="M266" s="4">
        <v>79.010000000000005</v>
      </c>
      <c r="N266" s="4">
        <v>128.56899999999999</v>
      </c>
      <c r="O266" s="4">
        <v>54.45</v>
      </c>
      <c r="P266" s="4">
        <v>3.8764546470000001</v>
      </c>
      <c r="Q266" s="4">
        <v>60.85</v>
      </c>
      <c r="R266" s="10"/>
    </row>
    <row r="267" spans="1:18" ht="28.8" x14ac:dyDescent="0.3">
      <c r="A267" t="s">
        <v>1</v>
      </c>
      <c r="B267" s="3" t="s">
        <v>279</v>
      </c>
      <c r="C267" s="2">
        <v>43354</v>
      </c>
      <c r="D267" s="9">
        <v>0.81180555555555556</v>
      </c>
      <c r="E267" s="3">
        <f t="shared" ca="1" si="4"/>
        <v>67544348</v>
      </c>
      <c r="F267" t="s">
        <v>11</v>
      </c>
      <c r="G267" t="s">
        <v>14</v>
      </c>
      <c r="H267" s="1" t="s">
        <v>237</v>
      </c>
      <c r="I267" t="s">
        <v>20</v>
      </c>
      <c r="J267" s="4">
        <v>10</v>
      </c>
      <c r="K267" s="4">
        <v>83.86</v>
      </c>
      <c r="L267" s="4">
        <v>7</v>
      </c>
      <c r="M267" s="4">
        <v>45.32</v>
      </c>
      <c r="N267" s="4">
        <v>125.42270000000001</v>
      </c>
      <c r="O267" s="4">
        <v>688.8</v>
      </c>
      <c r="P267" s="4">
        <v>3.8764546470000001</v>
      </c>
      <c r="Q267" s="4">
        <v>39.57</v>
      </c>
      <c r="R267" s="10"/>
    </row>
    <row r="268" spans="1:18" ht="28.8" x14ac:dyDescent="0.3">
      <c r="A268" t="s">
        <v>2</v>
      </c>
      <c r="B268" s="3" t="s">
        <v>280</v>
      </c>
      <c r="C268" s="2">
        <v>43105</v>
      </c>
      <c r="D268" s="9">
        <v>0.88472222222222219</v>
      </c>
      <c r="E268" s="3">
        <f t="shared" ca="1" si="4"/>
        <v>131050595</v>
      </c>
      <c r="F268" t="s">
        <v>12</v>
      </c>
      <c r="G268" t="s">
        <v>15</v>
      </c>
      <c r="H268" s="1" t="s">
        <v>237</v>
      </c>
      <c r="I268" t="s">
        <v>19</v>
      </c>
      <c r="J268" s="4">
        <v>8.6999999999999993</v>
      </c>
      <c r="K268" s="4">
        <v>83.34</v>
      </c>
      <c r="L268" s="4">
        <v>4</v>
      </c>
      <c r="M268" s="4">
        <v>67.19</v>
      </c>
      <c r="N268" s="4">
        <v>145.26130000000001</v>
      </c>
      <c r="O268" s="4">
        <v>141.88</v>
      </c>
      <c r="P268" s="4">
        <v>3.8764546470000001</v>
      </c>
      <c r="Q268" s="4">
        <v>85.18</v>
      </c>
      <c r="R268" s="10"/>
    </row>
    <row r="269" spans="1:18" x14ac:dyDescent="0.3">
      <c r="A269" t="s">
        <v>3</v>
      </c>
      <c r="B269" s="3" t="s">
        <v>281</v>
      </c>
      <c r="C269" s="2">
        <v>43403</v>
      </c>
      <c r="D269" s="9">
        <v>0.26250000000000001</v>
      </c>
      <c r="E269" s="3">
        <f t="shared" ca="1" si="4"/>
        <v>395300067</v>
      </c>
      <c r="F269" t="s">
        <v>11</v>
      </c>
      <c r="G269" t="s">
        <v>14</v>
      </c>
      <c r="H269" s="1" t="s">
        <v>236</v>
      </c>
      <c r="I269" t="s">
        <v>21</v>
      </c>
      <c r="J269" s="4">
        <v>5.7</v>
      </c>
      <c r="K269" s="4">
        <v>71.23</v>
      </c>
      <c r="L269" s="4">
        <v>10</v>
      </c>
      <c r="M269" s="4">
        <v>52.2</v>
      </c>
      <c r="N269" s="4">
        <v>174.26609999999999</v>
      </c>
      <c r="O269" s="4">
        <v>746</v>
      </c>
      <c r="P269" s="4">
        <v>3.8764546470000001</v>
      </c>
      <c r="Q269" s="4">
        <v>85.85</v>
      </c>
      <c r="R269" s="10"/>
    </row>
    <row r="270" spans="1:18" ht="28.8" x14ac:dyDescent="0.3">
      <c r="A270" t="s">
        <v>1</v>
      </c>
      <c r="B270" s="3" t="s">
        <v>279</v>
      </c>
      <c r="C270" s="2">
        <v>43422</v>
      </c>
      <c r="D270" s="9">
        <v>9.7222222222222224E-3</v>
      </c>
      <c r="E270" s="3">
        <f t="shared" ca="1" si="4"/>
        <v>800411150</v>
      </c>
      <c r="F270" t="s">
        <v>12</v>
      </c>
      <c r="G270" t="s">
        <v>14</v>
      </c>
      <c r="H270" s="1" t="s">
        <v>237</v>
      </c>
      <c r="I270" t="s">
        <v>19</v>
      </c>
      <c r="J270" s="4">
        <v>9.5</v>
      </c>
      <c r="K270" s="4">
        <v>43.99</v>
      </c>
      <c r="L270" s="4">
        <v>4</v>
      </c>
      <c r="M270" s="4">
        <v>54.8</v>
      </c>
      <c r="N270" s="4">
        <v>125.8635</v>
      </c>
      <c r="O270" s="4">
        <v>282.95999999999998</v>
      </c>
      <c r="P270" s="4">
        <v>3.8764546470000001</v>
      </c>
      <c r="Q270" s="4">
        <v>73.209999999999994</v>
      </c>
      <c r="R270" s="10"/>
    </row>
    <row r="271" spans="1:18" x14ac:dyDescent="0.3">
      <c r="A271" t="s">
        <v>1</v>
      </c>
      <c r="B271" s="3" t="s">
        <v>279</v>
      </c>
      <c r="C271" s="2">
        <v>43228</v>
      </c>
      <c r="D271" s="9">
        <v>1.4583333333333334E-2</v>
      </c>
      <c r="E271" s="3">
        <f t="shared" ca="1" si="4"/>
        <v>496855553</v>
      </c>
      <c r="F271" t="s">
        <v>11</v>
      </c>
      <c r="G271" t="s">
        <v>14</v>
      </c>
      <c r="H271" s="1" t="s">
        <v>235</v>
      </c>
      <c r="I271" t="s">
        <v>19</v>
      </c>
      <c r="J271" s="4">
        <v>3</v>
      </c>
      <c r="K271" s="4">
        <v>97.99</v>
      </c>
      <c r="L271" s="4">
        <v>10</v>
      </c>
      <c r="M271" s="4">
        <v>13.93</v>
      </c>
      <c r="N271" s="4">
        <v>135.88839999999999</v>
      </c>
      <c r="O271" s="4">
        <v>355.4</v>
      </c>
      <c r="P271" s="4">
        <v>3.8764546470000001</v>
      </c>
      <c r="Q271" s="4">
        <v>39.479999999999997</v>
      </c>
      <c r="R271" s="10"/>
    </row>
    <row r="272" spans="1:18" x14ac:dyDescent="0.3">
      <c r="A272" t="s">
        <v>3</v>
      </c>
      <c r="B272" s="3" t="s">
        <v>281</v>
      </c>
      <c r="C272" s="2">
        <v>42972</v>
      </c>
      <c r="D272" s="9">
        <v>0.69027777777777777</v>
      </c>
      <c r="E272" s="3">
        <f t="shared" ca="1" si="4"/>
        <v>245481892</v>
      </c>
      <c r="F272" t="s">
        <v>11</v>
      </c>
      <c r="G272" t="s">
        <v>15</v>
      </c>
      <c r="H272" s="1" t="s">
        <v>235</v>
      </c>
      <c r="I272" t="s">
        <v>20</v>
      </c>
      <c r="J272" s="4">
        <v>6.5</v>
      </c>
      <c r="K272" s="4">
        <v>40.479999999999997</v>
      </c>
      <c r="L272" s="4">
        <v>5</v>
      </c>
      <c r="M272" s="4">
        <v>53.44</v>
      </c>
      <c r="N272" s="4">
        <v>185.4359</v>
      </c>
      <c r="O272" s="4">
        <v>337.15</v>
      </c>
      <c r="P272" s="4">
        <v>3.8764546470000001</v>
      </c>
      <c r="Q272" s="4">
        <v>77.17</v>
      </c>
      <c r="R272" s="10"/>
    </row>
    <row r="273" spans="1:18" x14ac:dyDescent="0.3">
      <c r="A273" t="s">
        <v>2</v>
      </c>
      <c r="B273" s="3" t="s">
        <v>280</v>
      </c>
      <c r="C273" s="2">
        <v>43118</v>
      </c>
      <c r="D273" s="9">
        <v>3.888888888888889E-2</v>
      </c>
      <c r="E273" s="3">
        <f t="shared" ca="1" si="4"/>
        <v>302921461</v>
      </c>
      <c r="F273" t="s">
        <v>11</v>
      </c>
      <c r="G273" t="s">
        <v>14</v>
      </c>
      <c r="H273" s="1" t="s">
        <v>236</v>
      </c>
      <c r="I273" t="s">
        <v>17</v>
      </c>
      <c r="J273" s="4">
        <v>6.3</v>
      </c>
      <c r="K273" s="4">
        <v>93.67</v>
      </c>
      <c r="L273" s="4">
        <v>2</v>
      </c>
      <c r="M273" s="4">
        <v>99.68</v>
      </c>
      <c r="N273" s="4">
        <v>107.69799999999999</v>
      </c>
      <c r="O273" s="4">
        <v>42.24</v>
      </c>
      <c r="P273" s="4">
        <v>3.8764546470000001</v>
      </c>
      <c r="Q273" s="4">
        <v>96.703999999999994</v>
      </c>
      <c r="R273" s="10"/>
    </row>
    <row r="274" spans="1:18" ht="28.8" x14ac:dyDescent="0.3">
      <c r="A274" t="s">
        <v>1</v>
      </c>
      <c r="B274" s="3" t="s">
        <v>279</v>
      </c>
      <c r="C274" s="2">
        <v>43212</v>
      </c>
      <c r="D274" s="9">
        <v>0.92361111111111116</v>
      </c>
      <c r="E274" s="3">
        <f t="shared" ca="1" si="4"/>
        <v>931673399</v>
      </c>
      <c r="F274" t="s">
        <v>11</v>
      </c>
      <c r="G274" t="s">
        <v>14</v>
      </c>
      <c r="H274" s="1" t="s">
        <v>237</v>
      </c>
      <c r="I274" t="s">
        <v>19</v>
      </c>
      <c r="J274" s="4">
        <v>4.5</v>
      </c>
      <c r="K274" s="4">
        <v>36.880000000000003</v>
      </c>
      <c r="L274" s="4">
        <v>9</v>
      </c>
      <c r="M274" s="4">
        <v>88.29</v>
      </c>
      <c r="N274" s="4">
        <v>102.2054</v>
      </c>
      <c r="O274" s="4">
        <v>193.86</v>
      </c>
      <c r="P274" s="4">
        <v>3.8764546470000001</v>
      </c>
      <c r="Q274" s="4">
        <v>67.567999999999998</v>
      </c>
      <c r="R274" s="10"/>
    </row>
    <row r="275" spans="1:18" x14ac:dyDescent="0.3">
      <c r="A275" t="s">
        <v>1</v>
      </c>
      <c r="B275" s="3" t="s">
        <v>279</v>
      </c>
      <c r="C275" s="2">
        <v>43008</v>
      </c>
      <c r="D275" s="9">
        <v>0.57847222222222228</v>
      </c>
      <c r="E275" s="3">
        <f t="shared" ca="1" si="4"/>
        <v>840237940</v>
      </c>
      <c r="F275" t="s">
        <v>11</v>
      </c>
      <c r="G275" t="s">
        <v>15</v>
      </c>
      <c r="H275" s="1" t="s">
        <v>236</v>
      </c>
      <c r="I275" t="s">
        <v>19</v>
      </c>
      <c r="J275" s="4">
        <v>1.2</v>
      </c>
      <c r="K275" s="4">
        <v>53.55</v>
      </c>
      <c r="L275" s="4">
        <v>2</v>
      </c>
      <c r="M275" s="4">
        <v>69.13</v>
      </c>
      <c r="N275" s="4">
        <v>152.8614</v>
      </c>
      <c r="O275" s="4">
        <v>24.06</v>
      </c>
      <c r="P275" s="4">
        <v>3.8764546470000001</v>
      </c>
      <c r="Q275" s="4">
        <v>18.86</v>
      </c>
      <c r="R275" s="10"/>
    </row>
    <row r="276" spans="1:18" x14ac:dyDescent="0.3">
      <c r="A276" t="s">
        <v>3</v>
      </c>
      <c r="B276" s="3" t="s">
        <v>281</v>
      </c>
      <c r="C276" s="2">
        <v>43065</v>
      </c>
      <c r="D276" s="9">
        <v>0.78263888888888888</v>
      </c>
      <c r="E276" s="3">
        <f t="shared" ca="1" si="4"/>
        <v>868132554</v>
      </c>
      <c r="F276" t="s">
        <v>11</v>
      </c>
      <c r="G276" t="s">
        <v>15</v>
      </c>
      <c r="H276" s="1" t="s">
        <v>235</v>
      </c>
      <c r="I276" t="s">
        <v>17</v>
      </c>
      <c r="J276" s="4">
        <v>5.0999999999999996</v>
      </c>
      <c r="K276" s="4">
        <v>11.83</v>
      </c>
      <c r="L276" s="4">
        <v>6</v>
      </c>
      <c r="M276" s="4">
        <v>49.75</v>
      </c>
      <c r="N276" s="4">
        <v>185.5454</v>
      </c>
      <c r="O276" s="4">
        <v>598.26</v>
      </c>
      <c r="P276" s="4">
        <v>3.8764546470000001</v>
      </c>
      <c r="Q276" s="4">
        <v>80.510000000000005</v>
      </c>
      <c r="R276" s="10"/>
    </row>
    <row r="277" spans="1:18" x14ac:dyDescent="0.3">
      <c r="A277" t="s">
        <v>3</v>
      </c>
      <c r="B277" s="3" t="s">
        <v>281</v>
      </c>
      <c r="C277" s="2">
        <v>43269</v>
      </c>
      <c r="D277" s="9">
        <v>0.84097222222222223</v>
      </c>
      <c r="E277" s="3">
        <f t="shared" ca="1" si="4"/>
        <v>401610795</v>
      </c>
      <c r="F277" t="s">
        <v>12</v>
      </c>
      <c r="G277" t="s">
        <v>15</v>
      </c>
      <c r="H277" s="1" t="s">
        <v>236</v>
      </c>
      <c r="I277" t="s">
        <v>22</v>
      </c>
      <c r="J277" s="4">
        <v>9</v>
      </c>
      <c r="K277" s="4">
        <v>96.43</v>
      </c>
      <c r="L277" s="4">
        <v>7</v>
      </c>
      <c r="M277" s="4">
        <v>93.5</v>
      </c>
      <c r="N277" s="4">
        <v>180.1001</v>
      </c>
      <c r="O277" s="4">
        <v>335.79</v>
      </c>
      <c r="P277" s="4">
        <v>3.8764546470000001</v>
      </c>
      <c r="Q277" s="4">
        <v>80.183999999999997</v>
      </c>
      <c r="R277" s="10"/>
    </row>
    <row r="278" spans="1:18" x14ac:dyDescent="0.3">
      <c r="A278" t="s">
        <v>2</v>
      </c>
      <c r="B278" s="3" t="s">
        <v>280</v>
      </c>
      <c r="C278" s="2">
        <v>43059</v>
      </c>
      <c r="D278" s="9">
        <v>0.4375</v>
      </c>
      <c r="E278" s="3">
        <f t="shared" ca="1" si="4"/>
        <v>90386283</v>
      </c>
      <c r="F278" t="s">
        <v>11</v>
      </c>
      <c r="G278" t="s">
        <v>14</v>
      </c>
      <c r="H278" s="1" t="s">
        <v>236</v>
      </c>
      <c r="I278" t="s">
        <v>19</v>
      </c>
      <c r="J278" s="4">
        <v>4.8</v>
      </c>
      <c r="K278" s="4">
        <v>39.76</v>
      </c>
      <c r="L278" s="4">
        <v>10</v>
      </c>
      <c r="M278" s="4">
        <v>26.48</v>
      </c>
      <c r="N278" s="4">
        <v>182.50470000000001</v>
      </c>
      <c r="O278" s="4">
        <v>218.2</v>
      </c>
      <c r="P278" s="4">
        <v>3.8764546470000001</v>
      </c>
      <c r="Q278" s="4">
        <v>87.65</v>
      </c>
      <c r="R278" s="10"/>
    </row>
    <row r="279" spans="1:18" x14ac:dyDescent="0.3">
      <c r="A279" t="s">
        <v>2</v>
      </c>
      <c r="B279" s="3" t="s">
        <v>280</v>
      </c>
      <c r="C279" s="2">
        <v>42845</v>
      </c>
      <c r="D279" s="9">
        <v>0.83611111111111114</v>
      </c>
      <c r="E279" s="3">
        <f t="shared" ca="1" si="4"/>
        <v>223688778</v>
      </c>
      <c r="F279" t="s">
        <v>11</v>
      </c>
      <c r="G279" t="s">
        <v>15</v>
      </c>
      <c r="H279" s="1" t="s">
        <v>235</v>
      </c>
      <c r="I279" t="s">
        <v>22</v>
      </c>
      <c r="J279" s="4">
        <v>2.9</v>
      </c>
      <c r="K279" s="4">
        <v>37.5</v>
      </c>
      <c r="L279" s="4">
        <v>4</v>
      </c>
      <c r="M279" s="4">
        <v>85.19</v>
      </c>
      <c r="N279" s="4">
        <v>117.37390000000001</v>
      </c>
      <c r="O279" s="4">
        <v>381.68</v>
      </c>
      <c r="P279" s="4">
        <v>3.8764546470000001</v>
      </c>
      <c r="Q279" s="4">
        <v>15.35</v>
      </c>
      <c r="R279" s="10"/>
    </row>
    <row r="280" spans="1:18" x14ac:dyDescent="0.3">
      <c r="A280" t="s">
        <v>2</v>
      </c>
      <c r="B280" s="3" t="s">
        <v>280</v>
      </c>
      <c r="C280" s="2">
        <v>43430</v>
      </c>
      <c r="D280" s="9">
        <v>0.17499999999999999</v>
      </c>
      <c r="E280" s="3">
        <f t="shared" ca="1" si="4"/>
        <v>184316731</v>
      </c>
      <c r="F280" t="s">
        <v>12</v>
      </c>
      <c r="G280" t="s">
        <v>14</v>
      </c>
      <c r="H280" s="1" t="s">
        <v>236</v>
      </c>
      <c r="I280" t="s">
        <v>22</v>
      </c>
      <c r="J280" s="4">
        <v>1.9</v>
      </c>
      <c r="K280" s="4">
        <v>85.21</v>
      </c>
      <c r="L280" s="4">
        <v>10</v>
      </c>
      <c r="M280" s="4">
        <v>31.22</v>
      </c>
      <c r="N280" s="4">
        <v>132.89590000000001</v>
      </c>
      <c r="O280" s="4">
        <v>709.9</v>
      </c>
      <c r="P280" s="4">
        <v>3.8764546470000001</v>
      </c>
      <c r="Q280" s="4">
        <v>11.24</v>
      </c>
      <c r="R280" s="10"/>
    </row>
    <row r="281" spans="1:18" ht="28.8" x14ac:dyDescent="0.3">
      <c r="A281" t="s">
        <v>1</v>
      </c>
      <c r="B281" s="3" t="s">
        <v>279</v>
      </c>
      <c r="C281" s="2">
        <v>43173</v>
      </c>
      <c r="D281" s="9">
        <v>0.2673611111111111</v>
      </c>
      <c r="E281" s="3">
        <f t="shared" ca="1" si="4"/>
        <v>69232781</v>
      </c>
      <c r="F281" t="s">
        <v>12</v>
      </c>
      <c r="G281" t="s">
        <v>14</v>
      </c>
      <c r="H281" s="1" t="s">
        <v>237</v>
      </c>
      <c r="I281" t="s">
        <v>20</v>
      </c>
      <c r="J281" s="4">
        <v>1</v>
      </c>
      <c r="K281" s="4">
        <v>23.33</v>
      </c>
      <c r="L281" s="4">
        <v>10</v>
      </c>
      <c r="M281" s="4">
        <v>44.72</v>
      </c>
      <c r="N281" s="4">
        <v>132.1841</v>
      </c>
      <c r="O281" s="4">
        <v>440.2</v>
      </c>
      <c r="P281" s="4">
        <v>3.8764546470000001</v>
      </c>
      <c r="Q281" s="4">
        <v>39.409999999999997</v>
      </c>
      <c r="R281" s="10"/>
    </row>
    <row r="282" spans="1:18" ht="28.8" x14ac:dyDescent="0.3">
      <c r="A282" t="s">
        <v>1</v>
      </c>
      <c r="B282" s="3" t="s">
        <v>279</v>
      </c>
      <c r="C282" s="2">
        <v>42809</v>
      </c>
      <c r="D282" s="9">
        <v>0.43263888888888891</v>
      </c>
      <c r="E282" s="3">
        <f t="shared" ca="1" si="4"/>
        <v>871475878</v>
      </c>
      <c r="F282" t="s">
        <v>11</v>
      </c>
      <c r="G282" t="s">
        <v>15</v>
      </c>
      <c r="H282" s="1" t="s">
        <v>237</v>
      </c>
      <c r="I282" t="s">
        <v>19</v>
      </c>
      <c r="J282" s="4">
        <v>1.2</v>
      </c>
      <c r="K282" s="4">
        <v>12.46</v>
      </c>
      <c r="L282" s="4">
        <v>8</v>
      </c>
      <c r="M282" s="4">
        <v>42.14</v>
      </c>
      <c r="N282" s="4">
        <v>168.9803</v>
      </c>
      <c r="O282" s="4">
        <v>559.67999999999995</v>
      </c>
      <c r="P282" s="4">
        <v>3.8764546470000001</v>
      </c>
      <c r="Q282" s="4">
        <v>57.62</v>
      </c>
      <c r="R282" s="10"/>
    </row>
    <row r="283" spans="1:18" ht="28.8" x14ac:dyDescent="0.3">
      <c r="A283" t="s">
        <v>2</v>
      </c>
      <c r="B283" s="3" t="s">
        <v>280</v>
      </c>
      <c r="C283" s="2">
        <v>43272</v>
      </c>
      <c r="D283" s="9">
        <v>0.68055555555555558</v>
      </c>
      <c r="E283" s="3">
        <f t="shared" ca="1" si="4"/>
        <v>316258012</v>
      </c>
      <c r="F283" t="s">
        <v>12</v>
      </c>
      <c r="G283" t="s">
        <v>15</v>
      </c>
      <c r="H283" s="1" t="s">
        <v>237</v>
      </c>
      <c r="I283" t="s">
        <v>19</v>
      </c>
      <c r="J283" s="4">
        <v>9.3000000000000007</v>
      </c>
      <c r="K283" s="4">
        <v>50.57</v>
      </c>
      <c r="L283" s="4">
        <v>1</v>
      </c>
      <c r="M283" s="4">
        <v>67.400000000000006</v>
      </c>
      <c r="N283" s="4">
        <v>133.8587</v>
      </c>
      <c r="O283" s="4">
        <v>37</v>
      </c>
      <c r="P283" s="4">
        <v>3.8764546470000001</v>
      </c>
      <c r="Q283" s="4">
        <v>14.36</v>
      </c>
      <c r="R283" s="10"/>
    </row>
    <row r="284" spans="1:18" x14ac:dyDescent="0.3">
      <c r="A284" t="s">
        <v>1</v>
      </c>
      <c r="B284" s="3" t="s">
        <v>279</v>
      </c>
      <c r="C284" s="2">
        <v>43119</v>
      </c>
      <c r="D284" s="9">
        <v>0.70972222222222225</v>
      </c>
      <c r="E284" s="3">
        <f t="shared" ca="1" si="4"/>
        <v>518588560</v>
      </c>
      <c r="F284" t="s">
        <v>11</v>
      </c>
      <c r="G284" t="s">
        <v>15</v>
      </c>
      <c r="H284" s="1" t="s">
        <v>236</v>
      </c>
      <c r="I284" t="s">
        <v>20</v>
      </c>
      <c r="J284" s="4">
        <v>5.0999999999999996</v>
      </c>
      <c r="K284" s="4">
        <v>12.14</v>
      </c>
      <c r="L284" s="4">
        <v>1</v>
      </c>
      <c r="M284" s="4">
        <v>71.78</v>
      </c>
      <c r="N284" s="4">
        <v>151.7611</v>
      </c>
      <c r="O284" s="4">
        <v>15.34</v>
      </c>
      <c r="P284" s="4">
        <v>3.8764546470000001</v>
      </c>
      <c r="Q284" s="4">
        <v>12.71</v>
      </c>
      <c r="R284" s="10"/>
    </row>
    <row r="285" spans="1:18" x14ac:dyDescent="0.3">
      <c r="A285" t="s">
        <v>1</v>
      </c>
      <c r="B285" s="3" t="s">
        <v>279</v>
      </c>
      <c r="C285" s="2">
        <v>43003</v>
      </c>
      <c r="D285" s="9">
        <v>0.21875</v>
      </c>
      <c r="E285" s="3">
        <f t="shared" ca="1" si="4"/>
        <v>285254019</v>
      </c>
      <c r="F285" t="s">
        <v>12</v>
      </c>
      <c r="G285" t="s">
        <v>14</v>
      </c>
      <c r="H285" s="1" t="s">
        <v>235</v>
      </c>
      <c r="I285" t="s">
        <v>17</v>
      </c>
      <c r="J285" s="4">
        <v>2.8</v>
      </c>
      <c r="K285" s="4">
        <v>11.51</v>
      </c>
      <c r="L285" s="4">
        <v>6</v>
      </c>
      <c r="M285" s="4">
        <v>34.44</v>
      </c>
      <c r="N285" s="4">
        <v>153.00960000000001</v>
      </c>
      <c r="O285" s="4">
        <v>598.98</v>
      </c>
      <c r="P285" s="4">
        <v>3.8764546470000001</v>
      </c>
      <c r="Q285" s="4">
        <v>22.771999999999998</v>
      </c>
      <c r="R285" s="10"/>
    </row>
    <row r="286" spans="1:18" x14ac:dyDescent="0.3">
      <c r="A286" t="s">
        <v>1</v>
      </c>
      <c r="B286" s="3" t="s">
        <v>279</v>
      </c>
      <c r="C286" s="2">
        <v>43231</v>
      </c>
      <c r="D286" s="9">
        <v>0.14097222222222222</v>
      </c>
      <c r="E286" s="3">
        <f t="shared" ca="1" si="4"/>
        <v>179617083</v>
      </c>
      <c r="F286" t="s">
        <v>11</v>
      </c>
      <c r="G286" t="s">
        <v>14</v>
      </c>
      <c r="H286" s="1" t="s">
        <v>236</v>
      </c>
      <c r="I286" t="s">
        <v>17</v>
      </c>
      <c r="J286" s="4">
        <v>9</v>
      </c>
      <c r="K286" s="4">
        <v>79.53</v>
      </c>
      <c r="L286" s="4">
        <v>4</v>
      </c>
      <c r="M286" s="4">
        <v>93.25</v>
      </c>
      <c r="N286" s="4">
        <v>155.07140000000001</v>
      </c>
      <c r="O286" s="4">
        <v>190.68</v>
      </c>
      <c r="P286" s="4">
        <v>3.8764546470000001</v>
      </c>
      <c r="Q286" s="4">
        <v>37.451999999999998</v>
      </c>
      <c r="R286" s="10"/>
    </row>
    <row r="287" spans="1:18" x14ac:dyDescent="0.3">
      <c r="A287" t="s">
        <v>3</v>
      </c>
      <c r="B287" s="3" t="s">
        <v>281</v>
      </c>
      <c r="C287" s="2">
        <v>43435</v>
      </c>
      <c r="D287" s="9">
        <v>0.63680555555555551</v>
      </c>
      <c r="E287" s="3">
        <f t="shared" ca="1" si="4"/>
        <v>282787421</v>
      </c>
      <c r="F287" t="s">
        <v>12</v>
      </c>
      <c r="G287" t="s">
        <v>15</v>
      </c>
      <c r="H287" s="1" t="s">
        <v>236</v>
      </c>
      <c r="I287" t="s">
        <v>17</v>
      </c>
      <c r="J287" s="4">
        <v>7</v>
      </c>
      <c r="K287" s="4">
        <v>61.83</v>
      </c>
      <c r="L287" s="4">
        <v>5</v>
      </c>
      <c r="M287" s="4">
        <v>41.62</v>
      </c>
      <c r="N287" s="4">
        <v>120.4663</v>
      </c>
      <c r="O287" s="4">
        <v>333.4</v>
      </c>
      <c r="P287" s="4">
        <v>3.8764546470000001</v>
      </c>
      <c r="Q287" s="4">
        <v>38.692999999999998</v>
      </c>
      <c r="R287" s="10"/>
    </row>
    <row r="288" spans="1:18" x14ac:dyDescent="0.3">
      <c r="A288" t="s">
        <v>2</v>
      </c>
      <c r="B288" s="3" t="s">
        <v>280</v>
      </c>
      <c r="C288" s="2">
        <v>43423</v>
      </c>
      <c r="D288" s="9">
        <v>0.51527777777777772</v>
      </c>
      <c r="E288" s="3">
        <f t="shared" ca="1" si="4"/>
        <v>657762961</v>
      </c>
      <c r="F288" t="s">
        <v>12</v>
      </c>
      <c r="G288" t="s">
        <v>14</v>
      </c>
      <c r="H288" s="1" t="s">
        <v>236</v>
      </c>
      <c r="I288" t="s">
        <v>19</v>
      </c>
      <c r="J288" s="4">
        <v>7.7</v>
      </c>
      <c r="K288" s="4">
        <v>53.93</v>
      </c>
      <c r="L288" s="4">
        <v>1</v>
      </c>
      <c r="M288" s="4">
        <v>13.71</v>
      </c>
      <c r="N288" s="4">
        <v>124.8481</v>
      </c>
      <c r="O288" s="4">
        <v>74.86</v>
      </c>
      <c r="P288" s="4">
        <v>3.8764546470000001</v>
      </c>
      <c r="Q288" s="4">
        <v>20.986999999999998</v>
      </c>
      <c r="R288" s="10"/>
    </row>
    <row r="289" spans="1:18" x14ac:dyDescent="0.3">
      <c r="A289" t="s">
        <v>2</v>
      </c>
      <c r="B289" s="3" t="s">
        <v>280</v>
      </c>
      <c r="C289" s="2">
        <v>42887</v>
      </c>
      <c r="D289" s="9">
        <v>0.14097222222222222</v>
      </c>
      <c r="E289" s="3">
        <f t="shared" ca="1" si="4"/>
        <v>624419916</v>
      </c>
      <c r="F289" t="s">
        <v>11</v>
      </c>
      <c r="G289" t="s">
        <v>15</v>
      </c>
      <c r="H289" s="1" t="s">
        <v>236</v>
      </c>
      <c r="I289" t="s">
        <v>20</v>
      </c>
      <c r="J289" s="4">
        <v>3</v>
      </c>
      <c r="K289" s="4">
        <v>38.39</v>
      </c>
      <c r="L289" s="4">
        <v>9</v>
      </c>
      <c r="M289" s="4">
        <v>54.35</v>
      </c>
      <c r="N289" s="4">
        <v>171.30420000000001</v>
      </c>
      <c r="O289" s="4">
        <v>213.75</v>
      </c>
      <c r="P289" s="4">
        <v>3.8764546470000001</v>
      </c>
      <c r="Q289" s="4">
        <v>42.91</v>
      </c>
      <c r="R289" s="10"/>
    </row>
    <row r="290" spans="1:18" ht="28.8" x14ac:dyDescent="0.3">
      <c r="A290" t="s">
        <v>3</v>
      </c>
      <c r="B290" s="3" t="s">
        <v>281</v>
      </c>
      <c r="C290" s="2">
        <v>43240</v>
      </c>
      <c r="D290" s="9">
        <v>0.83125000000000004</v>
      </c>
      <c r="E290" s="3">
        <f t="shared" ca="1" si="4"/>
        <v>441553626</v>
      </c>
      <c r="F290" t="s">
        <v>11</v>
      </c>
      <c r="G290" t="s">
        <v>15</v>
      </c>
      <c r="H290" s="1" t="s">
        <v>237</v>
      </c>
      <c r="I290" t="s">
        <v>21</v>
      </c>
      <c r="J290" s="4">
        <v>4</v>
      </c>
      <c r="K290" s="4">
        <v>11.04</v>
      </c>
      <c r="L290" s="4">
        <v>7</v>
      </c>
      <c r="M290" s="4">
        <v>24.92</v>
      </c>
      <c r="N290" s="4">
        <v>113.48309999999999</v>
      </c>
      <c r="O290" s="4">
        <v>339.57</v>
      </c>
      <c r="P290" s="4">
        <v>3.8764546470000001</v>
      </c>
      <c r="Q290" s="4">
        <v>88.93</v>
      </c>
      <c r="R290" s="10"/>
    </row>
    <row r="291" spans="1:18" x14ac:dyDescent="0.3">
      <c r="A291" t="s">
        <v>1</v>
      </c>
      <c r="B291" s="3" t="s">
        <v>279</v>
      </c>
      <c r="C291" s="2">
        <v>43102</v>
      </c>
      <c r="D291" s="9">
        <v>0.28680555555555554</v>
      </c>
      <c r="E291" s="3">
        <f t="shared" ca="1" si="4"/>
        <v>639966982</v>
      </c>
      <c r="F291" t="s">
        <v>11</v>
      </c>
      <c r="G291" t="s">
        <v>14</v>
      </c>
      <c r="H291" s="1" t="s">
        <v>236</v>
      </c>
      <c r="I291" t="s">
        <v>19</v>
      </c>
      <c r="J291" s="4">
        <v>1</v>
      </c>
      <c r="K291" s="4">
        <v>58.72</v>
      </c>
      <c r="L291" s="4">
        <v>7</v>
      </c>
      <c r="M291" s="4">
        <v>13.44</v>
      </c>
      <c r="N291" s="4">
        <v>101.2623</v>
      </c>
      <c r="O291" s="4">
        <v>664.16</v>
      </c>
      <c r="P291" s="4">
        <v>3.8764546470000001</v>
      </c>
      <c r="Q291" s="4">
        <v>73.3</v>
      </c>
      <c r="R291" s="10"/>
    </row>
    <row r="292" spans="1:18" ht="28.8" x14ac:dyDescent="0.3">
      <c r="A292" t="s">
        <v>3</v>
      </c>
      <c r="B292" s="3" t="s">
        <v>281</v>
      </c>
      <c r="C292" s="2">
        <v>43244</v>
      </c>
      <c r="D292" s="9">
        <v>0.64166666666666672</v>
      </c>
      <c r="E292" s="3">
        <f t="shared" ca="1" si="4"/>
        <v>337210174</v>
      </c>
      <c r="F292" t="s">
        <v>12</v>
      </c>
      <c r="G292" t="s">
        <v>14</v>
      </c>
      <c r="H292" s="1" t="s">
        <v>237</v>
      </c>
      <c r="I292" t="s">
        <v>18</v>
      </c>
      <c r="J292" s="4">
        <v>1</v>
      </c>
      <c r="K292" s="4">
        <v>37.03</v>
      </c>
      <c r="L292" s="4">
        <v>10</v>
      </c>
      <c r="M292" s="4">
        <v>80.790000000000006</v>
      </c>
      <c r="N292" s="4">
        <v>145.04689999999999</v>
      </c>
      <c r="O292" s="4">
        <v>403</v>
      </c>
      <c r="P292" s="4">
        <v>3.8764546470000001</v>
      </c>
      <c r="Q292" s="4">
        <v>82.35</v>
      </c>
      <c r="R292" s="10"/>
    </row>
    <row r="293" spans="1:18" x14ac:dyDescent="0.3">
      <c r="A293" t="s">
        <v>2</v>
      </c>
      <c r="B293" s="3" t="s">
        <v>280</v>
      </c>
      <c r="C293" s="2">
        <v>43053</v>
      </c>
      <c r="D293" s="9">
        <v>0.3840277777777778</v>
      </c>
      <c r="E293" s="3">
        <f t="shared" ca="1" si="4"/>
        <v>312116330</v>
      </c>
      <c r="F293" t="s">
        <v>12</v>
      </c>
      <c r="G293" t="s">
        <v>15</v>
      </c>
      <c r="H293" s="1" t="s">
        <v>235</v>
      </c>
      <c r="I293" t="s">
        <v>18</v>
      </c>
      <c r="J293" s="4">
        <v>4.0999999999999996</v>
      </c>
      <c r="K293" s="4">
        <v>37.14</v>
      </c>
      <c r="L293" s="4">
        <v>7</v>
      </c>
      <c r="M293" s="4">
        <v>59.36</v>
      </c>
      <c r="N293" s="4">
        <v>181.6096</v>
      </c>
      <c r="O293" s="4">
        <v>194.95</v>
      </c>
      <c r="P293" s="4">
        <v>3.8764546470000001</v>
      </c>
      <c r="Q293" s="4">
        <v>45.43</v>
      </c>
      <c r="R293" s="10"/>
    </row>
    <row r="294" spans="1:18" x14ac:dyDescent="0.3">
      <c r="A294" t="s">
        <v>1</v>
      </c>
      <c r="B294" s="3" t="s">
        <v>279</v>
      </c>
      <c r="C294" s="2">
        <v>42868</v>
      </c>
      <c r="D294" s="9">
        <v>0.45208333333333334</v>
      </c>
      <c r="E294" s="3">
        <f t="shared" ca="1" si="4"/>
        <v>752019845</v>
      </c>
      <c r="F294" t="s">
        <v>11</v>
      </c>
      <c r="G294" t="s">
        <v>14</v>
      </c>
      <c r="H294" s="1" t="s">
        <v>236</v>
      </c>
      <c r="I294" t="s">
        <v>18</v>
      </c>
      <c r="J294" s="4">
        <v>8.9</v>
      </c>
      <c r="K294" s="4">
        <v>41.14</v>
      </c>
      <c r="L294" s="4">
        <v>1</v>
      </c>
      <c r="M294" s="4">
        <v>65.569999999999993</v>
      </c>
      <c r="N294" s="4">
        <v>127.1829</v>
      </c>
      <c r="O294" s="4">
        <v>62.48</v>
      </c>
      <c r="P294" s="4">
        <v>3.8764546470000001</v>
      </c>
      <c r="Q294" s="4">
        <v>65.599999999999994</v>
      </c>
      <c r="R294" s="10"/>
    </row>
    <row r="295" spans="1:18" x14ac:dyDescent="0.3">
      <c r="A295" t="s">
        <v>1</v>
      </c>
      <c r="B295" s="3" t="s">
        <v>279</v>
      </c>
      <c r="C295" s="2">
        <v>43150</v>
      </c>
      <c r="D295" s="9">
        <v>0.46666666666666667</v>
      </c>
      <c r="E295" s="3">
        <f t="shared" ca="1" si="4"/>
        <v>413382860</v>
      </c>
      <c r="F295" t="s">
        <v>11</v>
      </c>
      <c r="G295" t="s">
        <v>14</v>
      </c>
      <c r="H295" s="1" t="s">
        <v>236</v>
      </c>
      <c r="I295" t="s">
        <v>21</v>
      </c>
      <c r="J295" s="4">
        <v>3</v>
      </c>
      <c r="K295" s="4">
        <v>27.88</v>
      </c>
      <c r="L295" s="4">
        <v>2</v>
      </c>
      <c r="M295" s="4">
        <v>80.25</v>
      </c>
      <c r="N295" s="4">
        <v>136.29560000000001</v>
      </c>
      <c r="O295" s="4">
        <v>72.72</v>
      </c>
      <c r="P295" s="4">
        <v>3.8764546470000001</v>
      </c>
      <c r="Q295" s="4">
        <v>49.207999999999998</v>
      </c>
      <c r="R295" s="10"/>
    </row>
    <row r="296" spans="1:18" x14ac:dyDescent="0.3">
      <c r="A296" t="s">
        <v>3</v>
      </c>
      <c r="B296" s="3" t="s">
        <v>281</v>
      </c>
      <c r="C296" s="2">
        <v>42906</v>
      </c>
      <c r="D296" s="9">
        <v>0.44236111111111109</v>
      </c>
      <c r="E296" s="3">
        <f t="shared" ca="1" si="4"/>
        <v>976137479</v>
      </c>
      <c r="F296" t="s">
        <v>12</v>
      </c>
      <c r="G296" t="s">
        <v>15</v>
      </c>
      <c r="H296" s="1" t="s">
        <v>235</v>
      </c>
      <c r="I296" t="s">
        <v>17</v>
      </c>
      <c r="J296" s="4">
        <v>4.7</v>
      </c>
      <c r="K296" s="4">
        <v>16.739999999999998</v>
      </c>
      <c r="L296" s="4">
        <v>10</v>
      </c>
      <c r="M296" s="4">
        <v>34.369999999999997</v>
      </c>
      <c r="N296" s="4">
        <v>127.7546</v>
      </c>
      <c r="O296" s="4">
        <v>181.1</v>
      </c>
      <c r="P296" s="4">
        <v>3.8764546470000001</v>
      </c>
      <c r="Q296" s="4">
        <v>28.553000000000001</v>
      </c>
      <c r="R296" s="10"/>
    </row>
    <row r="297" spans="1:18" x14ac:dyDescent="0.3">
      <c r="A297" t="s">
        <v>2</v>
      </c>
      <c r="B297" s="3" t="s">
        <v>280</v>
      </c>
      <c r="C297" s="2">
        <v>43003</v>
      </c>
      <c r="D297" s="9">
        <v>0.9868055555555556</v>
      </c>
      <c r="E297" s="3">
        <f t="shared" ca="1" si="4"/>
        <v>438309193</v>
      </c>
      <c r="F297" t="s">
        <v>11</v>
      </c>
      <c r="G297" t="s">
        <v>14</v>
      </c>
      <c r="H297" s="1" t="s">
        <v>236</v>
      </c>
      <c r="I297" t="s">
        <v>18</v>
      </c>
      <c r="J297" s="4">
        <v>8.3000000000000007</v>
      </c>
      <c r="K297" s="4">
        <v>67.25</v>
      </c>
      <c r="L297" s="4">
        <v>5</v>
      </c>
      <c r="M297" s="4">
        <v>39.06</v>
      </c>
      <c r="N297" s="4">
        <v>132.90369999999999</v>
      </c>
      <c r="O297" s="4">
        <v>259.60000000000002</v>
      </c>
      <c r="P297" s="4">
        <v>3.8764546470000001</v>
      </c>
      <c r="Q297" s="4">
        <v>78.09</v>
      </c>
      <c r="R297" s="10"/>
    </row>
    <row r="298" spans="1:18" x14ac:dyDescent="0.3">
      <c r="A298" t="s">
        <v>2</v>
      </c>
      <c r="B298" s="3" t="s">
        <v>280</v>
      </c>
      <c r="C298" s="2">
        <v>43044</v>
      </c>
      <c r="D298" s="9">
        <v>0.18958333333333333</v>
      </c>
      <c r="E298" s="3">
        <f t="shared" ca="1" si="4"/>
        <v>715777121</v>
      </c>
      <c r="F298" t="s">
        <v>12</v>
      </c>
      <c r="G298" t="s">
        <v>15</v>
      </c>
      <c r="H298" s="1" t="s">
        <v>236</v>
      </c>
      <c r="I298" t="s">
        <v>18</v>
      </c>
      <c r="J298" s="4">
        <v>8.6</v>
      </c>
      <c r="K298" s="4">
        <v>90.95</v>
      </c>
      <c r="L298" s="4">
        <v>4</v>
      </c>
      <c r="M298" s="4">
        <v>33.81</v>
      </c>
      <c r="N298" s="4">
        <v>158.5943</v>
      </c>
      <c r="O298" s="4">
        <v>115.36</v>
      </c>
      <c r="P298" s="4">
        <v>3.8764546470000001</v>
      </c>
      <c r="Q298" s="4">
        <v>79.908000000000001</v>
      </c>
      <c r="R298" s="10"/>
    </row>
    <row r="299" spans="1:18" x14ac:dyDescent="0.3">
      <c r="A299" t="s">
        <v>1</v>
      </c>
      <c r="B299" s="3" t="s">
        <v>279</v>
      </c>
      <c r="C299" s="2">
        <v>43092</v>
      </c>
      <c r="D299" s="9">
        <v>0.93819444444444444</v>
      </c>
      <c r="E299" s="3">
        <f t="shared" ca="1" si="4"/>
        <v>101030513</v>
      </c>
      <c r="F299" t="s">
        <v>12</v>
      </c>
      <c r="G299" t="s">
        <v>14</v>
      </c>
      <c r="H299" s="1" t="s">
        <v>235</v>
      </c>
      <c r="I299" t="s">
        <v>19</v>
      </c>
      <c r="J299" s="4">
        <v>3</v>
      </c>
      <c r="K299" s="4">
        <v>73.58</v>
      </c>
      <c r="L299" s="4">
        <v>6</v>
      </c>
      <c r="M299" s="4">
        <v>39.44</v>
      </c>
      <c r="N299" s="4">
        <v>163.2552</v>
      </c>
      <c r="O299" s="4">
        <v>470.28</v>
      </c>
      <c r="P299" s="4">
        <v>3.8764546470000001</v>
      </c>
      <c r="Q299" s="4">
        <v>24.85</v>
      </c>
      <c r="R299" s="10"/>
    </row>
    <row r="300" spans="1:18" x14ac:dyDescent="0.3">
      <c r="A300" t="s">
        <v>1</v>
      </c>
      <c r="B300" s="3" t="s">
        <v>279</v>
      </c>
      <c r="C300" s="2">
        <v>43013</v>
      </c>
      <c r="D300" s="9">
        <v>0.86527777777777781</v>
      </c>
      <c r="E300" s="3">
        <f t="shared" ca="1" si="4"/>
        <v>94765913</v>
      </c>
      <c r="F300" t="s">
        <v>12</v>
      </c>
      <c r="G300" t="s">
        <v>14</v>
      </c>
      <c r="H300" s="1" t="s">
        <v>236</v>
      </c>
      <c r="I300" t="s">
        <v>19</v>
      </c>
      <c r="J300" s="4">
        <v>8</v>
      </c>
      <c r="K300" s="4">
        <v>16.25</v>
      </c>
      <c r="L300" s="4">
        <v>4</v>
      </c>
      <c r="M300" s="4">
        <v>97.1</v>
      </c>
      <c r="N300" s="4">
        <v>162.32159999999999</v>
      </c>
      <c r="O300" s="4">
        <v>240.04</v>
      </c>
      <c r="P300" s="4">
        <v>3.8764546470000001</v>
      </c>
      <c r="Q300" s="4">
        <v>63.021000000000001</v>
      </c>
      <c r="R300" s="10"/>
    </row>
    <row r="301" spans="1:18" x14ac:dyDescent="0.3">
      <c r="A301" t="s">
        <v>2</v>
      </c>
      <c r="B301" s="3" t="s">
        <v>280</v>
      </c>
      <c r="C301" s="2">
        <v>43420</v>
      </c>
      <c r="D301" s="9">
        <v>1.4583333333333334E-2</v>
      </c>
      <c r="E301" s="3">
        <f t="shared" ca="1" si="4"/>
        <v>819403066</v>
      </c>
      <c r="F301" t="s">
        <v>11</v>
      </c>
      <c r="G301" t="s">
        <v>14</v>
      </c>
      <c r="H301" s="1" t="s">
        <v>236</v>
      </c>
      <c r="I301" t="s">
        <v>19</v>
      </c>
      <c r="J301" s="4">
        <v>2.2999999999999998</v>
      </c>
      <c r="K301" s="4">
        <v>39.94</v>
      </c>
      <c r="L301" s="4">
        <v>1</v>
      </c>
      <c r="M301" s="4">
        <v>44.39</v>
      </c>
      <c r="N301" s="4">
        <v>126.3646</v>
      </c>
      <c r="O301" s="4">
        <v>88.61</v>
      </c>
      <c r="P301" s="4">
        <v>3.8764546470000001</v>
      </c>
      <c r="Q301" s="4">
        <v>69.682000000000002</v>
      </c>
      <c r="R301" s="10"/>
    </row>
    <row r="302" spans="1:18" ht="28.8" x14ac:dyDescent="0.3">
      <c r="A302" t="s">
        <v>2</v>
      </c>
      <c r="B302" s="3" t="s">
        <v>280</v>
      </c>
      <c r="C302" s="2">
        <v>43353</v>
      </c>
      <c r="D302" s="9">
        <v>0.92847222222222225</v>
      </c>
      <c r="E302" s="3">
        <f t="shared" ca="1" si="4"/>
        <v>684832217</v>
      </c>
      <c r="F302" t="s">
        <v>12</v>
      </c>
      <c r="G302" t="s">
        <v>15</v>
      </c>
      <c r="H302" s="1" t="s">
        <v>237</v>
      </c>
      <c r="I302" t="s">
        <v>22</v>
      </c>
      <c r="J302" s="4">
        <v>4.3</v>
      </c>
      <c r="K302" s="4">
        <v>10.83</v>
      </c>
      <c r="L302" s="4">
        <v>2</v>
      </c>
      <c r="M302" s="4">
        <v>58.03</v>
      </c>
      <c r="N302" s="4">
        <v>116.6516</v>
      </c>
      <c r="O302" s="4">
        <v>199.64</v>
      </c>
      <c r="P302" s="4">
        <v>3.8764546470000001</v>
      </c>
      <c r="Q302" s="4">
        <v>40.270000000000003</v>
      </c>
      <c r="R302" s="10"/>
    </row>
    <row r="303" spans="1:18" ht="28.8" x14ac:dyDescent="0.3">
      <c r="A303" t="s">
        <v>3</v>
      </c>
      <c r="B303" s="3" t="s">
        <v>281</v>
      </c>
      <c r="C303" s="2">
        <v>42961</v>
      </c>
      <c r="D303" s="9">
        <v>2.4305555555555556E-2</v>
      </c>
      <c r="E303" s="3">
        <f t="shared" ca="1" si="4"/>
        <v>854164879</v>
      </c>
      <c r="F303" t="s">
        <v>12</v>
      </c>
      <c r="G303" t="s">
        <v>14</v>
      </c>
      <c r="H303" s="1" t="s">
        <v>237</v>
      </c>
      <c r="I303" t="s">
        <v>17</v>
      </c>
      <c r="J303" s="4">
        <v>9.6999999999999993</v>
      </c>
      <c r="K303" s="4">
        <v>95.74</v>
      </c>
      <c r="L303" s="4">
        <v>1</v>
      </c>
      <c r="M303" s="4">
        <v>81.94</v>
      </c>
      <c r="N303" s="4">
        <v>130.80500000000001</v>
      </c>
      <c r="O303" s="4">
        <v>39.01</v>
      </c>
      <c r="P303" s="4">
        <v>3.8764546470000001</v>
      </c>
      <c r="Q303" s="4">
        <v>36.155999999999999</v>
      </c>
      <c r="R303" s="10"/>
    </row>
    <row r="304" spans="1:18" x14ac:dyDescent="0.3">
      <c r="A304" t="s">
        <v>2</v>
      </c>
      <c r="B304" s="3" t="s">
        <v>280</v>
      </c>
      <c r="C304" s="2">
        <v>42932</v>
      </c>
      <c r="D304" s="9">
        <v>0.9916666666666667</v>
      </c>
      <c r="E304" s="3">
        <f t="shared" ca="1" si="4"/>
        <v>600184584</v>
      </c>
      <c r="F304" t="s">
        <v>12</v>
      </c>
      <c r="G304" t="s">
        <v>15</v>
      </c>
      <c r="H304" s="1" t="s">
        <v>236</v>
      </c>
      <c r="I304" t="s">
        <v>21</v>
      </c>
      <c r="J304" s="4">
        <v>5.8</v>
      </c>
      <c r="K304" s="4">
        <v>51.95</v>
      </c>
      <c r="L304" s="4">
        <v>1</v>
      </c>
      <c r="M304" s="4">
        <v>28.35</v>
      </c>
      <c r="N304" s="4">
        <v>156.90450000000001</v>
      </c>
      <c r="O304" s="4">
        <v>48.61</v>
      </c>
      <c r="P304" s="4">
        <v>3.8764546470000001</v>
      </c>
      <c r="Q304" s="4">
        <v>94.823999999999998</v>
      </c>
      <c r="R304" s="10"/>
    </row>
    <row r="305" spans="1:18" ht="28.8" x14ac:dyDescent="0.3">
      <c r="A305" t="s">
        <v>1</v>
      </c>
      <c r="B305" s="3" t="s">
        <v>279</v>
      </c>
      <c r="C305" s="2">
        <v>43200</v>
      </c>
      <c r="D305" s="9">
        <v>0.43263888888888891</v>
      </c>
      <c r="E305" s="3">
        <f t="shared" ca="1" si="4"/>
        <v>800736186</v>
      </c>
      <c r="F305" t="s">
        <v>11</v>
      </c>
      <c r="G305" t="s">
        <v>15</v>
      </c>
      <c r="H305" s="1" t="s">
        <v>237</v>
      </c>
      <c r="I305" t="s">
        <v>18</v>
      </c>
      <c r="J305" s="4">
        <v>7</v>
      </c>
      <c r="K305" s="4">
        <v>11.3</v>
      </c>
      <c r="L305" s="4">
        <v>4</v>
      </c>
      <c r="M305" s="4">
        <v>69.680000000000007</v>
      </c>
      <c r="N305" s="4">
        <v>138.34719999999999</v>
      </c>
      <c r="O305" s="4">
        <v>204.76</v>
      </c>
      <c r="P305" s="4">
        <v>3.8764546470000001</v>
      </c>
      <c r="Q305" s="4">
        <v>44.984999999999999</v>
      </c>
      <c r="R305" s="10"/>
    </row>
    <row r="306" spans="1:18" x14ac:dyDescent="0.3">
      <c r="A306" t="s">
        <v>3</v>
      </c>
      <c r="B306" s="3" t="s">
        <v>281</v>
      </c>
      <c r="C306" s="2">
        <v>42986</v>
      </c>
      <c r="D306" s="9">
        <v>0.51041666666666663</v>
      </c>
      <c r="E306" s="3">
        <f t="shared" ca="1" si="4"/>
        <v>382292254</v>
      </c>
      <c r="F306" t="s">
        <v>11</v>
      </c>
      <c r="G306" t="s">
        <v>15</v>
      </c>
      <c r="H306" s="1" t="s">
        <v>236</v>
      </c>
      <c r="I306" t="s">
        <v>18</v>
      </c>
      <c r="J306" s="4">
        <v>3</v>
      </c>
      <c r="K306" s="4">
        <v>15.83</v>
      </c>
      <c r="L306" s="4">
        <v>8</v>
      </c>
      <c r="M306" s="4">
        <v>40.880000000000003</v>
      </c>
      <c r="N306" s="4">
        <v>126.6285</v>
      </c>
      <c r="O306" s="4">
        <v>119.68</v>
      </c>
      <c r="P306" s="4">
        <v>3.8764546470000001</v>
      </c>
      <c r="Q306" s="4">
        <v>11.24</v>
      </c>
      <c r="R306" s="10"/>
    </row>
    <row r="307" spans="1:18" x14ac:dyDescent="0.3">
      <c r="A307" t="s">
        <v>1</v>
      </c>
      <c r="B307" s="3" t="s">
        <v>279</v>
      </c>
      <c r="C307" s="2">
        <v>43136</v>
      </c>
      <c r="D307" s="9">
        <v>0.49583333333333335</v>
      </c>
      <c r="E307" s="3">
        <f t="shared" ca="1" si="4"/>
        <v>463669878</v>
      </c>
      <c r="F307" t="s">
        <v>12</v>
      </c>
      <c r="G307" t="s">
        <v>14</v>
      </c>
      <c r="H307" s="1" t="s">
        <v>235</v>
      </c>
      <c r="I307" t="s">
        <v>18</v>
      </c>
      <c r="J307" s="4">
        <v>7</v>
      </c>
      <c r="K307" s="4">
        <v>44.78</v>
      </c>
      <c r="L307" s="4">
        <v>7</v>
      </c>
      <c r="M307" s="4">
        <v>18.350000000000001</v>
      </c>
      <c r="N307" s="4">
        <v>178.1283</v>
      </c>
      <c r="O307" s="4">
        <v>505.4</v>
      </c>
      <c r="P307" s="4">
        <v>3.8764546470000001</v>
      </c>
      <c r="Q307" s="4">
        <v>92.188999999999993</v>
      </c>
      <c r="R307" s="10"/>
    </row>
    <row r="308" spans="1:18" x14ac:dyDescent="0.3">
      <c r="A308" t="s">
        <v>1</v>
      </c>
      <c r="B308" s="3" t="s">
        <v>279</v>
      </c>
      <c r="C308" s="2">
        <v>43287</v>
      </c>
      <c r="D308" s="9">
        <v>0.51527777777777772</v>
      </c>
      <c r="E308" s="3">
        <f t="shared" ca="1" si="4"/>
        <v>877411037</v>
      </c>
      <c r="F308" t="s">
        <v>11</v>
      </c>
      <c r="G308" t="s">
        <v>15</v>
      </c>
      <c r="H308" s="1" t="s">
        <v>236</v>
      </c>
      <c r="I308" t="s">
        <v>20</v>
      </c>
      <c r="J308" s="4">
        <v>4</v>
      </c>
      <c r="K308" s="4">
        <v>39.909999999999997</v>
      </c>
      <c r="L308" s="4">
        <v>7</v>
      </c>
      <c r="M308" s="4">
        <v>40.049999999999997</v>
      </c>
      <c r="N308" s="4">
        <v>158.3826</v>
      </c>
      <c r="O308" s="4">
        <v>281.61</v>
      </c>
      <c r="P308" s="4">
        <v>3.8764546470000001</v>
      </c>
      <c r="Q308" s="4">
        <v>89.623000000000005</v>
      </c>
      <c r="R308" s="10"/>
    </row>
    <row r="309" spans="1:18" x14ac:dyDescent="0.3">
      <c r="A309" t="s">
        <v>1</v>
      </c>
      <c r="B309" s="3" t="s">
        <v>279</v>
      </c>
      <c r="C309" s="2">
        <v>43313</v>
      </c>
      <c r="D309" s="9">
        <v>0.70972222222222225</v>
      </c>
      <c r="E309" s="3">
        <f t="shared" ca="1" si="4"/>
        <v>803399638</v>
      </c>
      <c r="F309" t="s">
        <v>11</v>
      </c>
      <c r="G309" t="s">
        <v>14</v>
      </c>
      <c r="H309" s="1" t="s">
        <v>236</v>
      </c>
      <c r="I309" t="s">
        <v>19</v>
      </c>
      <c r="J309" s="4">
        <v>1.3</v>
      </c>
      <c r="K309" s="4">
        <v>23.33</v>
      </c>
      <c r="L309" s="4">
        <v>8</v>
      </c>
      <c r="M309" s="4">
        <v>54.8</v>
      </c>
      <c r="N309" s="4">
        <v>134.77529999999999</v>
      </c>
      <c r="O309" s="4">
        <v>710.32</v>
      </c>
      <c r="P309" s="4">
        <v>3.8764546470000001</v>
      </c>
      <c r="Q309" s="4">
        <v>42.347000000000001</v>
      </c>
      <c r="R309" s="10"/>
    </row>
    <row r="310" spans="1:18" x14ac:dyDescent="0.3">
      <c r="A310" t="s">
        <v>1</v>
      </c>
      <c r="B310" s="3" t="s">
        <v>279</v>
      </c>
      <c r="C310" s="2">
        <v>43308</v>
      </c>
      <c r="D310" s="9">
        <v>0.57847222222222228</v>
      </c>
      <c r="E310" s="3">
        <f t="shared" ca="1" si="4"/>
        <v>241970676</v>
      </c>
      <c r="F310" t="s">
        <v>11</v>
      </c>
      <c r="G310" t="s">
        <v>14</v>
      </c>
      <c r="H310" s="1" t="s">
        <v>235</v>
      </c>
      <c r="I310" t="s">
        <v>18</v>
      </c>
      <c r="J310" s="4">
        <v>3</v>
      </c>
      <c r="K310" s="4">
        <v>70.73</v>
      </c>
      <c r="L310" s="4">
        <v>3</v>
      </c>
      <c r="M310" s="4">
        <v>94.6</v>
      </c>
      <c r="N310" s="4">
        <v>143.63640000000001</v>
      </c>
      <c r="O310" s="4">
        <v>79.44</v>
      </c>
      <c r="P310" s="4">
        <v>3.8764546470000001</v>
      </c>
      <c r="Q310" s="4">
        <v>44.328000000000003</v>
      </c>
      <c r="R310" s="10"/>
    </row>
    <row r="311" spans="1:18" x14ac:dyDescent="0.3">
      <c r="A311" t="s">
        <v>1</v>
      </c>
      <c r="B311" s="3" t="s">
        <v>279</v>
      </c>
      <c r="C311" s="2">
        <v>43178</v>
      </c>
      <c r="D311" s="9">
        <v>0.90416666666666667</v>
      </c>
      <c r="E311" s="3">
        <f t="shared" ca="1" si="4"/>
        <v>867838486</v>
      </c>
      <c r="F311" t="s">
        <v>11</v>
      </c>
      <c r="G311" t="s">
        <v>15</v>
      </c>
      <c r="H311" s="1" t="s">
        <v>236</v>
      </c>
      <c r="I311" t="s">
        <v>22</v>
      </c>
      <c r="J311" s="4">
        <v>3</v>
      </c>
      <c r="K311" s="4">
        <v>18.440000000000001</v>
      </c>
      <c r="L311" s="4">
        <v>2</v>
      </c>
      <c r="M311" s="4">
        <v>33.64</v>
      </c>
      <c r="N311" s="4">
        <v>135.66560000000001</v>
      </c>
      <c r="O311" s="4">
        <v>163.82</v>
      </c>
      <c r="P311" s="4">
        <v>3.8764546470000001</v>
      </c>
      <c r="Q311" s="4">
        <v>39.450000000000003</v>
      </c>
      <c r="R311" s="10"/>
    </row>
    <row r="312" spans="1:18" x14ac:dyDescent="0.3">
      <c r="A312" t="s">
        <v>3</v>
      </c>
      <c r="B312" s="3" t="s">
        <v>281</v>
      </c>
      <c r="C312" s="2">
        <v>43161</v>
      </c>
      <c r="D312" s="9">
        <v>0.96736111111111112</v>
      </c>
      <c r="E312" s="3">
        <f t="shared" ca="1" si="4"/>
        <v>984350085</v>
      </c>
      <c r="F312" t="s">
        <v>12</v>
      </c>
      <c r="G312" t="s">
        <v>14</v>
      </c>
      <c r="H312" s="1" t="s">
        <v>236</v>
      </c>
      <c r="I312" t="s">
        <v>20</v>
      </c>
      <c r="J312" s="4">
        <v>4</v>
      </c>
      <c r="K312" s="4">
        <v>92.5</v>
      </c>
      <c r="L312" s="4">
        <v>6</v>
      </c>
      <c r="M312" s="4">
        <v>67.87</v>
      </c>
      <c r="N312" s="4">
        <v>189.35720000000001</v>
      </c>
      <c r="O312" s="4">
        <v>479.58</v>
      </c>
      <c r="P312" s="4">
        <v>3.8764546470000001</v>
      </c>
      <c r="Q312" s="4">
        <v>35.054000000000002</v>
      </c>
      <c r="R312" s="10"/>
    </row>
    <row r="313" spans="1:18" x14ac:dyDescent="0.3">
      <c r="A313" t="s">
        <v>2</v>
      </c>
      <c r="B313" s="3" t="s">
        <v>280</v>
      </c>
      <c r="C313" s="2">
        <v>43035</v>
      </c>
      <c r="D313" s="9">
        <v>0.60763888888888884</v>
      </c>
      <c r="E313" s="3">
        <f t="shared" ca="1" si="4"/>
        <v>407058345</v>
      </c>
      <c r="F313" t="s">
        <v>12</v>
      </c>
      <c r="G313" t="s">
        <v>14</v>
      </c>
      <c r="H313" s="1" t="s">
        <v>235</v>
      </c>
      <c r="I313" t="s">
        <v>22</v>
      </c>
      <c r="J313" s="4">
        <v>2</v>
      </c>
      <c r="K313" s="4">
        <v>59.05</v>
      </c>
      <c r="L313" s="4">
        <v>2</v>
      </c>
      <c r="M313" s="4">
        <v>74.89</v>
      </c>
      <c r="N313" s="4">
        <v>110.77370000000001</v>
      </c>
      <c r="O313" s="4">
        <v>138.66</v>
      </c>
      <c r="P313" s="4">
        <v>3.8764546470000001</v>
      </c>
      <c r="Q313" s="4">
        <v>42.121000000000002</v>
      </c>
      <c r="R313" s="10"/>
    </row>
    <row r="314" spans="1:18" ht="28.8" x14ac:dyDescent="0.3">
      <c r="A314" t="s">
        <v>1</v>
      </c>
      <c r="B314" s="3" t="s">
        <v>279</v>
      </c>
      <c r="C314" s="2">
        <v>43293</v>
      </c>
      <c r="D314" s="9">
        <v>0.11666666666666667</v>
      </c>
      <c r="E314" s="3">
        <f t="shared" ca="1" si="4"/>
        <v>874749830</v>
      </c>
      <c r="F314" t="s">
        <v>11</v>
      </c>
      <c r="G314" t="s">
        <v>14</v>
      </c>
      <c r="H314" s="1" t="s">
        <v>237</v>
      </c>
      <c r="I314" t="s">
        <v>21</v>
      </c>
      <c r="J314" s="4">
        <v>8</v>
      </c>
      <c r="K314" s="4">
        <v>30.92</v>
      </c>
      <c r="L314" s="4">
        <v>5</v>
      </c>
      <c r="M314" s="4">
        <v>77.03</v>
      </c>
      <c r="N314" s="4">
        <v>171.16050000000001</v>
      </c>
      <c r="O314" s="4">
        <v>71.150000000000006</v>
      </c>
      <c r="P314" s="4">
        <v>3.8764546470000001</v>
      </c>
      <c r="Q314" s="4">
        <v>54.725000000000001</v>
      </c>
      <c r="R314" s="10"/>
    </row>
    <row r="315" spans="1:18" x14ac:dyDescent="0.3">
      <c r="A315" t="s">
        <v>1</v>
      </c>
      <c r="B315" s="3" t="s">
        <v>279</v>
      </c>
      <c r="C315" s="2">
        <v>42953</v>
      </c>
      <c r="D315" s="9">
        <v>0.95763888888888893</v>
      </c>
      <c r="E315" s="3">
        <f t="shared" ca="1" si="4"/>
        <v>434312970</v>
      </c>
      <c r="F315" t="s">
        <v>11</v>
      </c>
      <c r="G315" t="s">
        <v>14</v>
      </c>
      <c r="H315" s="1" t="s">
        <v>236</v>
      </c>
      <c r="I315" t="s">
        <v>17</v>
      </c>
      <c r="J315" s="4">
        <v>5.6</v>
      </c>
      <c r="K315" s="4">
        <v>82.86</v>
      </c>
      <c r="L315" s="4">
        <v>9</v>
      </c>
      <c r="M315" s="4">
        <v>72.8</v>
      </c>
      <c r="N315" s="4">
        <v>163.1063</v>
      </c>
      <c r="O315" s="4">
        <v>139.94999999999999</v>
      </c>
      <c r="P315" s="4">
        <v>3.8764546470000001</v>
      </c>
      <c r="Q315" s="4">
        <v>94.153999999999996</v>
      </c>
      <c r="R315" s="10"/>
    </row>
    <row r="316" spans="1:18" x14ac:dyDescent="0.3">
      <c r="A316" t="s">
        <v>2</v>
      </c>
      <c r="B316" s="3" t="s">
        <v>280</v>
      </c>
      <c r="C316" s="2">
        <v>42799</v>
      </c>
      <c r="D316" s="9">
        <v>0.34513888888888888</v>
      </c>
      <c r="E316" s="3">
        <f t="shared" ca="1" si="4"/>
        <v>831778945</v>
      </c>
      <c r="F316" t="s">
        <v>11</v>
      </c>
      <c r="G316" t="s">
        <v>14</v>
      </c>
      <c r="H316" s="1" t="s">
        <v>236</v>
      </c>
      <c r="I316" t="s">
        <v>18</v>
      </c>
      <c r="J316" s="4">
        <v>2.6</v>
      </c>
      <c r="K316" s="4">
        <v>67.819999999999993</v>
      </c>
      <c r="L316" s="4">
        <v>10</v>
      </c>
      <c r="M316" s="4">
        <v>68.510000000000005</v>
      </c>
      <c r="N316" s="4">
        <v>186.8151</v>
      </c>
      <c r="O316" s="4">
        <v>781.3</v>
      </c>
      <c r="P316" s="4">
        <v>3.8764546470000001</v>
      </c>
      <c r="Q316" s="4">
        <v>31.78</v>
      </c>
      <c r="R316" s="10"/>
    </row>
    <row r="317" spans="1:18" x14ac:dyDescent="0.3">
      <c r="A317" t="s">
        <v>2</v>
      </c>
      <c r="B317" s="3" t="s">
        <v>280</v>
      </c>
      <c r="C317" s="2">
        <v>43087</v>
      </c>
      <c r="D317" s="9">
        <v>8.7499999999999994E-2</v>
      </c>
      <c r="E317" s="3">
        <f t="shared" ca="1" si="4"/>
        <v>19998831</v>
      </c>
      <c r="F317" t="s">
        <v>12</v>
      </c>
      <c r="G317" t="s">
        <v>14</v>
      </c>
      <c r="H317" s="1" t="s">
        <v>236</v>
      </c>
      <c r="I317" t="s">
        <v>21</v>
      </c>
      <c r="J317" s="4">
        <v>9.9</v>
      </c>
      <c r="K317" s="4">
        <v>99.68</v>
      </c>
      <c r="L317" s="4">
        <v>2</v>
      </c>
      <c r="M317" s="4">
        <v>54.54</v>
      </c>
      <c r="N317" s="4">
        <v>171.37629999999999</v>
      </c>
      <c r="O317" s="4">
        <v>198.74</v>
      </c>
      <c r="P317" s="4">
        <v>3.8764546470000001</v>
      </c>
      <c r="Q317" s="4">
        <v>77.58</v>
      </c>
      <c r="R317" s="10"/>
    </row>
    <row r="318" spans="1:18" x14ac:dyDescent="0.3">
      <c r="A318" t="s">
        <v>2</v>
      </c>
      <c r="B318" s="3" t="s">
        <v>280</v>
      </c>
      <c r="C318" s="2">
        <v>43226</v>
      </c>
      <c r="D318" s="9">
        <v>0.80694444444444446</v>
      </c>
      <c r="E318" s="3">
        <f t="shared" ca="1" si="4"/>
        <v>454620948</v>
      </c>
      <c r="F318" t="s">
        <v>11</v>
      </c>
      <c r="G318" t="s">
        <v>14</v>
      </c>
      <c r="H318" s="1" t="s">
        <v>236</v>
      </c>
      <c r="I318" t="s">
        <v>21</v>
      </c>
      <c r="J318" s="4">
        <v>6.5</v>
      </c>
      <c r="K318" s="4">
        <v>88.33</v>
      </c>
      <c r="L318" s="4">
        <v>3</v>
      </c>
      <c r="M318" s="4">
        <v>56</v>
      </c>
      <c r="N318" s="4">
        <v>151.06700000000001</v>
      </c>
      <c r="O318" s="4">
        <v>63.24</v>
      </c>
      <c r="P318" s="4">
        <v>3.8764546470000001</v>
      </c>
      <c r="Q318" s="4">
        <v>10.98</v>
      </c>
      <c r="R318" s="10"/>
    </row>
    <row r="319" spans="1:18" x14ac:dyDescent="0.3">
      <c r="A319" t="s">
        <v>2</v>
      </c>
      <c r="B319" s="3" t="s">
        <v>280</v>
      </c>
      <c r="C319" s="2">
        <v>43372</v>
      </c>
      <c r="D319" s="9">
        <v>0.12152777777777778</v>
      </c>
      <c r="E319" s="3">
        <f t="shared" ca="1" si="4"/>
        <v>605575957</v>
      </c>
      <c r="F319" t="s">
        <v>12</v>
      </c>
      <c r="G319" t="s">
        <v>14</v>
      </c>
      <c r="H319" s="1" t="s">
        <v>236</v>
      </c>
      <c r="I319" t="s">
        <v>18</v>
      </c>
      <c r="J319" s="4">
        <v>8</v>
      </c>
      <c r="K319" s="4">
        <v>55.49</v>
      </c>
      <c r="L319" s="4">
        <v>5</v>
      </c>
      <c r="M319" s="4">
        <v>94.4</v>
      </c>
      <c r="N319" s="4">
        <v>105.31910000000001</v>
      </c>
      <c r="O319" s="4">
        <v>373.95</v>
      </c>
      <c r="P319" s="4">
        <v>3.8764546470000001</v>
      </c>
      <c r="Q319" s="4">
        <v>90</v>
      </c>
      <c r="R319" s="10"/>
    </row>
    <row r="320" spans="1:18" ht="28.8" x14ac:dyDescent="0.3">
      <c r="A320" t="s">
        <v>2</v>
      </c>
      <c r="B320" s="3" t="s">
        <v>280</v>
      </c>
      <c r="C320" s="2">
        <v>43047</v>
      </c>
      <c r="D320" s="9">
        <v>0.57361111111111107</v>
      </c>
      <c r="E320" s="3">
        <f t="shared" ca="1" si="4"/>
        <v>648738994</v>
      </c>
      <c r="F320" t="s">
        <v>11</v>
      </c>
      <c r="G320" t="s">
        <v>14</v>
      </c>
      <c r="H320" s="1" t="s">
        <v>237</v>
      </c>
      <c r="I320" t="s">
        <v>17</v>
      </c>
      <c r="J320" s="4">
        <v>8</v>
      </c>
      <c r="K320" s="4">
        <v>31.56</v>
      </c>
      <c r="L320" s="4">
        <v>7</v>
      </c>
      <c r="M320" s="4">
        <v>75.7</v>
      </c>
      <c r="N320" s="4">
        <v>128.27770000000001</v>
      </c>
      <c r="O320" s="4">
        <v>207.69</v>
      </c>
      <c r="P320" s="4">
        <v>3.8764546470000001</v>
      </c>
      <c r="Q320" s="4">
        <v>93.28</v>
      </c>
      <c r="R320" s="10"/>
    </row>
    <row r="321" spans="1:18" x14ac:dyDescent="0.3">
      <c r="A321" t="s">
        <v>2</v>
      </c>
      <c r="B321" s="3" t="s">
        <v>280</v>
      </c>
      <c r="C321" s="2">
        <v>42969</v>
      </c>
      <c r="D321" s="9">
        <v>0.71458333333333335</v>
      </c>
      <c r="E321" s="3">
        <f t="shared" ca="1" si="4"/>
        <v>115368215</v>
      </c>
      <c r="F321" t="s">
        <v>12</v>
      </c>
      <c r="G321" t="s">
        <v>14</v>
      </c>
      <c r="H321" s="1" t="s">
        <v>235</v>
      </c>
      <c r="I321" t="s">
        <v>17</v>
      </c>
      <c r="J321" s="4">
        <v>8</v>
      </c>
      <c r="K321" s="4">
        <v>85.76</v>
      </c>
      <c r="L321" s="4">
        <v>4</v>
      </c>
      <c r="M321" s="4">
        <v>60.38</v>
      </c>
      <c r="N321" s="4">
        <v>146.17169999999999</v>
      </c>
      <c r="O321" s="4">
        <v>176.28</v>
      </c>
      <c r="P321" s="4">
        <v>3.8764546470000001</v>
      </c>
      <c r="Q321" s="4">
        <v>49.93</v>
      </c>
      <c r="R321" s="10"/>
    </row>
    <row r="322" spans="1:18" x14ac:dyDescent="0.3">
      <c r="A322" t="s">
        <v>2</v>
      </c>
      <c r="B322" s="3" t="s">
        <v>280</v>
      </c>
      <c r="C322" s="2">
        <v>43061</v>
      </c>
      <c r="D322" s="9">
        <v>2.9166666666666667E-2</v>
      </c>
      <c r="E322" s="3">
        <f t="shared" ca="1" si="4"/>
        <v>627132473</v>
      </c>
      <c r="F322" t="s">
        <v>11</v>
      </c>
      <c r="G322" t="s">
        <v>15</v>
      </c>
      <c r="H322" s="1" t="s">
        <v>236</v>
      </c>
      <c r="I322" t="s">
        <v>21</v>
      </c>
      <c r="J322" s="4">
        <v>6.6</v>
      </c>
      <c r="K322" s="4">
        <v>82.64</v>
      </c>
      <c r="L322" s="4">
        <v>9</v>
      </c>
      <c r="M322" s="4">
        <v>68.91</v>
      </c>
      <c r="N322" s="4">
        <v>173.71199999999999</v>
      </c>
      <c r="O322" s="4">
        <v>206.37</v>
      </c>
      <c r="P322" s="4">
        <v>3.8764546470000001</v>
      </c>
      <c r="Q322" s="4">
        <v>41.606999999999999</v>
      </c>
      <c r="R322" s="10"/>
    </row>
    <row r="323" spans="1:18" x14ac:dyDescent="0.3">
      <c r="A323" t="s">
        <v>2</v>
      </c>
      <c r="B323" s="3" t="s">
        <v>280</v>
      </c>
      <c r="C323" s="2">
        <v>43417</v>
      </c>
      <c r="D323" s="9">
        <v>0.3888888888888889</v>
      </c>
      <c r="E323" s="3">
        <f t="shared" ref="E323:E386" ca="1" si="5">RANDBETWEEN(10000000,1000000000)</f>
        <v>871712509</v>
      </c>
      <c r="F323" t="s">
        <v>11</v>
      </c>
      <c r="G323" t="s">
        <v>15</v>
      </c>
      <c r="H323" s="1" t="s">
        <v>236</v>
      </c>
      <c r="I323" t="s">
        <v>17</v>
      </c>
      <c r="J323" s="4">
        <v>5.3</v>
      </c>
      <c r="K323" s="4">
        <v>63.7</v>
      </c>
      <c r="L323" s="4">
        <v>1</v>
      </c>
      <c r="M323" s="4">
        <v>50.83</v>
      </c>
      <c r="N323" s="4">
        <v>157.82480000000001</v>
      </c>
      <c r="O323" s="4">
        <v>39.42</v>
      </c>
      <c r="P323" s="4">
        <v>3.8764546470000001</v>
      </c>
      <c r="Q323" s="4">
        <v>67.52</v>
      </c>
      <c r="R323" s="10"/>
    </row>
    <row r="324" spans="1:18" x14ac:dyDescent="0.3">
      <c r="A324" t="s">
        <v>1</v>
      </c>
      <c r="B324" s="3" t="s">
        <v>279</v>
      </c>
      <c r="C324" s="2">
        <v>43109</v>
      </c>
      <c r="D324" s="9">
        <v>0.14583333333333334</v>
      </c>
      <c r="E324" s="3">
        <f t="shared" ca="1" si="5"/>
        <v>815640289</v>
      </c>
      <c r="F324" t="s">
        <v>12</v>
      </c>
      <c r="G324" t="s">
        <v>15</v>
      </c>
      <c r="H324" s="1" t="s">
        <v>235</v>
      </c>
      <c r="I324" t="s">
        <v>17</v>
      </c>
      <c r="J324" s="4">
        <v>1.1000000000000001</v>
      </c>
      <c r="K324" s="4">
        <v>74.73</v>
      </c>
      <c r="L324" s="4">
        <v>6</v>
      </c>
      <c r="M324" s="4">
        <v>18.28</v>
      </c>
      <c r="N324" s="4">
        <v>173.0626</v>
      </c>
      <c r="O324" s="4">
        <v>91.56</v>
      </c>
      <c r="P324" s="4">
        <v>3.8764546470000001</v>
      </c>
      <c r="Q324" s="4">
        <v>10.59</v>
      </c>
      <c r="R324" s="10"/>
    </row>
    <row r="325" spans="1:18" x14ac:dyDescent="0.3">
      <c r="A325" t="s">
        <v>1</v>
      </c>
      <c r="B325" s="3" t="s">
        <v>279</v>
      </c>
      <c r="C325" s="2">
        <v>43370</v>
      </c>
      <c r="D325" s="9">
        <v>0.2673611111111111</v>
      </c>
      <c r="E325" s="3">
        <f t="shared" ca="1" si="5"/>
        <v>631306528</v>
      </c>
      <c r="F325" t="s">
        <v>11</v>
      </c>
      <c r="G325" t="s">
        <v>15</v>
      </c>
      <c r="H325" s="1" t="s">
        <v>236</v>
      </c>
      <c r="I325" t="s">
        <v>22</v>
      </c>
      <c r="J325" s="4">
        <v>9.5</v>
      </c>
      <c r="K325" s="4">
        <v>81.239999999999995</v>
      </c>
      <c r="L325" s="4">
        <v>5</v>
      </c>
      <c r="M325" s="4">
        <v>69.88</v>
      </c>
      <c r="N325" s="4">
        <v>184.1746</v>
      </c>
      <c r="O325" s="4">
        <v>308.85000000000002</v>
      </c>
      <c r="P325" s="4">
        <v>3.8764546470000001</v>
      </c>
      <c r="Q325" s="4">
        <v>95.284000000000006</v>
      </c>
      <c r="R325" s="10"/>
    </row>
    <row r="326" spans="1:18" ht="28.8" x14ac:dyDescent="0.3">
      <c r="A326" t="s">
        <v>1</v>
      </c>
      <c r="B326" s="3" t="s">
        <v>279</v>
      </c>
      <c r="C326" s="2">
        <v>43332</v>
      </c>
      <c r="D326" s="9">
        <v>0.61736111111111114</v>
      </c>
      <c r="E326" s="3">
        <f t="shared" ca="1" si="5"/>
        <v>658792034</v>
      </c>
      <c r="F326" t="s">
        <v>12</v>
      </c>
      <c r="G326" t="s">
        <v>15</v>
      </c>
      <c r="H326" s="1" t="s">
        <v>237</v>
      </c>
      <c r="I326" t="s">
        <v>19</v>
      </c>
      <c r="J326" s="4">
        <v>4.7</v>
      </c>
      <c r="K326" s="4">
        <v>77.180000000000007</v>
      </c>
      <c r="L326" s="4">
        <v>6</v>
      </c>
      <c r="M326" s="4">
        <v>88.38</v>
      </c>
      <c r="N326" s="4">
        <v>182.59280000000001</v>
      </c>
      <c r="O326" s="4">
        <v>129.12</v>
      </c>
      <c r="P326" s="4">
        <v>3.8764546470000001</v>
      </c>
      <c r="Q326" s="4">
        <v>94.855000000000004</v>
      </c>
      <c r="R326" s="10"/>
    </row>
    <row r="327" spans="1:18" x14ac:dyDescent="0.3">
      <c r="A327" t="s">
        <v>3</v>
      </c>
      <c r="B327" s="3" t="s">
        <v>281</v>
      </c>
      <c r="C327" s="2">
        <v>42965</v>
      </c>
      <c r="D327" s="9">
        <v>0.29652777777777778</v>
      </c>
      <c r="E327" s="3">
        <f t="shared" ca="1" si="5"/>
        <v>55625105</v>
      </c>
      <c r="F327" t="s">
        <v>12</v>
      </c>
      <c r="G327" t="s">
        <v>15</v>
      </c>
      <c r="H327" s="1" t="s">
        <v>235</v>
      </c>
      <c r="I327" t="s">
        <v>20</v>
      </c>
      <c r="J327" s="4">
        <v>9.5</v>
      </c>
      <c r="K327" s="4">
        <v>55.33</v>
      </c>
      <c r="L327" s="4">
        <v>4</v>
      </c>
      <c r="M327" s="4">
        <v>14.38</v>
      </c>
      <c r="N327" s="4">
        <v>101.3502</v>
      </c>
      <c r="O327" s="4">
        <v>390.96</v>
      </c>
      <c r="P327" s="4">
        <v>3.8764546470000001</v>
      </c>
      <c r="Q327" s="4">
        <v>95.602000000000004</v>
      </c>
      <c r="R327" s="10"/>
    </row>
    <row r="328" spans="1:18" x14ac:dyDescent="0.3">
      <c r="A328" t="s">
        <v>1</v>
      </c>
      <c r="B328" s="3" t="s">
        <v>279</v>
      </c>
      <c r="C328" s="2">
        <v>43214</v>
      </c>
      <c r="D328" s="9">
        <v>0.85069444444444442</v>
      </c>
      <c r="E328" s="3">
        <f t="shared" ca="1" si="5"/>
        <v>305384680</v>
      </c>
      <c r="F328" t="s">
        <v>12</v>
      </c>
      <c r="G328" t="s">
        <v>14</v>
      </c>
      <c r="H328" s="1" t="s">
        <v>236</v>
      </c>
      <c r="I328" t="s">
        <v>21</v>
      </c>
      <c r="J328" s="4">
        <v>5.7</v>
      </c>
      <c r="K328" s="4">
        <v>20.72</v>
      </c>
      <c r="L328" s="4">
        <v>5</v>
      </c>
      <c r="M328" s="4">
        <v>18.579999999999998</v>
      </c>
      <c r="N328" s="4">
        <v>151.898</v>
      </c>
      <c r="O328" s="4">
        <v>498.9</v>
      </c>
      <c r="P328" s="4">
        <v>3.8764546470000001</v>
      </c>
      <c r="Q328" s="4">
        <v>70.12</v>
      </c>
      <c r="R328" s="10"/>
    </row>
    <row r="329" spans="1:18" x14ac:dyDescent="0.3">
      <c r="A329" t="s">
        <v>2</v>
      </c>
      <c r="B329" s="3" t="s">
        <v>280</v>
      </c>
      <c r="C329" s="2">
        <v>43429</v>
      </c>
      <c r="D329" s="9">
        <v>0.7</v>
      </c>
      <c r="E329" s="3">
        <f t="shared" ca="1" si="5"/>
        <v>595031607</v>
      </c>
      <c r="F329" t="s">
        <v>12</v>
      </c>
      <c r="G329" t="s">
        <v>14</v>
      </c>
      <c r="H329" s="1" t="s">
        <v>236</v>
      </c>
      <c r="I329" t="s">
        <v>21</v>
      </c>
      <c r="J329" s="4">
        <v>2.2000000000000002</v>
      </c>
      <c r="K329" s="4">
        <v>74.180000000000007</v>
      </c>
      <c r="L329" s="4">
        <v>4</v>
      </c>
      <c r="M329" s="4">
        <v>79.75</v>
      </c>
      <c r="N329" s="4">
        <v>165.0658</v>
      </c>
      <c r="O329" s="4">
        <v>377.04</v>
      </c>
      <c r="P329" s="4">
        <v>3.8764546470000001</v>
      </c>
      <c r="Q329" s="4">
        <v>97.867999999999995</v>
      </c>
      <c r="R329" s="10"/>
    </row>
    <row r="330" spans="1:18" ht="28.8" x14ac:dyDescent="0.3">
      <c r="A330" t="s">
        <v>3</v>
      </c>
      <c r="B330" s="3" t="s">
        <v>281</v>
      </c>
      <c r="C330" s="2">
        <v>42896</v>
      </c>
      <c r="D330" s="9">
        <v>0.11180555555555556</v>
      </c>
      <c r="E330" s="3">
        <f t="shared" ca="1" si="5"/>
        <v>522032290</v>
      </c>
      <c r="F330" t="s">
        <v>12</v>
      </c>
      <c r="G330" t="s">
        <v>14</v>
      </c>
      <c r="H330" s="1" t="s">
        <v>237</v>
      </c>
      <c r="I330" t="s">
        <v>17</v>
      </c>
      <c r="J330" s="4">
        <v>2.2999999999999998</v>
      </c>
      <c r="K330" s="4">
        <v>15.9</v>
      </c>
      <c r="L330" s="4">
        <v>4</v>
      </c>
      <c r="M330" s="4">
        <v>72.819999999999993</v>
      </c>
      <c r="N330" s="4">
        <v>150.8382</v>
      </c>
      <c r="O330" s="4">
        <v>204.52</v>
      </c>
      <c r="P330" s="4">
        <v>3.8764546470000001</v>
      </c>
      <c r="Q330" s="4">
        <v>87.198999999999998</v>
      </c>
      <c r="R330" s="10"/>
    </row>
    <row r="331" spans="1:18" x14ac:dyDescent="0.3">
      <c r="A331" t="s">
        <v>1</v>
      </c>
      <c r="B331" s="3" t="s">
        <v>279</v>
      </c>
      <c r="C331" s="2">
        <v>42816</v>
      </c>
      <c r="D331" s="9">
        <v>0.48125000000000001</v>
      </c>
      <c r="E331" s="3">
        <f t="shared" ca="1" si="5"/>
        <v>658830047</v>
      </c>
      <c r="F331" t="s">
        <v>12</v>
      </c>
      <c r="G331" t="s">
        <v>14</v>
      </c>
      <c r="H331" s="1" t="s">
        <v>236</v>
      </c>
      <c r="I331" t="s">
        <v>18</v>
      </c>
      <c r="J331" s="4">
        <v>6.5</v>
      </c>
      <c r="K331" s="4">
        <v>10.11</v>
      </c>
      <c r="L331" s="4">
        <v>4</v>
      </c>
      <c r="M331" s="4">
        <v>39.630000000000003</v>
      </c>
      <c r="N331" s="4">
        <v>101.1219</v>
      </c>
      <c r="O331" s="4">
        <v>145.44</v>
      </c>
      <c r="P331" s="4">
        <v>3.8764546470000001</v>
      </c>
      <c r="Q331" s="4">
        <v>63.36</v>
      </c>
      <c r="R331" s="10"/>
    </row>
    <row r="332" spans="1:18" x14ac:dyDescent="0.3">
      <c r="A332" t="s">
        <v>3</v>
      </c>
      <c r="B332" s="3" t="s">
        <v>281</v>
      </c>
      <c r="C332" s="2">
        <v>43388</v>
      </c>
      <c r="D332" s="9">
        <v>0.21875</v>
      </c>
      <c r="E332" s="3">
        <f t="shared" ca="1" si="5"/>
        <v>609745134</v>
      </c>
      <c r="F332" t="s">
        <v>12</v>
      </c>
      <c r="G332" t="s">
        <v>15</v>
      </c>
      <c r="H332" s="1" t="s">
        <v>236</v>
      </c>
      <c r="I332" t="s">
        <v>19</v>
      </c>
      <c r="J332" s="4">
        <v>8.8000000000000007</v>
      </c>
      <c r="K332" s="4">
        <v>11.13</v>
      </c>
      <c r="L332" s="4">
        <v>9</v>
      </c>
      <c r="M332" s="4">
        <v>31.52</v>
      </c>
      <c r="N332" s="4">
        <v>131.96809999999999</v>
      </c>
      <c r="O332" s="4">
        <v>198.18</v>
      </c>
      <c r="P332" s="4">
        <v>3.8764546470000001</v>
      </c>
      <c r="Q332" s="4">
        <v>72.02</v>
      </c>
      <c r="R332" s="10"/>
    </row>
    <row r="333" spans="1:18" ht="28.8" x14ac:dyDescent="0.3">
      <c r="A333" t="s">
        <v>1</v>
      </c>
      <c r="B333" s="3" t="s">
        <v>279</v>
      </c>
      <c r="C333" s="2">
        <v>42919</v>
      </c>
      <c r="D333" s="9">
        <v>0.16041666666666668</v>
      </c>
      <c r="E333" s="3">
        <f t="shared" ca="1" si="5"/>
        <v>853672710</v>
      </c>
      <c r="F333" t="s">
        <v>12</v>
      </c>
      <c r="G333" t="s">
        <v>15</v>
      </c>
      <c r="H333" s="1" t="s">
        <v>237</v>
      </c>
      <c r="I333" t="s">
        <v>21</v>
      </c>
      <c r="J333" s="4">
        <v>3</v>
      </c>
      <c r="K333" s="4">
        <v>39.020000000000003</v>
      </c>
      <c r="L333" s="4">
        <v>3</v>
      </c>
      <c r="M333" s="4">
        <v>31.49</v>
      </c>
      <c r="N333" s="4">
        <v>128.58590000000001</v>
      </c>
      <c r="O333" s="4">
        <v>98.7</v>
      </c>
      <c r="P333" s="4">
        <v>3.8764546470000001</v>
      </c>
      <c r="Q333" s="4">
        <v>25.672999999999998</v>
      </c>
      <c r="R333" s="10"/>
    </row>
    <row r="334" spans="1:18" x14ac:dyDescent="0.3">
      <c r="A334" t="s">
        <v>1</v>
      </c>
      <c r="B334" s="3" t="s">
        <v>279</v>
      </c>
      <c r="C334" s="2">
        <v>43139</v>
      </c>
      <c r="D334" s="9">
        <v>0.9868055555555556</v>
      </c>
      <c r="E334" s="3">
        <f t="shared" ca="1" si="5"/>
        <v>421360050</v>
      </c>
      <c r="F334" t="s">
        <v>12</v>
      </c>
      <c r="G334" t="s">
        <v>15</v>
      </c>
      <c r="H334" s="1" t="s">
        <v>236</v>
      </c>
      <c r="I334" t="s">
        <v>22</v>
      </c>
      <c r="J334" s="4">
        <v>9.9</v>
      </c>
      <c r="K334" s="4">
        <v>10.72</v>
      </c>
      <c r="L334" s="4">
        <v>5</v>
      </c>
      <c r="M334" s="4">
        <v>29.89</v>
      </c>
      <c r="N334" s="4">
        <v>145.68969999999999</v>
      </c>
      <c r="O334" s="4">
        <v>385.1</v>
      </c>
      <c r="P334" s="4">
        <v>3.8764546470000001</v>
      </c>
      <c r="Q334" s="4">
        <v>49.674999999999997</v>
      </c>
      <c r="R334" s="10"/>
    </row>
    <row r="335" spans="1:18" ht="28.8" x14ac:dyDescent="0.3">
      <c r="A335" t="s">
        <v>1</v>
      </c>
      <c r="B335" s="3" t="s">
        <v>279</v>
      </c>
      <c r="C335" s="2">
        <v>43028</v>
      </c>
      <c r="D335" s="9">
        <v>0.1361111111111111</v>
      </c>
      <c r="E335" s="3">
        <f t="shared" ca="1" si="5"/>
        <v>188158808</v>
      </c>
      <c r="F335" t="s">
        <v>12</v>
      </c>
      <c r="G335" t="s">
        <v>14</v>
      </c>
      <c r="H335" s="1" t="s">
        <v>237</v>
      </c>
      <c r="I335" t="s">
        <v>21</v>
      </c>
      <c r="J335" s="4">
        <v>2.9</v>
      </c>
      <c r="K335" s="4">
        <v>68.540000000000006</v>
      </c>
      <c r="L335" s="4">
        <v>2</v>
      </c>
      <c r="M335" s="4">
        <v>14.43</v>
      </c>
      <c r="N335" s="4">
        <v>131.63310000000001</v>
      </c>
      <c r="O335" s="4">
        <v>46.96</v>
      </c>
      <c r="P335" s="4">
        <v>3.8764546470000001</v>
      </c>
      <c r="Q335" s="4">
        <v>86.097999999999999</v>
      </c>
      <c r="R335" s="10"/>
    </row>
    <row r="336" spans="1:18" x14ac:dyDescent="0.3">
      <c r="A336" t="s">
        <v>2</v>
      </c>
      <c r="B336" s="3" t="s">
        <v>280</v>
      </c>
      <c r="C336" s="2">
        <v>43422</v>
      </c>
      <c r="D336" s="9">
        <v>0.22361111111111112</v>
      </c>
      <c r="E336" s="3">
        <f t="shared" ca="1" si="5"/>
        <v>371212666</v>
      </c>
      <c r="F336" t="s">
        <v>12</v>
      </c>
      <c r="G336" t="s">
        <v>14</v>
      </c>
      <c r="H336" s="1" t="s">
        <v>235</v>
      </c>
      <c r="I336" t="s">
        <v>20</v>
      </c>
      <c r="J336" s="4">
        <v>1.4</v>
      </c>
      <c r="K336" s="4">
        <v>55.96</v>
      </c>
      <c r="L336" s="4">
        <v>5</v>
      </c>
      <c r="M336" s="4">
        <v>37.1</v>
      </c>
      <c r="N336" s="4">
        <v>146.47669999999999</v>
      </c>
      <c r="O336" s="4">
        <v>73.5</v>
      </c>
      <c r="P336" s="4">
        <v>3.8764546470000001</v>
      </c>
      <c r="Q336" s="4">
        <v>93.552999999999997</v>
      </c>
      <c r="R336" s="10"/>
    </row>
    <row r="337" spans="1:18" ht="28.8" x14ac:dyDescent="0.3">
      <c r="A337" t="s">
        <v>1</v>
      </c>
      <c r="B337" s="3" t="s">
        <v>279</v>
      </c>
      <c r="C337" s="2">
        <v>43087</v>
      </c>
      <c r="D337" s="9">
        <v>0.31111111111111112</v>
      </c>
      <c r="E337" s="3">
        <f t="shared" ca="1" si="5"/>
        <v>336355389</v>
      </c>
      <c r="F337" t="s">
        <v>11</v>
      </c>
      <c r="G337" t="s">
        <v>14</v>
      </c>
      <c r="H337" s="1" t="s">
        <v>237</v>
      </c>
      <c r="I337" t="s">
        <v>18</v>
      </c>
      <c r="J337" s="4">
        <v>2.9</v>
      </c>
      <c r="K337" s="4">
        <v>51.06</v>
      </c>
      <c r="L337" s="4">
        <v>5</v>
      </c>
      <c r="M337" s="4">
        <v>35.99</v>
      </c>
      <c r="N337" s="4">
        <v>133.7724</v>
      </c>
      <c r="O337" s="4">
        <v>142.25</v>
      </c>
      <c r="P337" s="4">
        <v>3.8764546470000001</v>
      </c>
      <c r="Q337" s="4">
        <v>22.513999999999999</v>
      </c>
      <c r="R337" s="10"/>
    </row>
    <row r="338" spans="1:18" x14ac:dyDescent="0.3">
      <c r="A338" t="s">
        <v>1</v>
      </c>
      <c r="B338" s="3" t="s">
        <v>279</v>
      </c>
      <c r="C338" s="2">
        <v>43124</v>
      </c>
      <c r="D338" s="9">
        <v>0.81666666666666665</v>
      </c>
      <c r="E338" s="3">
        <f t="shared" ca="1" si="5"/>
        <v>565453776</v>
      </c>
      <c r="F338" t="s">
        <v>12</v>
      </c>
      <c r="G338" t="s">
        <v>15</v>
      </c>
      <c r="H338" s="1" t="s">
        <v>235</v>
      </c>
      <c r="I338" t="s">
        <v>22</v>
      </c>
      <c r="J338" s="4">
        <v>4.3</v>
      </c>
      <c r="K338" s="4">
        <v>75.540000000000006</v>
      </c>
      <c r="L338" s="4">
        <v>9</v>
      </c>
      <c r="M338" s="4">
        <v>51.22</v>
      </c>
      <c r="N338" s="4">
        <v>123.3747</v>
      </c>
      <c r="O338" s="4">
        <v>687.6</v>
      </c>
      <c r="P338" s="4">
        <v>3.8764546470000001</v>
      </c>
      <c r="Q338" s="4">
        <v>46.701000000000001</v>
      </c>
      <c r="R338" s="10"/>
    </row>
    <row r="339" spans="1:18" x14ac:dyDescent="0.3">
      <c r="A339" t="s">
        <v>3</v>
      </c>
      <c r="B339" s="3" t="s">
        <v>281</v>
      </c>
      <c r="C339" s="2">
        <v>42897</v>
      </c>
      <c r="D339" s="9">
        <v>0.39374999999999999</v>
      </c>
      <c r="E339" s="3">
        <f t="shared" ca="1" si="5"/>
        <v>213984382</v>
      </c>
      <c r="F339" t="s">
        <v>11</v>
      </c>
      <c r="G339" t="s">
        <v>15</v>
      </c>
      <c r="H339" s="1" t="s">
        <v>236</v>
      </c>
      <c r="I339" t="s">
        <v>20</v>
      </c>
      <c r="J339" s="4">
        <v>2.1</v>
      </c>
      <c r="K339" s="4">
        <v>84.19</v>
      </c>
      <c r="L339" s="4">
        <v>6</v>
      </c>
      <c r="M339" s="4">
        <v>68.28</v>
      </c>
      <c r="N339" s="4">
        <v>182.43350000000001</v>
      </c>
      <c r="O339" s="4">
        <v>347.7</v>
      </c>
      <c r="P339" s="4">
        <v>3.8764546470000001</v>
      </c>
      <c r="Q339" s="4">
        <v>76.692999999999998</v>
      </c>
      <c r="R339" s="10"/>
    </row>
    <row r="340" spans="1:18" ht="28.8" x14ac:dyDescent="0.3">
      <c r="A340" t="s">
        <v>2</v>
      </c>
      <c r="B340" s="3" t="s">
        <v>280</v>
      </c>
      <c r="C340" s="2">
        <v>43066</v>
      </c>
      <c r="D340" s="9">
        <v>0.40833333333333333</v>
      </c>
      <c r="E340" s="3">
        <f t="shared" ca="1" si="5"/>
        <v>846421267</v>
      </c>
      <c r="F340" t="s">
        <v>11</v>
      </c>
      <c r="G340" t="s">
        <v>15</v>
      </c>
      <c r="H340" s="1" t="s">
        <v>237</v>
      </c>
      <c r="I340" t="s">
        <v>18</v>
      </c>
      <c r="J340" s="4">
        <v>1.3</v>
      </c>
      <c r="K340" s="4">
        <v>90.02</v>
      </c>
      <c r="L340" s="4">
        <v>3</v>
      </c>
      <c r="M340" s="4">
        <v>23.73</v>
      </c>
      <c r="N340" s="4">
        <v>115.66630000000001</v>
      </c>
      <c r="O340" s="4">
        <v>142.94999999999999</v>
      </c>
      <c r="P340" s="4">
        <v>3.8764546470000001</v>
      </c>
      <c r="Q340" s="4">
        <v>60.997</v>
      </c>
      <c r="R340" s="10"/>
    </row>
    <row r="341" spans="1:18" ht="28.8" x14ac:dyDescent="0.3">
      <c r="A341" t="s">
        <v>3</v>
      </c>
      <c r="B341" s="3" t="s">
        <v>281</v>
      </c>
      <c r="C341" s="2">
        <v>43463</v>
      </c>
      <c r="D341" s="9">
        <v>0</v>
      </c>
      <c r="E341" s="3">
        <f t="shared" ca="1" si="5"/>
        <v>598426170</v>
      </c>
      <c r="F341" t="s">
        <v>11</v>
      </c>
      <c r="G341" t="s">
        <v>14</v>
      </c>
      <c r="H341" s="1" t="s">
        <v>237</v>
      </c>
      <c r="I341" t="s">
        <v>21</v>
      </c>
      <c r="J341" s="4">
        <v>6.3</v>
      </c>
      <c r="K341" s="4">
        <v>74.8</v>
      </c>
      <c r="L341" s="4">
        <v>9</v>
      </c>
      <c r="M341" s="4">
        <v>15.67</v>
      </c>
      <c r="N341" s="4">
        <v>104.03530000000001</v>
      </c>
      <c r="O341" s="4">
        <v>385.38</v>
      </c>
      <c r="P341" s="4">
        <v>3.8764546470000001</v>
      </c>
      <c r="Q341" s="4">
        <v>30.414999999999999</v>
      </c>
      <c r="R341" s="10"/>
    </row>
    <row r="342" spans="1:18" ht="28.8" x14ac:dyDescent="0.3">
      <c r="A342" t="s">
        <v>3</v>
      </c>
      <c r="B342" s="3" t="s">
        <v>281</v>
      </c>
      <c r="C342" s="2">
        <v>43388</v>
      </c>
      <c r="D342" s="9">
        <v>0.37430555555555556</v>
      </c>
      <c r="E342" s="3">
        <f t="shared" ca="1" si="5"/>
        <v>349610885</v>
      </c>
      <c r="F342" t="s">
        <v>12</v>
      </c>
      <c r="G342" t="s">
        <v>14</v>
      </c>
      <c r="H342" s="1" t="s">
        <v>237</v>
      </c>
      <c r="I342" t="s">
        <v>18</v>
      </c>
      <c r="J342" s="4">
        <v>8.9</v>
      </c>
      <c r="K342" s="4">
        <v>17.78</v>
      </c>
      <c r="L342" s="4">
        <v>3</v>
      </c>
      <c r="M342" s="4">
        <v>43.13</v>
      </c>
      <c r="N342" s="4">
        <v>130.98929999999999</v>
      </c>
      <c r="O342" s="4">
        <v>144.27000000000001</v>
      </c>
      <c r="P342" s="4">
        <v>3.8764546470000001</v>
      </c>
      <c r="Q342" s="4">
        <v>46.518000000000001</v>
      </c>
      <c r="R342" s="10"/>
    </row>
    <row r="343" spans="1:18" x14ac:dyDescent="0.3">
      <c r="A343" t="s">
        <v>3</v>
      </c>
      <c r="B343" s="3" t="s">
        <v>281</v>
      </c>
      <c r="C343" s="2">
        <v>43026</v>
      </c>
      <c r="D343" s="9">
        <v>0.2722222222222222</v>
      </c>
      <c r="E343" s="3">
        <f t="shared" ca="1" si="5"/>
        <v>730545567</v>
      </c>
      <c r="F343" t="s">
        <v>11</v>
      </c>
      <c r="G343" t="s">
        <v>14</v>
      </c>
      <c r="H343" s="1" t="s">
        <v>235</v>
      </c>
      <c r="I343" t="s">
        <v>17</v>
      </c>
      <c r="J343" s="4">
        <v>7</v>
      </c>
      <c r="K343" s="4">
        <v>94.33</v>
      </c>
      <c r="L343" s="4">
        <v>7</v>
      </c>
      <c r="M343" s="4">
        <v>16.46</v>
      </c>
      <c r="N343" s="4">
        <v>135.40350000000001</v>
      </c>
      <c r="O343" s="4">
        <v>391.79</v>
      </c>
      <c r="P343" s="4">
        <v>3.8764546470000001</v>
      </c>
      <c r="Q343" s="4">
        <v>93.26</v>
      </c>
      <c r="R343" s="10"/>
    </row>
    <row r="344" spans="1:18" x14ac:dyDescent="0.3">
      <c r="A344" t="s">
        <v>3</v>
      </c>
      <c r="B344" s="3" t="s">
        <v>281</v>
      </c>
      <c r="C344" s="2">
        <v>43319</v>
      </c>
      <c r="D344" s="9">
        <v>0.82152777777777775</v>
      </c>
      <c r="E344" s="3">
        <f t="shared" ca="1" si="5"/>
        <v>856176938</v>
      </c>
      <c r="F344" t="s">
        <v>11</v>
      </c>
      <c r="G344" t="s">
        <v>14</v>
      </c>
      <c r="H344" s="1" t="s">
        <v>236</v>
      </c>
      <c r="I344" t="s">
        <v>17</v>
      </c>
      <c r="J344" s="4">
        <v>1.1000000000000001</v>
      </c>
      <c r="K344" s="4">
        <v>90.53</v>
      </c>
      <c r="L344" s="4">
        <v>7</v>
      </c>
      <c r="M344" s="4">
        <v>92.5</v>
      </c>
      <c r="N344" s="4">
        <v>182.66630000000001</v>
      </c>
      <c r="O344" s="4">
        <v>538.29999999999995</v>
      </c>
      <c r="P344" s="4">
        <v>3.8764546470000001</v>
      </c>
      <c r="Q344" s="4">
        <v>31.08</v>
      </c>
      <c r="R344" s="10"/>
    </row>
    <row r="345" spans="1:18" x14ac:dyDescent="0.3">
      <c r="A345" t="s">
        <v>2</v>
      </c>
      <c r="B345" s="3" t="s">
        <v>280</v>
      </c>
      <c r="C345" s="2">
        <v>42829</v>
      </c>
      <c r="D345" s="9">
        <v>0.15555555555555556</v>
      </c>
      <c r="E345" s="3">
        <f t="shared" ca="1" si="5"/>
        <v>212109993</v>
      </c>
      <c r="F345" t="s">
        <v>11</v>
      </c>
      <c r="G345" t="s">
        <v>15</v>
      </c>
      <c r="H345" s="1" t="s">
        <v>235</v>
      </c>
      <c r="I345" t="s">
        <v>21</v>
      </c>
      <c r="J345" s="4">
        <v>4.2</v>
      </c>
      <c r="K345" s="4">
        <v>29.43</v>
      </c>
      <c r="L345" s="4">
        <v>5</v>
      </c>
      <c r="M345" s="4">
        <v>25.04</v>
      </c>
      <c r="N345" s="4">
        <v>172.98869999999999</v>
      </c>
      <c r="O345" s="4">
        <v>485.15</v>
      </c>
      <c r="P345" s="4">
        <v>3.8764546470000001</v>
      </c>
      <c r="Q345" s="4">
        <v>75.272000000000006</v>
      </c>
      <c r="R345" s="10"/>
    </row>
    <row r="346" spans="1:18" x14ac:dyDescent="0.3">
      <c r="A346" t="s">
        <v>1</v>
      </c>
      <c r="B346" s="3" t="s">
        <v>279</v>
      </c>
      <c r="C346" s="2">
        <v>43183</v>
      </c>
      <c r="D346" s="9">
        <v>9.7222222222222224E-2</v>
      </c>
      <c r="E346" s="3">
        <f t="shared" ca="1" si="5"/>
        <v>949523614</v>
      </c>
      <c r="F346" t="s">
        <v>12</v>
      </c>
      <c r="G346" t="s">
        <v>15</v>
      </c>
      <c r="H346" s="1" t="s">
        <v>236</v>
      </c>
      <c r="I346" t="s">
        <v>20</v>
      </c>
      <c r="J346" s="4">
        <v>7.5</v>
      </c>
      <c r="K346" s="4">
        <v>87.18</v>
      </c>
      <c r="L346" s="4">
        <v>3</v>
      </c>
      <c r="M346" s="4">
        <v>97.66</v>
      </c>
      <c r="N346" s="4">
        <v>136.11750000000001</v>
      </c>
      <c r="O346" s="4">
        <v>133.94999999999999</v>
      </c>
      <c r="P346" s="4">
        <v>3.8764546470000001</v>
      </c>
      <c r="Q346" s="4">
        <v>29.131</v>
      </c>
      <c r="R346" s="10"/>
    </row>
    <row r="347" spans="1:18" x14ac:dyDescent="0.3">
      <c r="A347" t="s">
        <v>1</v>
      </c>
      <c r="B347" s="3" t="s">
        <v>279</v>
      </c>
      <c r="C347" s="2">
        <v>42962</v>
      </c>
      <c r="D347" s="9">
        <v>0.88958333333333328</v>
      </c>
      <c r="E347" s="3">
        <f t="shared" ca="1" si="5"/>
        <v>447366164</v>
      </c>
      <c r="F347" t="s">
        <v>11</v>
      </c>
      <c r="G347" t="s">
        <v>15</v>
      </c>
      <c r="H347" s="1" t="s">
        <v>235</v>
      </c>
      <c r="I347" t="s">
        <v>22</v>
      </c>
      <c r="J347" s="4">
        <v>7.1</v>
      </c>
      <c r="K347" s="4">
        <v>21.97</v>
      </c>
      <c r="L347" s="4">
        <v>9</v>
      </c>
      <c r="M347" s="4">
        <v>34.64</v>
      </c>
      <c r="N347" s="4">
        <v>157.45679999999999</v>
      </c>
      <c r="O347" s="4">
        <v>701.37</v>
      </c>
      <c r="P347" s="4">
        <v>3.8764546470000001</v>
      </c>
      <c r="Q347" s="4">
        <v>36.74</v>
      </c>
      <c r="R347" s="10"/>
    </row>
    <row r="348" spans="1:18" x14ac:dyDescent="0.3">
      <c r="A348" t="s">
        <v>1</v>
      </c>
      <c r="B348" s="3" t="s">
        <v>279</v>
      </c>
      <c r="C348" s="2">
        <v>43067</v>
      </c>
      <c r="D348" s="9">
        <v>0.30625000000000002</v>
      </c>
      <c r="E348" s="3">
        <f t="shared" ca="1" si="5"/>
        <v>396719289</v>
      </c>
      <c r="F348" t="s">
        <v>12</v>
      </c>
      <c r="G348" t="s">
        <v>14</v>
      </c>
      <c r="H348" s="1" t="s">
        <v>236</v>
      </c>
      <c r="I348" t="s">
        <v>18</v>
      </c>
      <c r="J348" s="4">
        <v>9.9</v>
      </c>
      <c r="K348" s="4">
        <v>37.56</v>
      </c>
      <c r="L348" s="4">
        <v>1</v>
      </c>
      <c r="M348" s="4">
        <v>91.45</v>
      </c>
      <c r="N348" s="4">
        <v>176.01929999999999</v>
      </c>
      <c r="O348" s="4">
        <v>71.95</v>
      </c>
      <c r="P348" s="4">
        <v>3.8764546470000001</v>
      </c>
      <c r="Q348" s="4">
        <v>78.424999999999997</v>
      </c>
      <c r="R348" s="10"/>
    </row>
    <row r="349" spans="1:18" x14ac:dyDescent="0.3">
      <c r="A349" t="s">
        <v>2</v>
      </c>
      <c r="B349" s="3" t="s">
        <v>280</v>
      </c>
      <c r="C349" s="2">
        <v>42954</v>
      </c>
      <c r="D349" s="9">
        <v>0.84097222222222223</v>
      </c>
      <c r="E349" s="3">
        <f t="shared" ca="1" si="5"/>
        <v>581928793</v>
      </c>
      <c r="F349" t="s">
        <v>11</v>
      </c>
      <c r="G349" t="s">
        <v>14</v>
      </c>
      <c r="H349" s="1" t="s">
        <v>236</v>
      </c>
      <c r="I349" t="s">
        <v>19</v>
      </c>
      <c r="J349" s="4">
        <v>2.1</v>
      </c>
      <c r="K349" s="4">
        <v>11.35</v>
      </c>
      <c r="L349" s="4">
        <v>8</v>
      </c>
      <c r="M349" s="4">
        <v>22.14</v>
      </c>
      <c r="N349" s="4">
        <v>108.6001</v>
      </c>
      <c r="O349" s="4">
        <v>714</v>
      </c>
      <c r="P349" s="4">
        <v>3.8764546470000001</v>
      </c>
      <c r="Q349" s="4">
        <v>97.668999999999997</v>
      </c>
      <c r="R349" s="10"/>
    </row>
    <row r="350" spans="1:18" x14ac:dyDescent="0.3">
      <c r="A350" t="s">
        <v>1</v>
      </c>
      <c r="B350" s="3" t="s">
        <v>279</v>
      </c>
      <c r="C350" s="2">
        <v>43310</v>
      </c>
      <c r="D350" s="9">
        <v>0.66597222222222219</v>
      </c>
      <c r="E350" s="3">
        <f t="shared" ca="1" si="5"/>
        <v>732668451</v>
      </c>
      <c r="F350" t="s">
        <v>12</v>
      </c>
      <c r="G350" t="s">
        <v>15</v>
      </c>
      <c r="H350" s="1" t="s">
        <v>236</v>
      </c>
      <c r="I350" t="s">
        <v>18</v>
      </c>
      <c r="J350" s="4">
        <v>7.1</v>
      </c>
      <c r="K350" s="4">
        <v>45.41</v>
      </c>
      <c r="L350" s="4">
        <v>7</v>
      </c>
      <c r="M350" s="4">
        <v>53.23</v>
      </c>
      <c r="N350" s="4">
        <v>136.02510000000001</v>
      </c>
      <c r="O350" s="4">
        <v>182.14</v>
      </c>
      <c r="P350" s="4">
        <v>3.8764546470000001</v>
      </c>
      <c r="Q350" s="4">
        <v>61.463999999999999</v>
      </c>
      <c r="R350" s="10"/>
    </row>
    <row r="351" spans="1:18" ht="28.8" x14ac:dyDescent="0.3">
      <c r="A351" t="s">
        <v>3</v>
      </c>
      <c r="B351" s="3" t="s">
        <v>281</v>
      </c>
      <c r="C351" s="2">
        <v>42871</v>
      </c>
      <c r="D351" s="9">
        <v>0.94305555555555554</v>
      </c>
      <c r="E351" s="3">
        <f t="shared" ca="1" si="5"/>
        <v>475287113</v>
      </c>
      <c r="F351" t="s">
        <v>11</v>
      </c>
      <c r="G351" t="s">
        <v>15</v>
      </c>
      <c r="H351" s="1" t="s">
        <v>237</v>
      </c>
      <c r="I351" t="s">
        <v>17</v>
      </c>
      <c r="J351" s="4">
        <v>6</v>
      </c>
      <c r="K351" s="4">
        <v>13.36</v>
      </c>
      <c r="L351" s="4">
        <v>10</v>
      </c>
      <c r="M351" s="4">
        <v>49.51</v>
      </c>
      <c r="N351" s="4">
        <v>121.7974</v>
      </c>
      <c r="O351" s="4">
        <v>135</v>
      </c>
      <c r="P351" s="4">
        <v>3.8764546470000001</v>
      </c>
      <c r="Q351" s="4">
        <v>34.381</v>
      </c>
      <c r="R351" s="10"/>
    </row>
    <row r="352" spans="1:18" ht="28.8" x14ac:dyDescent="0.3">
      <c r="A352" t="s">
        <v>2</v>
      </c>
      <c r="B352" s="3" t="s">
        <v>280</v>
      </c>
      <c r="C352" s="2">
        <v>42817</v>
      </c>
      <c r="D352" s="9">
        <v>0.59305555555555556</v>
      </c>
      <c r="E352" s="3">
        <f t="shared" ca="1" si="5"/>
        <v>809722515</v>
      </c>
      <c r="F352" t="s">
        <v>11</v>
      </c>
      <c r="G352" t="s">
        <v>14</v>
      </c>
      <c r="H352" s="1" t="s">
        <v>237</v>
      </c>
      <c r="I352" t="s">
        <v>22</v>
      </c>
      <c r="J352" s="4">
        <v>9.5</v>
      </c>
      <c r="K352" s="4">
        <v>67.95</v>
      </c>
      <c r="L352" s="4">
        <v>10</v>
      </c>
      <c r="M352" s="4">
        <v>64.19</v>
      </c>
      <c r="N352" s="4">
        <v>150.1344</v>
      </c>
      <c r="O352" s="4">
        <v>993</v>
      </c>
      <c r="P352" s="4">
        <v>3.8764546470000001</v>
      </c>
      <c r="Q352" s="4">
        <v>93.251999999999995</v>
      </c>
      <c r="R352" s="10"/>
    </row>
    <row r="353" spans="1:18" x14ac:dyDescent="0.3">
      <c r="A353" t="s">
        <v>1</v>
      </c>
      <c r="B353" s="3" t="s">
        <v>279</v>
      </c>
      <c r="C353" s="2">
        <v>43117</v>
      </c>
      <c r="D353" s="9">
        <v>0.24305555555555555</v>
      </c>
      <c r="E353" s="3">
        <f t="shared" ca="1" si="5"/>
        <v>29121729</v>
      </c>
      <c r="F353" t="s">
        <v>12</v>
      </c>
      <c r="G353" t="s">
        <v>15</v>
      </c>
      <c r="H353" s="1" t="s">
        <v>236</v>
      </c>
      <c r="I353" t="s">
        <v>18</v>
      </c>
      <c r="J353" s="4">
        <v>1.4</v>
      </c>
      <c r="K353" s="4">
        <v>91.19</v>
      </c>
      <c r="L353" s="4">
        <v>7</v>
      </c>
      <c r="M353" s="4">
        <v>52.7</v>
      </c>
      <c r="N353" s="4">
        <v>137.13759999999999</v>
      </c>
      <c r="O353" s="4">
        <v>361.83</v>
      </c>
      <c r="P353" s="4">
        <v>3.8764546470000001</v>
      </c>
      <c r="Q353" s="4">
        <v>58.67</v>
      </c>
      <c r="R353" s="10"/>
    </row>
    <row r="354" spans="1:18" ht="28.8" x14ac:dyDescent="0.3">
      <c r="A354" t="s">
        <v>3</v>
      </c>
      <c r="B354" s="3" t="s">
        <v>281</v>
      </c>
      <c r="C354" s="2">
        <v>42810</v>
      </c>
      <c r="D354" s="9">
        <v>0.58333333333333337</v>
      </c>
      <c r="E354" s="3">
        <f t="shared" ca="1" si="5"/>
        <v>968308589</v>
      </c>
      <c r="F354" t="s">
        <v>11</v>
      </c>
      <c r="G354" t="s">
        <v>14</v>
      </c>
      <c r="H354" s="1" t="s">
        <v>237</v>
      </c>
      <c r="I354" t="s">
        <v>22</v>
      </c>
      <c r="J354" s="4">
        <v>5.2</v>
      </c>
      <c r="K354" s="4">
        <v>22.97</v>
      </c>
      <c r="L354" s="4">
        <v>7</v>
      </c>
      <c r="M354" s="4">
        <v>95.73</v>
      </c>
      <c r="N354" s="4">
        <v>158.95429999999999</v>
      </c>
      <c r="O354" s="4">
        <v>383.11</v>
      </c>
      <c r="P354" s="4">
        <v>3.8764546470000001</v>
      </c>
      <c r="Q354" s="4">
        <v>21.14</v>
      </c>
      <c r="R354" s="10"/>
    </row>
    <row r="355" spans="1:18" x14ac:dyDescent="0.3">
      <c r="A355" t="s">
        <v>3</v>
      </c>
      <c r="B355" s="3" t="s">
        <v>281</v>
      </c>
      <c r="C355" s="2">
        <v>42807</v>
      </c>
      <c r="D355" s="9">
        <v>0.78749999999999998</v>
      </c>
      <c r="E355" s="3">
        <f t="shared" ca="1" si="5"/>
        <v>117406048</v>
      </c>
      <c r="F355" t="s">
        <v>12</v>
      </c>
      <c r="G355" t="s">
        <v>14</v>
      </c>
      <c r="H355" s="1" t="s">
        <v>236</v>
      </c>
      <c r="I355" t="s">
        <v>19</v>
      </c>
      <c r="J355" s="4">
        <v>2.4</v>
      </c>
      <c r="K355" s="4">
        <v>33.46</v>
      </c>
      <c r="L355" s="4">
        <v>9</v>
      </c>
      <c r="M355" s="4">
        <v>56.18</v>
      </c>
      <c r="N355" s="4">
        <v>145.16239999999999</v>
      </c>
      <c r="O355" s="4">
        <v>243</v>
      </c>
      <c r="P355" s="4">
        <v>3.8764546470000001</v>
      </c>
      <c r="Q355" s="4">
        <v>71.13</v>
      </c>
      <c r="R355" s="10"/>
    </row>
    <row r="356" spans="1:18" x14ac:dyDescent="0.3">
      <c r="A356" t="s">
        <v>2</v>
      </c>
      <c r="B356" s="3" t="s">
        <v>280</v>
      </c>
      <c r="C356" s="2">
        <v>43204</v>
      </c>
      <c r="D356" s="9">
        <v>1.9444444444444445E-2</v>
      </c>
      <c r="E356" s="3">
        <f t="shared" ca="1" si="5"/>
        <v>56013202</v>
      </c>
      <c r="F356" t="s">
        <v>11</v>
      </c>
      <c r="G356" t="s">
        <v>15</v>
      </c>
      <c r="H356" s="1" t="s">
        <v>236</v>
      </c>
      <c r="I356" t="s">
        <v>18</v>
      </c>
      <c r="J356" s="4">
        <v>9.3000000000000007</v>
      </c>
      <c r="K356" s="4">
        <v>39.49</v>
      </c>
      <c r="L356" s="4">
        <v>1</v>
      </c>
      <c r="M356" s="4">
        <v>79.78</v>
      </c>
      <c r="N356" s="4">
        <v>152.82679999999999</v>
      </c>
      <c r="O356" s="4">
        <v>30.24</v>
      </c>
      <c r="P356" s="4">
        <v>3.8764546470000001</v>
      </c>
      <c r="Q356" s="4">
        <v>73.16</v>
      </c>
      <c r="R356" s="10"/>
    </row>
    <row r="357" spans="1:18" ht="28.8" x14ac:dyDescent="0.3">
      <c r="A357" t="s">
        <v>3</v>
      </c>
      <c r="B357" s="3" t="s">
        <v>281</v>
      </c>
      <c r="C357" s="2">
        <v>43411</v>
      </c>
      <c r="D357" s="9">
        <v>0.68541666666666667</v>
      </c>
      <c r="E357" s="3">
        <f t="shared" ca="1" si="5"/>
        <v>882284848</v>
      </c>
      <c r="F357" t="s">
        <v>11</v>
      </c>
      <c r="G357" t="s">
        <v>14</v>
      </c>
      <c r="H357" s="1" t="s">
        <v>237</v>
      </c>
      <c r="I357" t="s">
        <v>21</v>
      </c>
      <c r="J357" s="4">
        <v>1.4</v>
      </c>
      <c r="K357" s="4">
        <v>65.86</v>
      </c>
      <c r="L357" s="4">
        <v>4</v>
      </c>
      <c r="M357" s="4">
        <v>50.79</v>
      </c>
      <c r="N357" s="4">
        <v>146.81800000000001</v>
      </c>
      <c r="O357" s="4">
        <v>356.56</v>
      </c>
      <c r="P357" s="4">
        <v>3.8764546470000001</v>
      </c>
      <c r="Q357" s="4">
        <v>63.082999999999998</v>
      </c>
      <c r="R357" s="10"/>
    </row>
    <row r="358" spans="1:18" ht="28.8" x14ac:dyDescent="0.3">
      <c r="A358" t="s">
        <v>2</v>
      </c>
      <c r="B358" s="3" t="s">
        <v>280</v>
      </c>
      <c r="C358" s="2">
        <v>43309</v>
      </c>
      <c r="D358" s="9">
        <v>0.45208333333333334</v>
      </c>
      <c r="E358" s="3">
        <f t="shared" ca="1" si="5"/>
        <v>524661032</v>
      </c>
      <c r="F358" t="s">
        <v>11</v>
      </c>
      <c r="G358" t="s">
        <v>15</v>
      </c>
      <c r="H358" s="1" t="s">
        <v>237</v>
      </c>
      <c r="I358" t="s">
        <v>22</v>
      </c>
      <c r="J358" s="4">
        <v>5.4</v>
      </c>
      <c r="K358" s="4">
        <v>25.83</v>
      </c>
      <c r="L358" s="4">
        <v>10</v>
      </c>
      <c r="M358" s="4">
        <v>95.03</v>
      </c>
      <c r="N358" s="4">
        <v>178.2123</v>
      </c>
      <c r="O358" s="4">
        <v>375.5</v>
      </c>
      <c r="P358" s="4">
        <v>3.8764546470000001</v>
      </c>
      <c r="Q358" s="4">
        <v>82.796000000000006</v>
      </c>
      <c r="R358" s="10"/>
    </row>
    <row r="359" spans="1:18" x14ac:dyDescent="0.3">
      <c r="A359" t="s">
        <v>2</v>
      </c>
      <c r="B359" s="3" t="s">
        <v>280</v>
      </c>
      <c r="C359" s="2">
        <v>42905</v>
      </c>
      <c r="D359" s="9">
        <v>0.28194444444444444</v>
      </c>
      <c r="E359" s="3">
        <f t="shared" ca="1" si="5"/>
        <v>591992643</v>
      </c>
      <c r="F359" t="s">
        <v>11</v>
      </c>
      <c r="G359" t="s">
        <v>15</v>
      </c>
      <c r="H359" s="1" t="s">
        <v>236</v>
      </c>
      <c r="I359" t="s">
        <v>20</v>
      </c>
      <c r="J359" s="4">
        <v>2</v>
      </c>
      <c r="K359" s="4">
        <v>38.54</v>
      </c>
      <c r="L359" s="4">
        <v>10</v>
      </c>
      <c r="M359" s="4">
        <v>25.95</v>
      </c>
      <c r="N359" s="4">
        <v>110.3947</v>
      </c>
      <c r="O359" s="4">
        <v>954.4</v>
      </c>
      <c r="P359" s="4">
        <v>3.8764546470000001</v>
      </c>
      <c r="Q359" s="4">
        <v>61.731999999999999</v>
      </c>
      <c r="R359" s="10"/>
    </row>
    <row r="360" spans="1:18" x14ac:dyDescent="0.3">
      <c r="A360" t="s">
        <v>3</v>
      </c>
      <c r="B360" s="3" t="s">
        <v>281</v>
      </c>
      <c r="C360" s="2">
        <v>43115</v>
      </c>
      <c r="D360" s="9">
        <v>0.22847222222222222</v>
      </c>
      <c r="E360" s="3">
        <f t="shared" ca="1" si="5"/>
        <v>569251855</v>
      </c>
      <c r="F360" t="s">
        <v>12</v>
      </c>
      <c r="G360" t="s">
        <v>15</v>
      </c>
      <c r="H360" s="1" t="s">
        <v>235</v>
      </c>
      <c r="I360" t="s">
        <v>18</v>
      </c>
      <c r="J360" s="4">
        <v>6.8</v>
      </c>
      <c r="K360" s="4">
        <v>39.72</v>
      </c>
      <c r="L360" s="4">
        <v>3</v>
      </c>
      <c r="M360" s="4">
        <v>53.97</v>
      </c>
      <c r="N360" s="4">
        <v>146.28739999999999</v>
      </c>
      <c r="O360" s="4">
        <v>82.5</v>
      </c>
      <c r="P360" s="4">
        <v>3.8764546470000001</v>
      </c>
      <c r="Q360" s="4">
        <v>64.45</v>
      </c>
      <c r="R360" s="10"/>
    </row>
    <row r="361" spans="1:18" x14ac:dyDescent="0.3">
      <c r="A361" t="s">
        <v>3</v>
      </c>
      <c r="B361" s="3" t="s">
        <v>281</v>
      </c>
      <c r="C361" s="2">
        <v>42863</v>
      </c>
      <c r="D361" s="9">
        <v>5.347222222222222E-2</v>
      </c>
      <c r="E361" s="3">
        <f t="shared" ca="1" si="5"/>
        <v>482254484</v>
      </c>
      <c r="F361" t="s">
        <v>12</v>
      </c>
      <c r="G361" t="s">
        <v>15</v>
      </c>
      <c r="H361" s="1" t="s">
        <v>236</v>
      </c>
      <c r="I361" t="s">
        <v>20</v>
      </c>
      <c r="J361" s="4">
        <v>9.6</v>
      </c>
      <c r="K361" s="4">
        <v>61.46</v>
      </c>
      <c r="L361" s="4">
        <v>1</v>
      </c>
      <c r="M361" s="4">
        <v>47.46</v>
      </c>
      <c r="N361" s="4">
        <v>176.8741</v>
      </c>
      <c r="O361" s="4">
        <v>74.97</v>
      </c>
      <c r="P361" s="4">
        <v>3.8764546470000001</v>
      </c>
      <c r="Q361" s="4">
        <v>30.593</v>
      </c>
      <c r="R361" s="10"/>
    </row>
    <row r="362" spans="1:18" ht="28.8" x14ac:dyDescent="0.3">
      <c r="A362" t="s">
        <v>1</v>
      </c>
      <c r="B362" s="3" t="s">
        <v>279</v>
      </c>
      <c r="C362" s="2">
        <v>42983</v>
      </c>
      <c r="D362" s="9">
        <v>0.13125000000000001</v>
      </c>
      <c r="E362" s="3">
        <f t="shared" ca="1" si="5"/>
        <v>631347128</v>
      </c>
      <c r="F362" t="s">
        <v>12</v>
      </c>
      <c r="G362" t="s">
        <v>14</v>
      </c>
      <c r="H362" s="1" t="s">
        <v>237</v>
      </c>
      <c r="I362" t="s">
        <v>21</v>
      </c>
      <c r="J362" s="4">
        <v>7.3</v>
      </c>
      <c r="K362" s="4">
        <v>28.03</v>
      </c>
      <c r="L362" s="4">
        <v>8</v>
      </c>
      <c r="M362" s="4">
        <v>68.45</v>
      </c>
      <c r="N362" s="4">
        <v>155.11060000000001</v>
      </c>
      <c r="O362" s="4">
        <v>647.67999999999995</v>
      </c>
      <c r="P362" s="4">
        <v>3.8764546470000001</v>
      </c>
      <c r="Q362" s="4">
        <v>10.135</v>
      </c>
      <c r="R362" s="10"/>
    </row>
    <row r="363" spans="1:18" x14ac:dyDescent="0.3">
      <c r="A363" t="s">
        <v>2</v>
      </c>
      <c r="B363" s="3" t="s">
        <v>280</v>
      </c>
      <c r="C363" s="2">
        <v>42997</v>
      </c>
      <c r="D363" s="9">
        <v>5.8333333333333334E-2</v>
      </c>
      <c r="E363" s="3">
        <f t="shared" ca="1" si="5"/>
        <v>248040613</v>
      </c>
      <c r="F363" t="s">
        <v>11</v>
      </c>
      <c r="G363" t="s">
        <v>15</v>
      </c>
      <c r="H363" s="1" t="s">
        <v>236</v>
      </c>
      <c r="I363" t="s">
        <v>21</v>
      </c>
      <c r="J363" s="4">
        <v>8.9</v>
      </c>
      <c r="K363" s="4">
        <v>23.2</v>
      </c>
      <c r="L363" s="4">
        <v>8</v>
      </c>
      <c r="M363" s="4">
        <v>44.78</v>
      </c>
      <c r="N363" s="4">
        <v>125.85939999999999</v>
      </c>
      <c r="O363" s="4">
        <v>755.76</v>
      </c>
      <c r="P363" s="4">
        <v>3.8764546470000001</v>
      </c>
      <c r="Q363" s="4">
        <v>47.54</v>
      </c>
      <c r="R363" s="10"/>
    </row>
    <row r="364" spans="1:18" x14ac:dyDescent="0.3">
      <c r="A364" t="s">
        <v>2</v>
      </c>
      <c r="B364" s="3" t="s">
        <v>280</v>
      </c>
      <c r="C364" s="2">
        <v>43407</v>
      </c>
      <c r="D364" s="9">
        <v>0.96736111111111112</v>
      </c>
      <c r="E364" s="3">
        <f t="shared" ca="1" si="5"/>
        <v>970732196</v>
      </c>
      <c r="F364" t="s">
        <v>12</v>
      </c>
      <c r="G364" t="s">
        <v>15</v>
      </c>
      <c r="H364" s="1" t="s">
        <v>235</v>
      </c>
      <c r="I364" t="s">
        <v>21</v>
      </c>
      <c r="J364" s="4">
        <v>6.9</v>
      </c>
      <c r="K364" s="4">
        <v>16.23</v>
      </c>
      <c r="L364" s="4">
        <v>2</v>
      </c>
      <c r="M364" s="4">
        <v>58.53</v>
      </c>
      <c r="N364" s="4">
        <v>148.88640000000001</v>
      </c>
      <c r="O364" s="4">
        <v>199.58</v>
      </c>
      <c r="P364" s="4">
        <v>3.8764546470000001</v>
      </c>
      <c r="Q364" s="4">
        <v>71.010000000000005</v>
      </c>
      <c r="R364" s="10"/>
    </row>
    <row r="365" spans="1:18" x14ac:dyDescent="0.3">
      <c r="A365" t="s">
        <v>1</v>
      </c>
      <c r="B365" s="3" t="s">
        <v>279</v>
      </c>
      <c r="C365" s="2">
        <v>43338</v>
      </c>
      <c r="D365" s="9">
        <v>0.3888888888888889</v>
      </c>
      <c r="E365" s="3">
        <f t="shared" ca="1" si="5"/>
        <v>592706652</v>
      </c>
      <c r="F365" t="s">
        <v>12</v>
      </c>
      <c r="G365" t="s">
        <v>15</v>
      </c>
      <c r="H365" s="1" t="s">
        <v>236</v>
      </c>
      <c r="I365" t="s">
        <v>19</v>
      </c>
      <c r="J365" s="4">
        <v>9</v>
      </c>
      <c r="K365" s="4">
        <v>62.34</v>
      </c>
      <c r="L365" s="4">
        <v>6</v>
      </c>
      <c r="M365" s="4">
        <v>30.72</v>
      </c>
      <c r="N365" s="4">
        <v>180.8887</v>
      </c>
      <c r="O365" s="4">
        <v>439.32</v>
      </c>
      <c r="P365" s="4">
        <v>3.8764546470000001</v>
      </c>
      <c r="Q365" s="4">
        <v>26.66</v>
      </c>
      <c r="R365" s="10"/>
    </row>
    <row r="366" spans="1:18" x14ac:dyDescent="0.3">
      <c r="A366" t="s">
        <v>2</v>
      </c>
      <c r="B366" s="3" t="s">
        <v>280</v>
      </c>
      <c r="C366" s="2">
        <v>43026</v>
      </c>
      <c r="D366" s="9">
        <v>5.8333333333333334E-2</v>
      </c>
      <c r="E366" s="3">
        <f t="shared" ca="1" si="5"/>
        <v>795739835</v>
      </c>
      <c r="F366" t="s">
        <v>11</v>
      </c>
      <c r="G366" t="s">
        <v>15</v>
      </c>
      <c r="H366" s="1" t="s">
        <v>236</v>
      </c>
      <c r="I366" t="s">
        <v>21</v>
      </c>
      <c r="J366" s="4">
        <v>7</v>
      </c>
      <c r="K366" s="4">
        <v>68.13</v>
      </c>
      <c r="L366" s="4">
        <v>4</v>
      </c>
      <c r="M366" s="4">
        <v>43.46</v>
      </c>
      <c r="N366" s="4">
        <v>178.6207</v>
      </c>
      <c r="O366" s="4">
        <v>164.96</v>
      </c>
      <c r="P366" s="4">
        <v>3.8764546470000001</v>
      </c>
      <c r="Q366" s="4">
        <v>71.531999999999996</v>
      </c>
      <c r="R366" s="10"/>
    </row>
    <row r="367" spans="1:18" x14ac:dyDescent="0.3">
      <c r="A367" t="s">
        <v>2</v>
      </c>
      <c r="B367" s="3" t="s">
        <v>280</v>
      </c>
      <c r="C367" s="2">
        <v>43135</v>
      </c>
      <c r="D367" s="9">
        <v>0.41319444444444442</v>
      </c>
      <c r="E367" s="3">
        <f t="shared" ca="1" si="5"/>
        <v>232427382</v>
      </c>
      <c r="F367" t="s">
        <v>11</v>
      </c>
      <c r="G367" t="s">
        <v>15</v>
      </c>
      <c r="H367" s="1" t="s">
        <v>236</v>
      </c>
      <c r="I367" t="s">
        <v>22</v>
      </c>
      <c r="J367" s="4">
        <v>7</v>
      </c>
      <c r="K367" s="4">
        <v>55.07</v>
      </c>
      <c r="L367" s="4">
        <v>4</v>
      </c>
      <c r="M367" s="4">
        <v>80.31</v>
      </c>
      <c r="N367" s="4">
        <v>104.0275</v>
      </c>
      <c r="O367" s="4">
        <v>326.72000000000003</v>
      </c>
      <c r="P367" s="4">
        <v>3.8764546470000001</v>
      </c>
      <c r="Q367" s="4">
        <v>61.073999999999998</v>
      </c>
      <c r="R367" s="10"/>
    </row>
    <row r="368" spans="1:18" x14ac:dyDescent="0.3">
      <c r="A368" t="s">
        <v>2</v>
      </c>
      <c r="B368" s="3" t="s">
        <v>280</v>
      </c>
      <c r="C368" s="2">
        <v>42825</v>
      </c>
      <c r="D368" s="9">
        <v>0.9916666666666667</v>
      </c>
      <c r="E368" s="3">
        <f t="shared" ca="1" si="5"/>
        <v>227525324</v>
      </c>
      <c r="F368" t="s">
        <v>11</v>
      </c>
      <c r="G368" t="s">
        <v>15</v>
      </c>
      <c r="H368" s="1" t="s">
        <v>236</v>
      </c>
      <c r="I368" t="s">
        <v>18</v>
      </c>
      <c r="J368" s="4">
        <v>9</v>
      </c>
      <c r="K368" s="4">
        <v>82.86</v>
      </c>
      <c r="L368" s="4">
        <v>9</v>
      </c>
      <c r="M368" s="4">
        <v>72.27</v>
      </c>
      <c r="N368" s="4">
        <v>127.0086</v>
      </c>
      <c r="O368" s="4">
        <v>461.88</v>
      </c>
      <c r="P368" s="4">
        <v>3.8764546470000001</v>
      </c>
      <c r="Q368" s="4">
        <v>79.706000000000003</v>
      </c>
      <c r="R368" s="10"/>
    </row>
    <row r="369" spans="1:18" x14ac:dyDescent="0.3">
      <c r="A369" t="s">
        <v>1</v>
      </c>
      <c r="B369" s="3" t="s">
        <v>279</v>
      </c>
      <c r="C369" s="2">
        <v>43156</v>
      </c>
      <c r="D369" s="9">
        <v>0.2722222222222222</v>
      </c>
      <c r="E369" s="3">
        <f t="shared" ca="1" si="5"/>
        <v>393695251</v>
      </c>
      <c r="F369" t="s">
        <v>12</v>
      </c>
      <c r="G369" t="s">
        <v>14</v>
      </c>
      <c r="H369" s="1" t="s">
        <v>236</v>
      </c>
      <c r="I369" t="s">
        <v>19</v>
      </c>
      <c r="J369" s="4">
        <v>7</v>
      </c>
      <c r="K369" s="4">
        <v>80.430000000000007</v>
      </c>
      <c r="L369" s="4">
        <v>4</v>
      </c>
      <c r="M369" s="4">
        <v>85.85</v>
      </c>
      <c r="N369" s="4">
        <v>165.56659999999999</v>
      </c>
      <c r="O369" s="4">
        <v>263.76</v>
      </c>
      <c r="P369" s="4">
        <v>3.8764546470000001</v>
      </c>
      <c r="Q369" s="4">
        <v>76.326999999999998</v>
      </c>
      <c r="R369" s="10"/>
    </row>
    <row r="370" spans="1:18" x14ac:dyDescent="0.3">
      <c r="A370" t="s">
        <v>2</v>
      </c>
      <c r="B370" s="3" t="s">
        <v>280</v>
      </c>
      <c r="C370" s="2">
        <v>42815</v>
      </c>
      <c r="D370" s="9">
        <v>0.68055555555555558</v>
      </c>
      <c r="E370" s="3">
        <f t="shared" ca="1" si="5"/>
        <v>706055527</v>
      </c>
      <c r="F370" t="s">
        <v>11</v>
      </c>
      <c r="G370" t="s">
        <v>15</v>
      </c>
      <c r="H370" s="1" t="s">
        <v>236</v>
      </c>
      <c r="I370" t="s">
        <v>20</v>
      </c>
      <c r="J370" s="4">
        <v>9</v>
      </c>
      <c r="K370" s="4">
        <v>22.32</v>
      </c>
      <c r="L370" s="4">
        <v>10</v>
      </c>
      <c r="M370" s="4">
        <v>32.94</v>
      </c>
      <c r="N370" s="4">
        <v>180.96610000000001</v>
      </c>
      <c r="O370" s="4">
        <v>143.6</v>
      </c>
      <c r="P370" s="4">
        <v>3.8764546470000001</v>
      </c>
      <c r="Q370" s="4">
        <v>76.515000000000001</v>
      </c>
      <c r="R370" s="10"/>
    </row>
    <row r="371" spans="1:18" ht="28.8" x14ac:dyDescent="0.3">
      <c r="A371" t="s">
        <v>1</v>
      </c>
      <c r="B371" s="3" t="s">
        <v>279</v>
      </c>
      <c r="C371" s="2">
        <v>43178</v>
      </c>
      <c r="D371" s="9">
        <v>0.88958333333333328</v>
      </c>
      <c r="E371" s="3">
        <f t="shared" ca="1" si="5"/>
        <v>921868493</v>
      </c>
      <c r="F371" t="s">
        <v>12</v>
      </c>
      <c r="G371" t="s">
        <v>14</v>
      </c>
      <c r="H371" s="1" t="s">
        <v>237</v>
      </c>
      <c r="I371" t="s">
        <v>18</v>
      </c>
      <c r="J371" s="4">
        <v>7</v>
      </c>
      <c r="K371" s="4">
        <v>83.77</v>
      </c>
      <c r="L371" s="4">
        <v>9</v>
      </c>
      <c r="M371" s="4">
        <v>87.7</v>
      </c>
      <c r="N371" s="4">
        <v>160.26519999999999</v>
      </c>
      <c r="O371" s="4">
        <v>193.5</v>
      </c>
      <c r="P371" s="4">
        <v>3.8764546470000001</v>
      </c>
      <c r="Q371" s="4">
        <v>91.266999999999996</v>
      </c>
      <c r="R371" s="10"/>
    </row>
    <row r="372" spans="1:18" x14ac:dyDescent="0.3">
      <c r="A372" t="s">
        <v>3</v>
      </c>
      <c r="B372" s="3" t="s">
        <v>281</v>
      </c>
      <c r="C372" s="2">
        <v>43366</v>
      </c>
      <c r="D372" s="9">
        <v>0.68055555555555558</v>
      </c>
      <c r="E372" s="3">
        <f t="shared" ca="1" si="5"/>
        <v>359694119</v>
      </c>
      <c r="F372" t="s">
        <v>11</v>
      </c>
      <c r="G372" t="s">
        <v>14</v>
      </c>
      <c r="H372" s="1" t="s">
        <v>236</v>
      </c>
      <c r="I372" t="s">
        <v>18</v>
      </c>
      <c r="J372" s="4">
        <v>2</v>
      </c>
      <c r="K372" s="4">
        <v>13.21</v>
      </c>
      <c r="L372" s="4">
        <v>7</v>
      </c>
      <c r="M372" s="4">
        <v>99.04</v>
      </c>
      <c r="N372" s="4">
        <v>187.7157</v>
      </c>
      <c r="O372" s="4">
        <v>183.82</v>
      </c>
      <c r="P372" s="4">
        <v>3.8764546470000001</v>
      </c>
      <c r="Q372" s="4">
        <v>23.285</v>
      </c>
      <c r="R372" s="10"/>
    </row>
    <row r="373" spans="1:18" ht="28.8" x14ac:dyDescent="0.3">
      <c r="A373" t="s">
        <v>3</v>
      </c>
      <c r="B373" s="3" t="s">
        <v>281</v>
      </c>
      <c r="C373" s="2">
        <v>43337</v>
      </c>
      <c r="D373" s="9">
        <v>0.34513888888888888</v>
      </c>
      <c r="E373" s="3">
        <f t="shared" ca="1" si="5"/>
        <v>287182498</v>
      </c>
      <c r="F373" t="s">
        <v>11</v>
      </c>
      <c r="G373" t="s">
        <v>15</v>
      </c>
      <c r="H373" s="1" t="s">
        <v>237</v>
      </c>
      <c r="I373" t="s">
        <v>22</v>
      </c>
      <c r="J373" s="4">
        <v>3</v>
      </c>
      <c r="K373" s="4">
        <v>82.96</v>
      </c>
      <c r="L373" s="4">
        <v>2</v>
      </c>
      <c r="M373" s="4">
        <v>62.24</v>
      </c>
      <c r="N373" s="4">
        <v>113.6189</v>
      </c>
      <c r="O373" s="4">
        <v>121.92</v>
      </c>
      <c r="P373" s="4">
        <v>3.8764546470000001</v>
      </c>
      <c r="Q373" s="4">
        <v>47.875999999999998</v>
      </c>
      <c r="R373" s="10"/>
    </row>
    <row r="374" spans="1:18" x14ac:dyDescent="0.3">
      <c r="A374" t="s">
        <v>2</v>
      </c>
      <c r="B374" s="3" t="s">
        <v>280</v>
      </c>
      <c r="C374" s="2">
        <v>43247</v>
      </c>
      <c r="D374" s="9">
        <v>0.17986111111111111</v>
      </c>
      <c r="E374" s="3">
        <f t="shared" ca="1" si="5"/>
        <v>562315177</v>
      </c>
      <c r="F374" t="s">
        <v>11</v>
      </c>
      <c r="G374" t="s">
        <v>15</v>
      </c>
      <c r="H374" s="1" t="s">
        <v>235</v>
      </c>
      <c r="I374" t="s">
        <v>19</v>
      </c>
      <c r="J374" s="4">
        <v>3</v>
      </c>
      <c r="K374" s="4">
        <v>58.01</v>
      </c>
      <c r="L374" s="4">
        <v>6</v>
      </c>
      <c r="M374" s="4">
        <v>48.94</v>
      </c>
      <c r="N374" s="4">
        <v>182.85810000000001</v>
      </c>
      <c r="O374" s="4">
        <v>420.66</v>
      </c>
      <c r="P374" s="4">
        <v>3.8764546470000001</v>
      </c>
      <c r="Q374" s="4">
        <v>68.531000000000006</v>
      </c>
      <c r="R374" s="10"/>
    </row>
    <row r="375" spans="1:18" x14ac:dyDescent="0.3">
      <c r="A375" t="s">
        <v>2</v>
      </c>
      <c r="B375" s="3" t="s">
        <v>280</v>
      </c>
      <c r="C375" s="2">
        <v>43159</v>
      </c>
      <c r="D375" s="9">
        <v>0.24791666666666667</v>
      </c>
      <c r="E375" s="3">
        <f t="shared" ca="1" si="5"/>
        <v>706136568</v>
      </c>
      <c r="F375" t="s">
        <v>12</v>
      </c>
      <c r="G375" t="s">
        <v>15</v>
      </c>
      <c r="H375" s="1" t="s">
        <v>236</v>
      </c>
      <c r="I375" t="s">
        <v>22</v>
      </c>
      <c r="J375" s="4">
        <v>1.8</v>
      </c>
      <c r="K375" s="4">
        <v>55.94</v>
      </c>
      <c r="L375" s="4">
        <v>6</v>
      </c>
      <c r="M375" s="4">
        <v>27.86</v>
      </c>
      <c r="N375" s="4">
        <v>154.5318</v>
      </c>
      <c r="O375" s="4">
        <v>252.48</v>
      </c>
      <c r="P375" s="4">
        <v>3.8764546470000001</v>
      </c>
      <c r="Q375" s="4">
        <v>28.96</v>
      </c>
      <c r="R375" s="10"/>
    </row>
    <row r="376" spans="1:18" ht="28.8" x14ac:dyDescent="0.3">
      <c r="A376" t="s">
        <v>1</v>
      </c>
      <c r="B376" s="3" t="s">
        <v>279</v>
      </c>
      <c r="C376" s="2">
        <v>43188</v>
      </c>
      <c r="D376" s="9">
        <v>0.26250000000000001</v>
      </c>
      <c r="E376" s="3">
        <f t="shared" ca="1" si="5"/>
        <v>166118083</v>
      </c>
      <c r="F376" t="s">
        <v>11</v>
      </c>
      <c r="G376" t="s">
        <v>15</v>
      </c>
      <c r="H376" s="1" t="s">
        <v>237</v>
      </c>
      <c r="I376" t="s">
        <v>19</v>
      </c>
      <c r="J376" s="4">
        <v>1</v>
      </c>
      <c r="K376" s="4">
        <v>62.47</v>
      </c>
      <c r="L376" s="4">
        <v>5</v>
      </c>
      <c r="M376" s="4">
        <v>29.62</v>
      </c>
      <c r="N376" s="4">
        <v>112.6173</v>
      </c>
      <c r="O376" s="4">
        <v>335.45</v>
      </c>
      <c r="P376" s="4">
        <v>3.8764546470000001</v>
      </c>
      <c r="Q376" s="4">
        <v>15.11</v>
      </c>
      <c r="R376" s="10"/>
    </row>
    <row r="377" spans="1:18" x14ac:dyDescent="0.3">
      <c r="A377" t="s">
        <v>1</v>
      </c>
      <c r="B377" s="3" t="s">
        <v>279</v>
      </c>
      <c r="C377" s="2">
        <v>43289</v>
      </c>
      <c r="D377" s="9">
        <v>0.30625000000000002</v>
      </c>
      <c r="E377" s="3">
        <f t="shared" ca="1" si="5"/>
        <v>285693414</v>
      </c>
      <c r="F377" t="s">
        <v>11</v>
      </c>
      <c r="G377" t="s">
        <v>14</v>
      </c>
      <c r="H377" s="1" t="s">
        <v>235</v>
      </c>
      <c r="I377" t="s">
        <v>22</v>
      </c>
      <c r="J377" s="4">
        <v>5.7</v>
      </c>
      <c r="K377" s="4">
        <v>79.010000000000005</v>
      </c>
      <c r="L377" s="4">
        <v>5</v>
      </c>
      <c r="M377" s="4">
        <v>52.28</v>
      </c>
      <c r="N377" s="4">
        <v>103.4997</v>
      </c>
      <c r="O377" s="4">
        <v>483.5</v>
      </c>
      <c r="P377" s="4">
        <v>3.8764546470000001</v>
      </c>
      <c r="Q377" s="4">
        <v>73.959999999999994</v>
      </c>
      <c r="R377" s="10"/>
    </row>
    <row r="378" spans="1:18" ht="28.8" x14ac:dyDescent="0.3">
      <c r="A378" t="s">
        <v>3</v>
      </c>
      <c r="B378" s="3" t="s">
        <v>281</v>
      </c>
      <c r="C378" s="2">
        <v>42945</v>
      </c>
      <c r="D378" s="9">
        <v>0.79236111111111107</v>
      </c>
      <c r="E378" s="3">
        <f t="shared" ca="1" si="5"/>
        <v>884623053</v>
      </c>
      <c r="F378" t="s">
        <v>11</v>
      </c>
      <c r="G378" t="s">
        <v>14</v>
      </c>
      <c r="H378" s="1" t="s">
        <v>237</v>
      </c>
      <c r="I378" t="s">
        <v>19</v>
      </c>
      <c r="J378" s="4">
        <v>3.4</v>
      </c>
      <c r="K378" s="4">
        <v>38.04</v>
      </c>
      <c r="L378" s="4">
        <v>9</v>
      </c>
      <c r="M378" s="4">
        <v>41.28</v>
      </c>
      <c r="N378" s="4">
        <v>147.47130000000001</v>
      </c>
      <c r="O378" s="4">
        <v>318.42</v>
      </c>
      <c r="P378" s="4">
        <v>3.8764546470000001</v>
      </c>
      <c r="Q378" s="4">
        <v>25.94</v>
      </c>
      <c r="R378" s="10"/>
    </row>
    <row r="379" spans="1:18" x14ac:dyDescent="0.3">
      <c r="A379" t="s">
        <v>2</v>
      </c>
      <c r="B379" s="3" t="s">
        <v>280</v>
      </c>
      <c r="C379" s="2">
        <v>43412</v>
      </c>
      <c r="D379" s="9">
        <v>0.96736111111111112</v>
      </c>
      <c r="E379" s="3">
        <f t="shared" ca="1" si="5"/>
        <v>785914157</v>
      </c>
      <c r="F379" t="s">
        <v>12</v>
      </c>
      <c r="G379" t="s">
        <v>15</v>
      </c>
      <c r="H379" s="1" t="s">
        <v>235</v>
      </c>
      <c r="I379" t="s">
        <v>20</v>
      </c>
      <c r="J379" s="4">
        <v>3.7</v>
      </c>
      <c r="K379" s="4">
        <v>53.57</v>
      </c>
      <c r="L379" s="4">
        <v>7</v>
      </c>
      <c r="M379" s="4">
        <v>38.57</v>
      </c>
      <c r="N379" s="4">
        <v>132.29859999999999</v>
      </c>
      <c r="O379" s="4">
        <v>668.43</v>
      </c>
      <c r="P379" s="4">
        <v>3.8764546470000001</v>
      </c>
      <c r="Q379" s="4">
        <v>51.53</v>
      </c>
      <c r="R379" s="10"/>
    </row>
    <row r="380" spans="1:18" x14ac:dyDescent="0.3">
      <c r="A380" t="s">
        <v>2</v>
      </c>
      <c r="B380" s="3" t="s">
        <v>280</v>
      </c>
      <c r="C380" s="2">
        <v>43275</v>
      </c>
      <c r="D380" s="9">
        <v>0.33055555555555555</v>
      </c>
      <c r="E380" s="3">
        <f t="shared" ca="1" si="5"/>
        <v>943522352</v>
      </c>
      <c r="F380" t="s">
        <v>12</v>
      </c>
      <c r="G380" t="s">
        <v>14</v>
      </c>
      <c r="H380" s="1" t="s">
        <v>235</v>
      </c>
      <c r="I380" t="s">
        <v>22</v>
      </c>
      <c r="J380" s="4">
        <v>4.9000000000000004</v>
      </c>
      <c r="K380" s="4">
        <v>85.68</v>
      </c>
      <c r="L380" s="4">
        <v>4</v>
      </c>
      <c r="M380" s="4">
        <v>37.700000000000003</v>
      </c>
      <c r="N380" s="4">
        <v>161.64429999999999</v>
      </c>
      <c r="O380" s="4">
        <v>387.92</v>
      </c>
      <c r="P380" s="4">
        <v>3.8764546470000001</v>
      </c>
      <c r="Q380" s="4">
        <v>11.5</v>
      </c>
      <c r="R380" s="10"/>
    </row>
    <row r="381" spans="1:18" ht="28.8" x14ac:dyDescent="0.3">
      <c r="A381" t="s">
        <v>3</v>
      </c>
      <c r="B381" s="3" t="s">
        <v>281</v>
      </c>
      <c r="C381" s="2">
        <v>43225</v>
      </c>
      <c r="D381" s="9">
        <v>0.83125000000000004</v>
      </c>
      <c r="E381" s="3">
        <f t="shared" ca="1" si="5"/>
        <v>932164073</v>
      </c>
      <c r="F381" t="s">
        <v>11</v>
      </c>
      <c r="G381" t="s">
        <v>15</v>
      </c>
      <c r="H381" s="1" t="s">
        <v>237</v>
      </c>
      <c r="I381" t="s">
        <v>18</v>
      </c>
      <c r="J381" s="4">
        <v>3.6</v>
      </c>
      <c r="K381" s="4">
        <v>10.66</v>
      </c>
      <c r="L381" s="4">
        <v>4</v>
      </c>
      <c r="M381" s="4">
        <v>29.73</v>
      </c>
      <c r="N381" s="4">
        <v>179.65549999999999</v>
      </c>
      <c r="O381" s="4">
        <v>94.6</v>
      </c>
      <c r="P381" s="4">
        <v>3.8764546470000001</v>
      </c>
      <c r="Q381" s="4">
        <v>40.049999999999997</v>
      </c>
      <c r="R381" s="10"/>
    </row>
    <row r="382" spans="1:18" ht="28.8" x14ac:dyDescent="0.3">
      <c r="A382" t="s">
        <v>1</v>
      </c>
      <c r="B382" s="3" t="s">
        <v>279</v>
      </c>
      <c r="C382" s="2">
        <v>42966</v>
      </c>
      <c r="D382" s="9">
        <v>0.63194444444444442</v>
      </c>
      <c r="E382" s="3">
        <f t="shared" ca="1" si="5"/>
        <v>793950444</v>
      </c>
      <c r="F382" t="s">
        <v>12</v>
      </c>
      <c r="G382" t="s">
        <v>14</v>
      </c>
      <c r="H382" s="1" t="s">
        <v>237</v>
      </c>
      <c r="I382" t="s">
        <v>20</v>
      </c>
      <c r="J382" s="4">
        <v>9.1</v>
      </c>
      <c r="K382" s="4">
        <v>36.17</v>
      </c>
      <c r="L382" s="4">
        <v>4</v>
      </c>
      <c r="M382" s="4">
        <v>17.579999999999998</v>
      </c>
      <c r="N382" s="4">
        <v>168.89320000000001</v>
      </c>
      <c r="O382" s="4">
        <v>329.32</v>
      </c>
      <c r="P382" s="4">
        <v>3.8764546470000001</v>
      </c>
      <c r="Q382" s="4">
        <v>51.15</v>
      </c>
      <c r="R382" s="10"/>
    </row>
    <row r="383" spans="1:18" x14ac:dyDescent="0.3">
      <c r="A383" t="s">
        <v>2</v>
      </c>
      <c r="B383" s="3" t="s">
        <v>280</v>
      </c>
      <c r="C383" s="2">
        <v>43011</v>
      </c>
      <c r="D383" s="9">
        <v>0.11666666666666667</v>
      </c>
      <c r="E383" s="3">
        <f t="shared" ca="1" si="5"/>
        <v>399733052</v>
      </c>
      <c r="F383" t="s">
        <v>11</v>
      </c>
      <c r="G383" t="s">
        <v>15</v>
      </c>
      <c r="H383" s="1" t="s">
        <v>236</v>
      </c>
      <c r="I383" t="s">
        <v>18</v>
      </c>
      <c r="J383" s="4">
        <v>8.9</v>
      </c>
      <c r="K383" s="4">
        <v>32.380000000000003</v>
      </c>
      <c r="L383" s="4">
        <v>2</v>
      </c>
      <c r="M383" s="4">
        <v>92.67</v>
      </c>
      <c r="N383" s="4">
        <v>147.99940000000001</v>
      </c>
      <c r="O383" s="4">
        <v>53.22</v>
      </c>
      <c r="P383" s="4">
        <v>3.8764546470000001</v>
      </c>
      <c r="Q383" s="4">
        <v>54.283999999999999</v>
      </c>
      <c r="R383" s="10"/>
    </row>
    <row r="384" spans="1:18" x14ac:dyDescent="0.3">
      <c r="A384" t="s">
        <v>3</v>
      </c>
      <c r="B384" s="3" t="s">
        <v>281</v>
      </c>
      <c r="C384" s="2">
        <v>42895</v>
      </c>
      <c r="D384" s="9">
        <v>0.90416666666666667</v>
      </c>
      <c r="E384" s="3">
        <f t="shared" ca="1" si="5"/>
        <v>605330755</v>
      </c>
      <c r="F384" t="s">
        <v>11</v>
      </c>
      <c r="G384" t="s">
        <v>15</v>
      </c>
      <c r="H384" s="1" t="s">
        <v>236</v>
      </c>
      <c r="I384" t="s">
        <v>21</v>
      </c>
      <c r="J384" s="4">
        <v>3.8</v>
      </c>
      <c r="K384" s="4">
        <v>71.180000000000007</v>
      </c>
      <c r="L384" s="4">
        <v>5</v>
      </c>
      <c r="M384" s="4">
        <v>57.25</v>
      </c>
      <c r="N384" s="4">
        <v>162.4238</v>
      </c>
      <c r="O384" s="4">
        <v>498.45</v>
      </c>
      <c r="P384" s="4">
        <v>3.8764546470000001</v>
      </c>
      <c r="Q384" s="4">
        <v>87.613</v>
      </c>
      <c r="R384" s="10"/>
    </row>
    <row r="385" spans="1:18" x14ac:dyDescent="0.3">
      <c r="A385" t="s">
        <v>2</v>
      </c>
      <c r="B385" s="3" t="s">
        <v>280</v>
      </c>
      <c r="C385" s="2">
        <v>42977</v>
      </c>
      <c r="D385" s="9">
        <v>0.57361111111111107</v>
      </c>
      <c r="E385" s="3">
        <f t="shared" ca="1" si="5"/>
        <v>938436953</v>
      </c>
      <c r="F385" t="s">
        <v>11</v>
      </c>
      <c r="G385" t="s">
        <v>14</v>
      </c>
      <c r="H385" s="1" t="s">
        <v>235</v>
      </c>
      <c r="I385" t="s">
        <v>21</v>
      </c>
      <c r="J385" s="4">
        <v>9.6</v>
      </c>
      <c r="K385" s="4">
        <v>67.27</v>
      </c>
      <c r="L385" s="4">
        <v>4</v>
      </c>
      <c r="M385" s="4">
        <v>11.83</v>
      </c>
      <c r="N385" s="4">
        <v>107.4834</v>
      </c>
      <c r="O385" s="4">
        <v>299.56</v>
      </c>
      <c r="P385" s="4">
        <v>3.8764546470000001</v>
      </c>
      <c r="Q385" s="4">
        <v>38.170999999999999</v>
      </c>
      <c r="R385" s="10"/>
    </row>
    <row r="386" spans="1:18" x14ac:dyDescent="0.3">
      <c r="A386" t="s">
        <v>1</v>
      </c>
      <c r="B386" s="3" t="s">
        <v>279</v>
      </c>
      <c r="C386" s="2">
        <v>42909</v>
      </c>
      <c r="D386" s="9">
        <v>0.23819444444444443</v>
      </c>
      <c r="E386" s="3">
        <f t="shared" ca="1" si="5"/>
        <v>536116513</v>
      </c>
      <c r="F386" t="s">
        <v>11</v>
      </c>
      <c r="G386" t="s">
        <v>15</v>
      </c>
      <c r="H386" s="1" t="s">
        <v>235</v>
      </c>
      <c r="I386" t="s">
        <v>21</v>
      </c>
      <c r="J386" s="4">
        <v>9.1</v>
      </c>
      <c r="K386" s="4">
        <v>97.83</v>
      </c>
      <c r="L386" s="4">
        <v>5</v>
      </c>
      <c r="M386" s="4">
        <v>85.54</v>
      </c>
      <c r="N386" s="4">
        <v>101.4113</v>
      </c>
      <c r="O386" s="4">
        <v>204.7</v>
      </c>
      <c r="P386" s="4">
        <v>3.8764546470000001</v>
      </c>
      <c r="Q386" s="4">
        <v>80.828999999999994</v>
      </c>
      <c r="R386" s="10"/>
    </row>
    <row r="387" spans="1:18" x14ac:dyDescent="0.3">
      <c r="A387" t="s">
        <v>3</v>
      </c>
      <c r="B387" s="3" t="s">
        <v>281</v>
      </c>
      <c r="C387" s="2">
        <v>43355</v>
      </c>
      <c r="D387" s="9">
        <v>0.15555555555555556</v>
      </c>
      <c r="E387" s="3">
        <f t="shared" ref="E387:E450" ca="1" si="6">RANDBETWEEN(10000000,1000000000)</f>
        <v>73425634</v>
      </c>
      <c r="F387" t="s">
        <v>12</v>
      </c>
      <c r="G387" t="s">
        <v>14</v>
      </c>
      <c r="H387" s="1" t="s">
        <v>236</v>
      </c>
      <c r="I387" t="s">
        <v>20</v>
      </c>
      <c r="J387" s="4">
        <v>5.9</v>
      </c>
      <c r="K387" s="4">
        <v>34.67</v>
      </c>
      <c r="L387" s="4">
        <v>1</v>
      </c>
      <c r="M387" s="4">
        <v>22.9</v>
      </c>
      <c r="N387" s="4">
        <v>139.26820000000001</v>
      </c>
      <c r="O387" s="4">
        <v>75.819999999999993</v>
      </c>
      <c r="P387" s="4">
        <v>3.8764546470000001</v>
      </c>
      <c r="Q387" s="4">
        <v>65.222999999999999</v>
      </c>
      <c r="R387" s="10"/>
    </row>
    <row r="388" spans="1:18" x14ac:dyDescent="0.3">
      <c r="A388" t="s">
        <v>2</v>
      </c>
      <c r="B388" s="3" t="s">
        <v>280</v>
      </c>
      <c r="C388" s="2">
        <v>42840</v>
      </c>
      <c r="D388" s="9">
        <v>0.36458333333333331</v>
      </c>
      <c r="E388" s="3">
        <f t="shared" ca="1" si="6"/>
        <v>153512886</v>
      </c>
      <c r="F388" t="s">
        <v>12</v>
      </c>
      <c r="G388" t="s">
        <v>15</v>
      </c>
      <c r="H388" s="1" t="s">
        <v>236</v>
      </c>
      <c r="I388" t="s">
        <v>21</v>
      </c>
      <c r="J388" s="4">
        <v>3.2</v>
      </c>
      <c r="K388" s="4">
        <v>68.97</v>
      </c>
      <c r="L388" s="4">
        <v>6</v>
      </c>
      <c r="M388" s="4">
        <v>30.83</v>
      </c>
      <c r="N388" s="4">
        <v>110.5098</v>
      </c>
      <c r="O388" s="4">
        <v>280.62</v>
      </c>
      <c r="P388" s="4">
        <v>3.8764546470000001</v>
      </c>
      <c r="Q388" s="4">
        <v>98.82</v>
      </c>
      <c r="R388" s="10"/>
    </row>
    <row r="389" spans="1:18" ht="28.8" x14ac:dyDescent="0.3">
      <c r="A389" t="s">
        <v>1</v>
      </c>
      <c r="B389" s="3" t="s">
        <v>279</v>
      </c>
      <c r="C389" s="2">
        <v>42797</v>
      </c>
      <c r="D389" s="9">
        <v>5.8333333333333334E-2</v>
      </c>
      <c r="E389" s="3">
        <f t="shared" ca="1" si="6"/>
        <v>564539958</v>
      </c>
      <c r="F389" t="s">
        <v>11</v>
      </c>
      <c r="G389" t="s">
        <v>15</v>
      </c>
      <c r="H389" s="1" t="s">
        <v>237</v>
      </c>
      <c r="I389" t="s">
        <v>17</v>
      </c>
      <c r="J389" s="4">
        <v>8.4</v>
      </c>
      <c r="K389" s="4">
        <v>35.729999999999997</v>
      </c>
      <c r="L389" s="4">
        <v>10</v>
      </c>
      <c r="M389" s="4">
        <v>33.83</v>
      </c>
      <c r="N389" s="4">
        <v>135.46899999999999</v>
      </c>
      <c r="O389" s="4">
        <v>323.2</v>
      </c>
      <c r="P389" s="4">
        <v>3.8764546470000001</v>
      </c>
      <c r="Q389" s="4">
        <v>68.581000000000003</v>
      </c>
      <c r="R389" s="10"/>
    </row>
    <row r="390" spans="1:18" x14ac:dyDescent="0.3">
      <c r="A390" t="s">
        <v>2</v>
      </c>
      <c r="B390" s="3" t="s">
        <v>280</v>
      </c>
      <c r="C390" s="2">
        <v>43461</v>
      </c>
      <c r="D390" s="9">
        <v>0.92847222222222225</v>
      </c>
      <c r="E390" s="3">
        <f t="shared" ca="1" si="6"/>
        <v>467015544</v>
      </c>
      <c r="F390" t="s">
        <v>11</v>
      </c>
      <c r="G390" t="s">
        <v>14</v>
      </c>
      <c r="H390" s="1" t="s">
        <v>235</v>
      </c>
      <c r="I390" t="s">
        <v>22</v>
      </c>
      <c r="J390" s="4">
        <v>4.0999999999999996</v>
      </c>
      <c r="K390" s="4">
        <v>13.57</v>
      </c>
      <c r="L390" s="4">
        <v>9</v>
      </c>
      <c r="M390" s="4">
        <v>29.67</v>
      </c>
      <c r="N390" s="4">
        <v>133.14259999999999</v>
      </c>
      <c r="O390" s="4">
        <v>486.63</v>
      </c>
      <c r="P390" s="4">
        <v>3.8764546470000001</v>
      </c>
      <c r="Q390" s="4">
        <v>21.896999999999998</v>
      </c>
      <c r="R390" s="10"/>
    </row>
    <row r="391" spans="1:18" ht="28.8" x14ac:dyDescent="0.3">
      <c r="A391" t="s">
        <v>3</v>
      </c>
      <c r="B391" s="3" t="s">
        <v>281</v>
      </c>
      <c r="C391" s="2">
        <v>43155</v>
      </c>
      <c r="D391" s="9">
        <v>0.9868055555555556</v>
      </c>
      <c r="E391" s="3">
        <f t="shared" ca="1" si="6"/>
        <v>348213241</v>
      </c>
      <c r="F391" t="s">
        <v>12</v>
      </c>
      <c r="G391" t="s">
        <v>15</v>
      </c>
      <c r="H391" s="1" t="s">
        <v>237</v>
      </c>
      <c r="I391" t="s">
        <v>21</v>
      </c>
      <c r="J391" s="4">
        <v>2.2000000000000002</v>
      </c>
      <c r="K391" s="4">
        <v>92.57</v>
      </c>
      <c r="L391" s="4">
        <v>7</v>
      </c>
      <c r="M391" s="4">
        <v>11.39</v>
      </c>
      <c r="N391" s="4">
        <v>141.5317</v>
      </c>
      <c r="O391" s="4">
        <v>127.54</v>
      </c>
      <c r="P391" s="4">
        <v>3.8764546470000001</v>
      </c>
      <c r="Q391" s="4">
        <v>12.827999999999999</v>
      </c>
      <c r="R391" s="10"/>
    </row>
    <row r="392" spans="1:18" x14ac:dyDescent="0.3">
      <c r="A392" t="s">
        <v>2</v>
      </c>
      <c r="B392" s="3" t="s">
        <v>280</v>
      </c>
      <c r="C392" s="2">
        <v>43274</v>
      </c>
      <c r="D392" s="9">
        <v>0.11180555555555556</v>
      </c>
      <c r="E392" s="3">
        <f t="shared" ca="1" si="6"/>
        <v>767399685</v>
      </c>
      <c r="F392" t="s">
        <v>11</v>
      </c>
      <c r="G392" t="s">
        <v>14</v>
      </c>
      <c r="H392" s="1" t="s">
        <v>236</v>
      </c>
      <c r="I392" t="s">
        <v>22</v>
      </c>
      <c r="J392" s="4">
        <v>2.1</v>
      </c>
      <c r="K392" s="4">
        <v>24</v>
      </c>
      <c r="L392" s="4">
        <v>3</v>
      </c>
      <c r="M392" s="4">
        <v>70.14</v>
      </c>
      <c r="N392" s="4">
        <v>104.7274</v>
      </c>
      <c r="O392" s="4">
        <v>241.44</v>
      </c>
      <c r="P392" s="4">
        <v>3.8764546470000001</v>
      </c>
      <c r="Q392" s="4">
        <v>41.220999999999997</v>
      </c>
      <c r="R392" s="10"/>
    </row>
    <row r="393" spans="1:18" x14ac:dyDescent="0.3">
      <c r="A393" t="s">
        <v>3</v>
      </c>
      <c r="B393" s="3" t="s">
        <v>281</v>
      </c>
      <c r="C393" s="2">
        <v>42904</v>
      </c>
      <c r="D393" s="9">
        <v>0.75347222222222221</v>
      </c>
      <c r="E393" s="3">
        <f t="shared" ca="1" si="6"/>
        <v>297662232</v>
      </c>
      <c r="F393" t="s">
        <v>11</v>
      </c>
      <c r="G393" t="s">
        <v>15</v>
      </c>
      <c r="H393" s="1" t="s">
        <v>236</v>
      </c>
      <c r="I393" t="s">
        <v>22</v>
      </c>
      <c r="J393" s="4">
        <v>7.5</v>
      </c>
      <c r="K393" s="4">
        <v>50.7</v>
      </c>
      <c r="L393" s="4">
        <v>10</v>
      </c>
      <c r="M393" s="4">
        <v>80.56</v>
      </c>
      <c r="N393" s="4">
        <v>105.8498</v>
      </c>
      <c r="O393" s="4">
        <v>379.5</v>
      </c>
      <c r="P393" s="4">
        <v>3.8764546470000001</v>
      </c>
      <c r="Q393" s="4">
        <v>34.459000000000003</v>
      </c>
      <c r="R393" s="10"/>
    </row>
    <row r="394" spans="1:18" x14ac:dyDescent="0.3">
      <c r="A394" t="s">
        <v>1</v>
      </c>
      <c r="B394" s="3" t="s">
        <v>279</v>
      </c>
      <c r="C394" s="2">
        <v>43326</v>
      </c>
      <c r="D394" s="9">
        <v>0.875</v>
      </c>
      <c r="E394" s="3">
        <f t="shared" ca="1" si="6"/>
        <v>782078044</v>
      </c>
      <c r="F394" t="s">
        <v>12</v>
      </c>
      <c r="G394" t="s">
        <v>14</v>
      </c>
      <c r="H394" s="1" t="s">
        <v>235</v>
      </c>
      <c r="I394" t="s">
        <v>18</v>
      </c>
      <c r="J394" s="4">
        <v>5.3</v>
      </c>
      <c r="K394" s="4">
        <v>47.46</v>
      </c>
      <c r="L394" s="4">
        <v>1</v>
      </c>
      <c r="M394" s="4">
        <v>59.8</v>
      </c>
      <c r="N394" s="4">
        <v>166.16489999999999</v>
      </c>
      <c r="O394" s="4">
        <v>76.819999999999993</v>
      </c>
      <c r="P394" s="4">
        <v>3.8764546470000001</v>
      </c>
      <c r="Q394" s="4">
        <v>68.763999999999996</v>
      </c>
      <c r="R394" s="10"/>
    </row>
    <row r="395" spans="1:18" ht="28.8" x14ac:dyDescent="0.3">
      <c r="A395" t="s">
        <v>1</v>
      </c>
      <c r="B395" s="3" t="s">
        <v>279</v>
      </c>
      <c r="C395" s="2">
        <v>43164</v>
      </c>
      <c r="D395" s="9">
        <v>0.11666666666666667</v>
      </c>
      <c r="E395" s="3">
        <f t="shared" ca="1" si="6"/>
        <v>651003375</v>
      </c>
      <c r="F395" t="s">
        <v>11</v>
      </c>
      <c r="G395" t="s">
        <v>14</v>
      </c>
      <c r="H395" s="1" t="s">
        <v>237</v>
      </c>
      <c r="I395" t="s">
        <v>20</v>
      </c>
      <c r="J395" s="4">
        <v>3.7</v>
      </c>
      <c r="K395" s="4">
        <v>68.42</v>
      </c>
      <c r="L395" s="4">
        <v>10</v>
      </c>
      <c r="M395" s="4">
        <v>32.93</v>
      </c>
      <c r="N395" s="4">
        <v>130.82159999999999</v>
      </c>
      <c r="O395" s="4">
        <v>522.6</v>
      </c>
      <c r="P395" s="4">
        <v>3.8764546470000001</v>
      </c>
      <c r="Q395" s="4">
        <v>78.45</v>
      </c>
      <c r="R395" s="10"/>
    </row>
    <row r="396" spans="1:18" x14ac:dyDescent="0.3">
      <c r="A396" t="s">
        <v>1</v>
      </c>
      <c r="B396" s="3" t="s">
        <v>279</v>
      </c>
      <c r="C396" s="2">
        <v>43089</v>
      </c>
      <c r="D396" s="9">
        <v>0.40347222222222223</v>
      </c>
      <c r="E396" s="3">
        <f t="shared" ca="1" si="6"/>
        <v>717328745</v>
      </c>
      <c r="F396" t="s">
        <v>11</v>
      </c>
      <c r="G396" t="s">
        <v>15</v>
      </c>
      <c r="H396" s="1" t="s">
        <v>235</v>
      </c>
      <c r="I396" t="s">
        <v>17</v>
      </c>
      <c r="J396" s="4">
        <v>8.4</v>
      </c>
      <c r="K396" s="4">
        <v>78.81</v>
      </c>
      <c r="L396" s="4">
        <v>1</v>
      </c>
      <c r="M396" s="4">
        <v>82.3</v>
      </c>
      <c r="N396" s="4">
        <v>114.4665</v>
      </c>
      <c r="O396" s="4">
        <v>79.739999999999995</v>
      </c>
      <c r="P396" s="4">
        <v>3.8764546470000001</v>
      </c>
      <c r="Q396" s="4">
        <v>93.662999999999997</v>
      </c>
      <c r="R396" s="10"/>
    </row>
    <row r="397" spans="1:18" x14ac:dyDescent="0.3">
      <c r="A397" t="s">
        <v>1</v>
      </c>
      <c r="B397" s="3" t="s">
        <v>279</v>
      </c>
      <c r="C397" s="2">
        <v>42946</v>
      </c>
      <c r="D397" s="9">
        <v>0.12152777777777778</v>
      </c>
      <c r="E397" s="3">
        <f t="shared" ca="1" si="6"/>
        <v>602998951</v>
      </c>
      <c r="F397" t="s">
        <v>11</v>
      </c>
      <c r="G397" t="s">
        <v>15</v>
      </c>
      <c r="H397" s="1" t="s">
        <v>235</v>
      </c>
      <c r="I397" t="s">
        <v>17</v>
      </c>
      <c r="J397" s="4">
        <v>7.5</v>
      </c>
      <c r="K397" s="4">
        <v>50.1</v>
      </c>
      <c r="L397" s="4">
        <v>5</v>
      </c>
      <c r="M397" s="4">
        <v>80.05</v>
      </c>
      <c r="N397" s="4">
        <v>158.56190000000001</v>
      </c>
      <c r="O397" s="4">
        <v>387.5</v>
      </c>
      <c r="P397" s="4">
        <v>3.8764546470000001</v>
      </c>
      <c r="Q397" s="4">
        <v>85.972999999999999</v>
      </c>
      <c r="R397" s="10"/>
    </row>
    <row r="398" spans="1:18" x14ac:dyDescent="0.3">
      <c r="A398" t="s">
        <v>1</v>
      </c>
      <c r="B398" s="3" t="s">
        <v>279</v>
      </c>
      <c r="C398" s="2">
        <v>42948</v>
      </c>
      <c r="D398" s="9">
        <v>0.65625</v>
      </c>
      <c r="E398" s="3">
        <f t="shared" ca="1" si="6"/>
        <v>623580112</v>
      </c>
      <c r="F398" t="s">
        <v>11</v>
      </c>
      <c r="G398" t="s">
        <v>15</v>
      </c>
      <c r="H398" s="1" t="s">
        <v>235</v>
      </c>
      <c r="I398" t="s">
        <v>21</v>
      </c>
      <c r="J398" s="4">
        <v>1.6</v>
      </c>
      <c r="K398" s="4">
        <v>19.34</v>
      </c>
      <c r="L398" s="4">
        <v>5</v>
      </c>
      <c r="M398" s="4">
        <v>32.49</v>
      </c>
      <c r="N398" s="4">
        <v>157.75569999999999</v>
      </c>
      <c r="O398" s="4">
        <v>271.35000000000002</v>
      </c>
      <c r="P398" s="4">
        <v>3.8764546470000001</v>
      </c>
      <c r="Q398" s="4">
        <v>84.808000000000007</v>
      </c>
      <c r="R398" s="10"/>
    </row>
    <row r="399" spans="1:18" x14ac:dyDescent="0.3">
      <c r="A399" t="s">
        <v>3</v>
      </c>
      <c r="B399" s="3" t="s">
        <v>281</v>
      </c>
      <c r="C399" s="2">
        <v>42993</v>
      </c>
      <c r="D399" s="9">
        <v>0.93819444444444444</v>
      </c>
      <c r="E399" s="3">
        <f t="shared" ca="1" si="6"/>
        <v>695830238</v>
      </c>
      <c r="F399" t="s">
        <v>12</v>
      </c>
      <c r="G399" t="s">
        <v>15</v>
      </c>
      <c r="H399" s="1" t="s">
        <v>236</v>
      </c>
      <c r="I399" t="s">
        <v>19</v>
      </c>
      <c r="J399" s="4">
        <v>6.1</v>
      </c>
      <c r="K399" s="4">
        <v>22.36</v>
      </c>
      <c r="L399" s="4">
        <v>9</v>
      </c>
      <c r="M399" s="4">
        <v>67.77</v>
      </c>
      <c r="N399" s="4">
        <v>124.4508</v>
      </c>
      <c r="O399" s="4">
        <v>122.31</v>
      </c>
      <c r="P399" s="4">
        <v>3.8764546470000001</v>
      </c>
      <c r="Q399" s="4">
        <v>54.064999999999998</v>
      </c>
      <c r="R399" s="10"/>
    </row>
    <row r="400" spans="1:18" ht="28.8" x14ac:dyDescent="0.3">
      <c r="A400" t="s">
        <v>3</v>
      </c>
      <c r="B400" s="3" t="s">
        <v>281</v>
      </c>
      <c r="C400" s="2">
        <v>43061</v>
      </c>
      <c r="D400" s="9">
        <v>0.22361111111111112</v>
      </c>
      <c r="E400" s="3">
        <f t="shared" ca="1" si="6"/>
        <v>732587636</v>
      </c>
      <c r="F400" t="s">
        <v>11</v>
      </c>
      <c r="G400" t="s">
        <v>14</v>
      </c>
      <c r="H400" s="1" t="s">
        <v>237</v>
      </c>
      <c r="I400" t="s">
        <v>17</v>
      </c>
      <c r="J400" s="4">
        <v>5</v>
      </c>
      <c r="K400" s="4">
        <v>84.33</v>
      </c>
      <c r="L400" s="4">
        <v>6</v>
      </c>
      <c r="M400" s="4">
        <v>89.72</v>
      </c>
      <c r="N400" s="4">
        <v>106.622</v>
      </c>
      <c r="O400" s="4">
        <v>246.36</v>
      </c>
      <c r="P400" s="4">
        <v>3.8764546470000001</v>
      </c>
      <c r="Q400" s="4">
        <v>15.287000000000001</v>
      </c>
      <c r="R400" s="10"/>
    </row>
    <row r="401" spans="1:18" x14ac:dyDescent="0.3">
      <c r="A401" t="s">
        <v>3</v>
      </c>
      <c r="B401" s="3" t="s">
        <v>281</v>
      </c>
      <c r="C401" s="2">
        <v>43424</v>
      </c>
      <c r="D401" s="9">
        <v>0.2722222222222222</v>
      </c>
      <c r="E401" s="3">
        <f t="shared" ca="1" si="6"/>
        <v>545633405</v>
      </c>
      <c r="F401" t="s">
        <v>12</v>
      </c>
      <c r="G401" t="s">
        <v>14</v>
      </c>
      <c r="H401" s="1" t="s">
        <v>236</v>
      </c>
      <c r="I401" t="s">
        <v>18</v>
      </c>
      <c r="J401" s="4">
        <v>9.5</v>
      </c>
      <c r="K401" s="4">
        <v>71.97</v>
      </c>
      <c r="L401" s="4">
        <v>9</v>
      </c>
      <c r="M401" s="4">
        <v>47.76</v>
      </c>
      <c r="N401" s="4">
        <v>107.5448</v>
      </c>
      <c r="O401" s="4">
        <v>173.16</v>
      </c>
      <c r="P401" s="4">
        <v>3.8764546470000001</v>
      </c>
      <c r="Q401" s="4">
        <v>64.447999999999993</v>
      </c>
      <c r="R401" s="10"/>
    </row>
    <row r="402" spans="1:18" ht="28.8" x14ac:dyDescent="0.3">
      <c r="A402" t="s">
        <v>2</v>
      </c>
      <c r="B402" s="3" t="s">
        <v>280</v>
      </c>
      <c r="C402" s="2">
        <v>42816</v>
      </c>
      <c r="D402" s="9">
        <v>0.97222222222222221</v>
      </c>
      <c r="E402" s="3">
        <f t="shared" ca="1" si="6"/>
        <v>996529996</v>
      </c>
      <c r="F402" t="s">
        <v>11</v>
      </c>
      <c r="G402" t="s">
        <v>15</v>
      </c>
      <c r="H402" s="1" t="s">
        <v>237</v>
      </c>
      <c r="I402" t="s">
        <v>21</v>
      </c>
      <c r="J402" s="4">
        <v>7.9</v>
      </c>
      <c r="K402" s="4">
        <v>32.36</v>
      </c>
      <c r="L402" s="4">
        <v>6</v>
      </c>
      <c r="M402" s="4">
        <v>36.92</v>
      </c>
      <c r="N402" s="4">
        <v>176.58519999999999</v>
      </c>
      <c r="O402" s="4">
        <v>236.58</v>
      </c>
      <c r="P402" s="4">
        <v>3.8764546470000001</v>
      </c>
      <c r="Q402" s="4">
        <v>70.14</v>
      </c>
      <c r="R402" s="10"/>
    </row>
    <row r="403" spans="1:18" ht="28.8" x14ac:dyDescent="0.3">
      <c r="A403" t="s">
        <v>2</v>
      </c>
      <c r="B403" s="3" t="s">
        <v>280</v>
      </c>
      <c r="C403" s="2">
        <v>42971</v>
      </c>
      <c r="D403" s="9">
        <v>0.55902777777777779</v>
      </c>
      <c r="E403" s="3">
        <f t="shared" ca="1" si="6"/>
        <v>757254355</v>
      </c>
      <c r="F403" t="s">
        <v>12</v>
      </c>
      <c r="G403" t="s">
        <v>15</v>
      </c>
      <c r="H403" s="1" t="s">
        <v>237</v>
      </c>
      <c r="I403" t="s">
        <v>19</v>
      </c>
      <c r="J403" s="4">
        <v>2.1</v>
      </c>
      <c r="K403" s="4">
        <v>87.23</v>
      </c>
      <c r="L403" s="4">
        <v>4</v>
      </c>
      <c r="M403" s="4">
        <v>96.43</v>
      </c>
      <c r="N403" s="4">
        <v>147.49080000000001</v>
      </c>
      <c r="O403" s="4">
        <v>184.88</v>
      </c>
      <c r="P403" s="4">
        <v>3.8764546470000001</v>
      </c>
      <c r="Q403" s="4">
        <v>84.5</v>
      </c>
      <c r="R403" s="10"/>
    </row>
    <row r="404" spans="1:18" x14ac:dyDescent="0.3">
      <c r="A404" t="s">
        <v>2</v>
      </c>
      <c r="B404" s="3" t="s">
        <v>280</v>
      </c>
      <c r="C404" s="2">
        <v>42809</v>
      </c>
      <c r="D404" s="9">
        <v>0.15069444444444444</v>
      </c>
      <c r="E404" s="3">
        <f t="shared" ca="1" si="6"/>
        <v>316364504</v>
      </c>
      <c r="F404" t="s">
        <v>12</v>
      </c>
      <c r="G404" t="s">
        <v>14</v>
      </c>
      <c r="H404" s="1" t="s">
        <v>235</v>
      </c>
      <c r="I404" t="s">
        <v>19</v>
      </c>
      <c r="J404" s="4">
        <v>6</v>
      </c>
      <c r="K404" s="4">
        <v>82.02</v>
      </c>
      <c r="L404" s="4">
        <v>1</v>
      </c>
      <c r="M404" s="4">
        <v>59.81</v>
      </c>
      <c r="N404" s="4">
        <v>119.8995</v>
      </c>
      <c r="O404" s="4">
        <v>13.98</v>
      </c>
      <c r="P404" s="4">
        <v>3.8764546470000001</v>
      </c>
      <c r="Q404" s="4">
        <v>83.26</v>
      </c>
      <c r="R404" s="10"/>
    </row>
    <row r="405" spans="1:18" x14ac:dyDescent="0.3">
      <c r="A405" t="s">
        <v>3</v>
      </c>
      <c r="B405" s="3" t="s">
        <v>281</v>
      </c>
      <c r="C405" s="2">
        <v>43219</v>
      </c>
      <c r="D405" s="9">
        <v>7.7777777777777779E-2</v>
      </c>
      <c r="E405" s="3">
        <f t="shared" ca="1" si="6"/>
        <v>733285041</v>
      </c>
      <c r="F405" t="s">
        <v>11</v>
      </c>
      <c r="G405" t="s">
        <v>15</v>
      </c>
      <c r="H405" s="1" t="s">
        <v>235</v>
      </c>
      <c r="I405" t="s">
        <v>22</v>
      </c>
      <c r="J405" s="4">
        <v>3</v>
      </c>
      <c r="K405" s="4">
        <v>22.73</v>
      </c>
      <c r="L405" s="4">
        <v>5</v>
      </c>
      <c r="M405" s="4">
        <v>37.1</v>
      </c>
      <c r="N405" s="4">
        <v>136.1893</v>
      </c>
      <c r="O405" s="4">
        <v>198.75</v>
      </c>
      <c r="P405" s="4">
        <v>3.8764546470000001</v>
      </c>
      <c r="Q405" s="4">
        <v>93.16</v>
      </c>
      <c r="R405" s="10"/>
    </row>
    <row r="406" spans="1:18" x14ac:dyDescent="0.3">
      <c r="A406" t="s">
        <v>2</v>
      </c>
      <c r="B406" s="3" t="s">
        <v>280</v>
      </c>
      <c r="C406" s="2">
        <v>43024</v>
      </c>
      <c r="D406" s="9">
        <v>0.30138888888888887</v>
      </c>
      <c r="E406" s="3">
        <f t="shared" ca="1" si="6"/>
        <v>296438385</v>
      </c>
      <c r="F406" t="s">
        <v>11</v>
      </c>
      <c r="G406" t="s">
        <v>14</v>
      </c>
      <c r="H406" s="1" t="s">
        <v>235</v>
      </c>
      <c r="I406" t="s">
        <v>22</v>
      </c>
      <c r="J406" s="4">
        <v>6</v>
      </c>
      <c r="K406" s="4">
        <v>33.22</v>
      </c>
      <c r="L406" s="4">
        <v>7</v>
      </c>
      <c r="M406" s="4">
        <v>37.71</v>
      </c>
      <c r="N406" s="4">
        <v>103.9474</v>
      </c>
      <c r="O406" s="4">
        <v>684.53</v>
      </c>
      <c r="P406" s="4">
        <v>3.8764546470000001</v>
      </c>
      <c r="Q406" s="4">
        <v>40.97</v>
      </c>
      <c r="R406" s="10"/>
    </row>
    <row r="407" spans="1:18" ht="28.8" x14ac:dyDescent="0.3">
      <c r="A407" t="s">
        <v>1</v>
      </c>
      <c r="B407" s="3" t="s">
        <v>279</v>
      </c>
      <c r="C407" s="2">
        <v>42875</v>
      </c>
      <c r="D407" s="9">
        <v>0.73402777777777772</v>
      </c>
      <c r="E407" s="3">
        <f t="shared" ca="1" si="6"/>
        <v>100609166</v>
      </c>
      <c r="F407" t="s">
        <v>12</v>
      </c>
      <c r="G407" t="s">
        <v>14</v>
      </c>
      <c r="H407" s="1" t="s">
        <v>237</v>
      </c>
      <c r="I407" t="s">
        <v>20</v>
      </c>
      <c r="J407" s="4">
        <v>8</v>
      </c>
      <c r="K407" s="4">
        <v>31.88</v>
      </c>
      <c r="L407" s="4">
        <v>4</v>
      </c>
      <c r="M407" s="4">
        <v>16.100000000000001</v>
      </c>
      <c r="N407" s="4">
        <v>158.84979999999999</v>
      </c>
      <c r="O407" s="4">
        <v>269.04000000000002</v>
      </c>
      <c r="P407" s="4">
        <v>3.8764546470000001</v>
      </c>
      <c r="Q407" s="4">
        <v>60.65</v>
      </c>
      <c r="R407" s="10"/>
    </row>
    <row r="408" spans="1:18" ht="28.8" x14ac:dyDescent="0.3">
      <c r="A408" t="s">
        <v>1</v>
      </c>
      <c r="B408" s="3" t="s">
        <v>279</v>
      </c>
      <c r="C408" s="2">
        <v>43378</v>
      </c>
      <c r="D408" s="9">
        <v>0.34027777777777779</v>
      </c>
      <c r="E408" s="3">
        <f t="shared" ca="1" si="6"/>
        <v>233144640</v>
      </c>
      <c r="F408" t="s">
        <v>12</v>
      </c>
      <c r="G408" t="s">
        <v>15</v>
      </c>
      <c r="H408" s="1" t="s">
        <v>237</v>
      </c>
      <c r="I408" t="s">
        <v>21</v>
      </c>
      <c r="J408" s="4">
        <v>4</v>
      </c>
      <c r="K408" s="4">
        <v>56.7</v>
      </c>
      <c r="L408" s="4">
        <v>5</v>
      </c>
      <c r="M408" s="4">
        <v>34.61</v>
      </c>
      <c r="N408" s="4">
        <v>128.1551</v>
      </c>
      <c r="O408" s="4">
        <v>68.95</v>
      </c>
      <c r="P408" s="4">
        <v>3.8764546470000001</v>
      </c>
      <c r="Q408" s="4">
        <v>16.199000000000002</v>
      </c>
      <c r="R408" s="10"/>
    </row>
    <row r="409" spans="1:18" x14ac:dyDescent="0.3">
      <c r="A409" t="s">
        <v>3</v>
      </c>
      <c r="B409" s="3" t="s">
        <v>281</v>
      </c>
      <c r="C409" s="2">
        <v>42823</v>
      </c>
      <c r="D409" s="9">
        <v>0.26250000000000001</v>
      </c>
      <c r="E409" s="3">
        <f t="shared" ca="1" si="6"/>
        <v>101851326</v>
      </c>
      <c r="F409" t="s">
        <v>11</v>
      </c>
      <c r="G409" t="s">
        <v>14</v>
      </c>
      <c r="H409" s="1" t="s">
        <v>236</v>
      </c>
      <c r="I409" t="s">
        <v>22</v>
      </c>
      <c r="J409" s="4">
        <v>4</v>
      </c>
      <c r="K409" s="4">
        <v>59.6</v>
      </c>
      <c r="L409" s="4">
        <v>4</v>
      </c>
      <c r="M409" s="4">
        <v>64.53</v>
      </c>
      <c r="N409" s="4">
        <v>130.66200000000001</v>
      </c>
      <c r="O409" s="4">
        <v>274.83999999999997</v>
      </c>
      <c r="P409" s="4">
        <v>3.8764546470000001</v>
      </c>
      <c r="Q409" s="4">
        <v>32.203000000000003</v>
      </c>
      <c r="R409" s="10"/>
    </row>
    <row r="410" spans="1:18" x14ac:dyDescent="0.3">
      <c r="A410" t="s">
        <v>1</v>
      </c>
      <c r="B410" s="3" t="s">
        <v>279</v>
      </c>
      <c r="C410" s="2">
        <v>42920</v>
      </c>
      <c r="D410" s="9">
        <v>0.18958333333333333</v>
      </c>
      <c r="E410" s="3">
        <f t="shared" ca="1" si="6"/>
        <v>116426186</v>
      </c>
      <c r="F410" t="s">
        <v>11</v>
      </c>
      <c r="G410" t="s">
        <v>15</v>
      </c>
      <c r="H410" s="1" t="s">
        <v>235</v>
      </c>
      <c r="I410" t="s">
        <v>19</v>
      </c>
      <c r="J410" s="4">
        <v>9</v>
      </c>
      <c r="K410" s="4">
        <v>84.86</v>
      </c>
      <c r="L410" s="4">
        <v>4</v>
      </c>
      <c r="M410" s="4">
        <v>78.11</v>
      </c>
      <c r="N410" s="4">
        <v>117.27370000000001</v>
      </c>
      <c r="O410" s="4">
        <v>226.12</v>
      </c>
      <c r="P410" s="4">
        <v>3.8764546470000001</v>
      </c>
      <c r="Q410" s="4">
        <v>86.382000000000005</v>
      </c>
      <c r="R410" s="10"/>
    </row>
    <row r="411" spans="1:18" x14ac:dyDescent="0.3">
      <c r="A411" t="s">
        <v>2</v>
      </c>
      <c r="B411" s="3" t="s">
        <v>280</v>
      </c>
      <c r="C411" s="2">
        <v>43464</v>
      </c>
      <c r="D411" s="9">
        <v>0.94305555555555554</v>
      </c>
      <c r="E411" s="3">
        <f t="shared" ca="1" si="6"/>
        <v>803159350</v>
      </c>
      <c r="F411" t="s">
        <v>11</v>
      </c>
      <c r="G411" t="s">
        <v>15</v>
      </c>
      <c r="H411" s="1" t="s">
        <v>235</v>
      </c>
      <c r="I411" t="s">
        <v>22</v>
      </c>
      <c r="J411" s="4">
        <v>3</v>
      </c>
      <c r="K411" s="4">
        <v>31.03</v>
      </c>
      <c r="L411" s="4">
        <v>5</v>
      </c>
      <c r="M411" s="4">
        <v>15.2</v>
      </c>
      <c r="N411" s="4">
        <v>175.0479</v>
      </c>
      <c r="O411" s="4">
        <v>119.1</v>
      </c>
      <c r="P411" s="4">
        <v>3.8764546470000001</v>
      </c>
      <c r="Q411" s="4">
        <v>24.32</v>
      </c>
      <c r="R411" s="10"/>
    </row>
    <row r="412" spans="1:18" x14ac:dyDescent="0.3">
      <c r="A412" t="s">
        <v>3</v>
      </c>
      <c r="B412" s="3" t="s">
        <v>281</v>
      </c>
      <c r="C412" s="2">
        <v>43327</v>
      </c>
      <c r="D412" s="9">
        <v>0.27708333333333335</v>
      </c>
      <c r="E412" s="3">
        <f t="shared" ca="1" si="6"/>
        <v>883746642</v>
      </c>
      <c r="F412" t="s">
        <v>11</v>
      </c>
      <c r="G412" t="s">
        <v>15</v>
      </c>
      <c r="H412" s="1" t="s">
        <v>236</v>
      </c>
      <c r="I412" t="s">
        <v>17</v>
      </c>
      <c r="J412" s="4">
        <v>3</v>
      </c>
      <c r="K412" s="4">
        <v>74.84</v>
      </c>
      <c r="L412" s="4">
        <v>10</v>
      </c>
      <c r="M412" s="4">
        <v>99.81</v>
      </c>
      <c r="N412" s="4">
        <v>132.2954</v>
      </c>
      <c r="O412" s="4">
        <v>342.1</v>
      </c>
      <c r="P412" s="4">
        <v>3.8764546470000001</v>
      </c>
      <c r="Q412" s="4">
        <v>82</v>
      </c>
      <c r="R412" s="10"/>
    </row>
    <row r="413" spans="1:18" x14ac:dyDescent="0.3">
      <c r="A413" t="s">
        <v>3</v>
      </c>
      <c r="B413" s="3" t="s">
        <v>281</v>
      </c>
      <c r="C413" s="2">
        <v>43150</v>
      </c>
      <c r="D413" s="9">
        <v>0.34513888888888888</v>
      </c>
      <c r="E413" s="3">
        <f t="shared" ca="1" si="6"/>
        <v>324399402</v>
      </c>
      <c r="F413" t="s">
        <v>12</v>
      </c>
      <c r="G413" t="s">
        <v>15</v>
      </c>
      <c r="H413" s="1" t="s">
        <v>235</v>
      </c>
      <c r="I413" t="s">
        <v>20</v>
      </c>
      <c r="J413" s="4">
        <v>8</v>
      </c>
      <c r="K413" s="4">
        <v>51.86</v>
      </c>
      <c r="L413" s="4">
        <v>2</v>
      </c>
      <c r="M413" s="4">
        <v>26.97</v>
      </c>
      <c r="N413" s="4">
        <v>151.57810000000001</v>
      </c>
      <c r="O413" s="4">
        <v>43.74</v>
      </c>
      <c r="P413" s="4">
        <v>3.8764546470000001</v>
      </c>
      <c r="Q413" s="4">
        <v>36.520000000000003</v>
      </c>
      <c r="R413" s="10"/>
    </row>
    <row r="414" spans="1:18" x14ac:dyDescent="0.3">
      <c r="A414" t="s">
        <v>1</v>
      </c>
      <c r="B414" s="3" t="s">
        <v>279</v>
      </c>
      <c r="C414" s="2">
        <v>43167</v>
      </c>
      <c r="D414" s="9">
        <v>0.71458333333333335</v>
      </c>
      <c r="E414" s="3">
        <f t="shared" ca="1" si="6"/>
        <v>511105561</v>
      </c>
      <c r="F414" t="s">
        <v>12</v>
      </c>
      <c r="G414" t="s">
        <v>14</v>
      </c>
      <c r="H414" s="1" t="s">
        <v>236</v>
      </c>
      <c r="I414" t="s">
        <v>17</v>
      </c>
      <c r="J414" s="4">
        <v>5</v>
      </c>
      <c r="K414" s="4">
        <v>11.16</v>
      </c>
      <c r="L414" s="4">
        <v>5</v>
      </c>
      <c r="M414" s="4">
        <v>60.54</v>
      </c>
      <c r="N414" s="4">
        <v>137.37110000000001</v>
      </c>
      <c r="O414" s="4">
        <v>104.85</v>
      </c>
      <c r="P414" s="4">
        <v>3.8764546470000001</v>
      </c>
      <c r="Q414" s="4">
        <v>80.010000000000005</v>
      </c>
      <c r="R414" s="10"/>
    </row>
    <row r="415" spans="1:18" x14ac:dyDescent="0.3">
      <c r="A415" t="s">
        <v>1</v>
      </c>
      <c r="B415" s="3" t="s">
        <v>279</v>
      </c>
      <c r="C415" s="2">
        <v>43321</v>
      </c>
      <c r="D415" s="9">
        <v>9.7222222222222224E-3</v>
      </c>
      <c r="E415" s="3">
        <f t="shared" ca="1" si="6"/>
        <v>75383982</v>
      </c>
      <c r="F415" t="s">
        <v>12</v>
      </c>
      <c r="G415" t="s">
        <v>15</v>
      </c>
      <c r="H415" s="1" t="s">
        <v>235</v>
      </c>
      <c r="I415" t="s">
        <v>20</v>
      </c>
      <c r="J415" s="4">
        <v>6.9</v>
      </c>
      <c r="K415" s="4">
        <v>28.55</v>
      </c>
      <c r="L415" s="4">
        <v>3</v>
      </c>
      <c r="M415" s="4">
        <v>92.63</v>
      </c>
      <c r="N415" s="4">
        <v>182.77600000000001</v>
      </c>
      <c r="O415" s="4">
        <v>77.52</v>
      </c>
      <c r="P415" s="4">
        <v>3.8764546470000001</v>
      </c>
      <c r="Q415" s="4">
        <v>92.3</v>
      </c>
      <c r="R415" s="10"/>
    </row>
    <row r="416" spans="1:18" x14ac:dyDescent="0.3">
      <c r="A416" t="s">
        <v>1</v>
      </c>
      <c r="B416" s="3" t="s">
        <v>279</v>
      </c>
      <c r="C416" s="2">
        <v>42836</v>
      </c>
      <c r="D416" s="9">
        <v>0.44722222222222224</v>
      </c>
      <c r="E416" s="3">
        <f t="shared" ca="1" si="6"/>
        <v>997268779</v>
      </c>
      <c r="F416" t="s">
        <v>12</v>
      </c>
      <c r="G416" t="s">
        <v>15</v>
      </c>
      <c r="H416" s="1" t="s">
        <v>235</v>
      </c>
      <c r="I416" t="s">
        <v>19</v>
      </c>
      <c r="J416" s="4">
        <v>8.1</v>
      </c>
      <c r="K416" s="4">
        <v>83.61</v>
      </c>
      <c r="L416" s="4">
        <v>8</v>
      </c>
      <c r="M416" s="4">
        <v>37.78</v>
      </c>
      <c r="N416" s="4">
        <v>113.0528</v>
      </c>
      <c r="O416" s="4">
        <v>407.44</v>
      </c>
      <c r="P416" s="4">
        <v>3.8764546470000001</v>
      </c>
      <c r="Q416" s="4">
        <v>23.446999999999999</v>
      </c>
      <c r="R416" s="10"/>
    </row>
    <row r="417" spans="1:18" x14ac:dyDescent="0.3">
      <c r="A417" t="s">
        <v>3</v>
      </c>
      <c r="B417" s="3" t="s">
        <v>281</v>
      </c>
      <c r="C417" s="2">
        <v>42903</v>
      </c>
      <c r="D417" s="9">
        <v>0.79236111111111107</v>
      </c>
      <c r="E417" s="3">
        <f t="shared" ca="1" si="6"/>
        <v>886842576</v>
      </c>
      <c r="F417" t="s">
        <v>12</v>
      </c>
      <c r="G417" t="s">
        <v>15</v>
      </c>
      <c r="H417" s="1" t="s">
        <v>235</v>
      </c>
      <c r="I417" t="s">
        <v>17</v>
      </c>
      <c r="J417" s="4">
        <v>8.1999999999999993</v>
      </c>
      <c r="K417" s="4">
        <v>44.68</v>
      </c>
      <c r="L417" s="4">
        <v>1</v>
      </c>
      <c r="M417" s="4">
        <v>71.72</v>
      </c>
      <c r="N417" s="4">
        <v>185.57900000000001</v>
      </c>
      <c r="O417" s="4">
        <v>96.11</v>
      </c>
      <c r="P417" s="4">
        <v>3.8764546470000001</v>
      </c>
      <c r="Q417" s="4">
        <v>48.594999999999999</v>
      </c>
      <c r="R417" s="10"/>
    </row>
    <row r="418" spans="1:18" ht="28.8" x14ac:dyDescent="0.3">
      <c r="A418" t="s">
        <v>2</v>
      </c>
      <c r="B418" s="3" t="s">
        <v>280</v>
      </c>
      <c r="C418" s="2">
        <v>42965</v>
      </c>
      <c r="D418" s="9">
        <v>0.91388888888888886</v>
      </c>
      <c r="E418" s="3">
        <f t="shared" ca="1" si="6"/>
        <v>170485625</v>
      </c>
      <c r="F418" t="s">
        <v>11</v>
      </c>
      <c r="G418" t="s">
        <v>15</v>
      </c>
      <c r="H418" s="1" t="s">
        <v>237</v>
      </c>
      <c r="I418" t="s">
        <v>19</v>
      </c>
      <c r="J418" s="4">
        <v>9</v>
      </c>
      <c r="K418" s="4">
        <v>65.97</v>
      </c>
      <c r="L418" s="4">
        <v>4</v>
      </c>
      <c r="M418" s="4">
        <v>27.86</v>
      </c>
      <c r="N418" s="4">
        <v>110.4821</v>
      </c>
      <c r="O418" s="4">
        <v>181.52</v>
      </c>
      <c r="P418" s="4">
        <v>3.8764546470000001</v>
      </c>
      <c r="Q418" s="4">
        <v>58.843000000000004</v>
      </c>
      <c r="R418" s="10"/>
    </row>
    <row r="419" spans="1:18" x14ac:dyDescent="0.3">
      <c r="A419" t="s">
        <v>2</v>
      </c>
      <c r="B419" s="3" t="s">
        <v>280</v>
      </c>
      <c r="C419" s="2">
        <v>43269</v>
      </c>
      <c r="D419" s="9">
        <v>0.67083333333333328</v>
      </c>
      <c r="E419" s="3">
        <f t="shared" ca="1" si="6"/>
        <v>975325432</v>
      </c>
      <c r="F419" t="s">
        <v>11</v>
      </c>
      <c r="G419" t="s">
        <v>14</v>
      </c>
      <c r="H419" s="1" t="s">
        <v>235</v>
      </c>
      <c r="I419" t="s">
        <v>17</v>
      </c>
      <c r="J419" s="4">
        <v>4.3</v>
      </c>
      <c r="K419" s="4">
        <v>62.77</v>
      </c>
      <c r="L419" s="4">
        <v>1</v>
      </c>
      <c r="M419" s="4">
        <v>73.25</v>
      </c>
      <c r="N419" s="4">
        <v>160.2603</v>
      </c>
      <c r="O419" s="4">
        <v>81.510000000000005</v>
      </c>
      <c r="P419" s="4">
        <v>3.8764546470000001</v>
      </c>
      <c r="Q419" s="4">
        <v>77.209999999999994</v>
      </c>
      <c r="R419" s="10"/>
    </row>
    <row r="420" spans="1:18" x14ac:dyDescent="0.3">
      <c r="A420" t="s">
        <v>3</v>
      </c>
      <c r="B420" s="3" t="s">
        <v>281</v>
      </c>
      <c r="C420" s="2">
        <v>43220</v>
      </c>
      <c r="D420" s="9">
        <v>8.7499999999999994E-2</v>
      </c>
      <c r="E420" s="3">
        <f t="shared" ca="1" si="6"/>
        <v>559165079</v>
      </c>
      <c r="F420" t="s">
        <v>11</v>
      </c>
      <c r="G420" t="s">
        <v>15</v>
      </c>
      <c r="H420" s="1" t="s">
        <v>235</v>
      </c>
      <c r="I420" t="s">
        <v>17</v>
      </c>
      <c r="J420" s="4">
        <v>5</v>
      </c>
      <c r="K420" s="4">
        <v>38.22</v>
      </c>
      <c r="L420" s="4">
        <v>2</v>
      </c>
      <c r="M420" s="4">
        <v>97.87</v>
      </c>
      <c r="N420" s="4">
        <v>143.40360000000001</v>
      </c>
      <c r="O420" s="4">
        <v>114.44</v>
      </c>
      <c r="P420" s="4">
        <v>3.8764546470000001</v>
      </c>
      <c r="Q420" s="4">
        <v>55.14</v>
      </c>
      <c r="R420" s="10"/>
    </row>
    <row r="421" spans="1:18" x14ac:dyDescent="0.3">
      <c r="A421" t="s">
        <v>1</v>
      </c>
      <c r="B421" s="3" t="s">
        <v>279</v>
      </c>
      <c r="C421" s="2">
        <v>43305</v>
      </c>
      <c r="D421" s="9">
        <v>0.60763888888888884</v>
      </c>
      <c r="E421" s="3">
        <f t="shared" ca="1" si="6"/>
        <v>411793720</v>
      </c>
      <c r="F421" t="s">
        <v>11</v>
      </c>
      <c r="G421" t="s">
        <v>14</v>
      </c>
      <c r="H421" s="1" t="s">
        <v>236</v>
      </c>
      <c r="I421" t="s">
        <v>18</v>
      </c>
      <c r="J421" s="4">
        <v>8.6</v>
      </c>
      <c r="K421" s="4">
        <v>78.790000000000006</v>
      </c>
      <c r="L421" s="4">
        <v>7</v>
      </c>
      <c r="M421" s="4">
        <v>84.8</v>
      </c>
      <c r="N421" s="4">
        <v>112.57559999999999</v>
      </c>
      <c r="O421" s="4">
        <v>176.54</v>
      </c>
      <c r="P421" s="4">
        <v>3.8764546470000001</v>
      </c>
      <c r="Q421" s="4">
        <v>68.64</v>
      </c>
      <c r="R421" s="10"/>
    </row>
    <row r="422" spans="1:18" x14ac:dyDescent="0.3">
      <c r="A422" t="s">
        <v>2</v>
      </c>
      <c r="B422" s="3" t="s">
        <v>280</v>
      </c>
      <c r="C422" s="2">
        <v>42899</v>
      </c>
      <c r="D422" s="9">
        <v>8.7499999999999994E-2</v>
      </c>
      <c r="E422" s="3">
        <f t="shared" ca="1" si="6"/>
        <v>213657737</v>
      </c>
      <c r="F422" t="s">
        <v>11</v>
      </c>
      <c r="G422" t="s">
        <v>14</v>
      </c>
      <c r="H422" s="1" t="s">
        <v>235</v>
      </c>
      <c r="I422" t="s">
        <v>21</v>
      </c>
      <c r="J422" s="4">
        <v>1.8</v>
      </c>
      <c r="K422" s="4">
        <v>33.68</v>
      </c>
      <c r="L422" s="4">
        <v>3</v>
      </c>
      <c r="M422" s="4">
        <v>27.91</v>
      </c>
      <c r="N422" s="4">
        <v>100.4483</v>
      </c>
      <c r="O422" s="4">
        <v>115.8</v>
      </c>
      <c r="P422" s="4">
        <v>3.8764546470000001</v>
      </c>
      <c r="Q422" s="4">
        <v>42.113999999999997</v>
      </c>
      <c r="R422" s="10"/>
    </row>
    <row r="423" spans="1:18" x14ac:dyDescent="0.3">
      <c r="A423" t="s">
        <v>2</v>
      </c>
      <c r="B423" s="3" t="s">
        <v>280</v>
      </c>
      <c r="C423" s="2">
        <v>43089</v>
      </c>
      <c r="D423" s="9">
        <v>0.49583333333333335</v>
      </c>
      <c r="E423" s="3">
        <f t="shared" ca="1" si="6"/>
        <v>946116880</v>
      </c>
      <c r="F423" t="s">
        <v>11</v>
      </c>
      <c r="G423" t="s">
        <v>15</v>
      </c>
      <c r="H423" s="1" t="s">
        <v>236</v>
      </c>
      <c r="I423" t="s">
        <v>18</v>
      </c>
      <c r="J423" s="4">
        <v>6.8</v>
      </c>
      <c r="K423" s="4">
        <v>45.35</v>
      </c>
      <c r="L423" s="4">
        <v>3</v>
      </c>
      <c r="M423" s="4">
        <v>57.48</v>
      </c>
      <c r="N423" s="4">
        <v>160.72110000000001</v>
      </c>
      <c r="O423" s="4">
        <v>252.15</v>
      </c>
      <c r="P423" s="4">
        <v>3.8764546470000001</v>
      </c>
      <c r="Q423" s="4">
        <v>33.195999999999998</v>
      </c>
      <c r="R423" s="10"/>
    </row>
    <row r="424" spans="1:18" ht="28.8" x14ac:dyDescent="0.3">
      <c r="A424" t="s">
        <v>2</v>
      </c>
      <c r="B424" s="3" t="s">
        <v>280</v>
      </c>
      <c r="C424" s="2">
        <v>43164</v>
      </c>
      <c r="D424" s="9">
        <v>0.42291666666666666</v>
      </c>
      <c r="E424" s="3">
        <f t="shared" ca="1" si="6"/>
        <v>817289821</v>
      </c>
      <c r="F424" t="s">
        <v>11</v>
      </c>
      <c r="G424" t="s">
        <v>14</v>
      </c>
      <c r="H424" s="1" t="s">
        <v>237</v>
      </c>
      <c r="I424" t="s">
        <v>22</v>
      </c>
      <c r="J424" s="4">
        <v>7.3</v>
      </c>
      <c r="K424" s="4">
        <v>20.48</v>
      </c>
      <c r="L424" s="4">
        <v>10</v>
      </c>
      <c r="M424" s="4">
        <v>59.67</v>
      </c>
      <c r="N424" s="4">
        <v>152.3871</v>
      </c>
      <c r="O424" s="4">
        <v>972.1</v>
      </c>
      <c r="P424" s="4">
        <v>3.8764546470000001</v>
      </c>
      <c r="Q424" s="4">
        <v>19.526</v>
      </c>
      <c r="R424" s="10"/>
    </row>
    <row r="425" spans="1:18" ht="28.8" x14ac:dyDescent="0.3">
      <c r="A425" t="s">
        <v>3</v>
      </c>
      <c r="B425" s="3" t="s">
        <v>281</v>
      </c>
      <c r="C425" s="2">
        <v>42898</v>
      </c>
      <c r="D425" s="9">
        <v>0.33541666666666664</v>
      </c>
      <c r="E425" s="3">
        <f t="shared" ca="1" si="6"/>
        <v>14243664</v>
      </c>
      <c r="F425" t="s">
        <v>12</v>
      </c>
      <c r="G425" t="s">
        <v>14</v>
      </c>
      <c r="H425" s="1" t="s">
        <v>237</v>
      </c>
      <c r="I425" t="s">
        <v>22</v>
      </c>
      <c r="J425" s="4">
        <v>7</v>
      </c>
      <c r="K425" s="4">
        <v>51.62</v>
      </c>
      <c r="L425" s="4">
        <v>8</v>
      </c>
      <c r="M425" s="4">
        <v>47.63</v>
      </c>
      <c r="N425" s="4">
        <v>142.8124</v>
      </c>
      <c r="O425" s="4">
        <v>203.36</v>
      </c>
      <c r="P425" s="4">
        <v>3.8764546470000001</v>
      </c>
      <c r="Q425" s="4">
        <v>24.943999999999999</v>
      </c>
      <c r="R425" s="10"/>
    </row>
    <row r="426" spans="1:18" x14ac:dyDescent="0.3">
      <c r="A426" t="s">
        <v>2</v>
      </c>
      <c r="B426" s="3" t="s">
        <v>280</v>
      </c>
      <c r="C426" s="2">
        <v>42832</v>
      </c>
      <c r="D426" s="9">
        <v>0.63680555555555551</v>
      </c>
      <c r="E426" s="3">
        <f t="shared" ca="1" si="6"/>
        <v>895967546</v>
      </c>
      <c r="F426" t="s">
        <v>12</v>
      </c>
      <c r="G426" t="s">
        <v>15</v>
      </c>
      <c r="H426" s="1" t="s">
        <v>236</v>
      </c>
      <c r="I426" t="s">
        <v>22</v>
      </c>
      <c r="J426" s="4">
        <v>1.5</v>
      </c>
      <c r="K426" s="4">
        <v>31.82</v>
      </c>
      <c r="L426" s="4">
        <v>1</v>
      </c>
      <c r="M426" s="4">
        <v>82.3</v>
      </c>
      <c r="N426" s="4">
        <v>167.20679999999999</v>
      </c>
      <c r="O426" s="4">
        <v>16.28</v>
      </c>
      <c r="P426" s="4">
        <v>3.8764546470000001</v>
      </c>
      <c r="Q426" s="4">
        <v>19.701000000000001</v>
      </c>
      <c r="R426" s="10"/>
    </row>
    <row r="427" spans="1:18" x14ac:dyDescent="0.3">
      <c r="A427" t="s">
        <v>3</v>
      </c>
      <c r="B427" s="3" t="s">
        <v>281</v>
      </c>
      <c r="C427" s="2">
        <v>42952</v>
      </c>
      <c r="D427" s="9">
        <v>0.82152777777777775</v>
      </c>
      <c r="E427" s="3">
        <f t="shared" ca="1" si="6"/>
        <v>220575224</v>
      </c>
      <c r="F427" t="s">
        <v>12</v>
      </c>
      <c r="G427" t="s">
        <v>14</v>
      </c>
      <c r="H427" s="1" t="s">
        <v>236</v>
      </c>
      <c r="I427" t="s">
        <v>22</v>
      </c>
      <c r="J427" s="4">
        <v>4.4000000000000004</v>
      </c>
      <c r="K427" s="4">
        <v>93.16</v>
      </c>
      <c r="L427" s="4">
        <v>9</v>
      </c>
      <c r="M427" s="4">
        <v>40.04</v>
      </c>
      <c r="N427" s="4">
        <v>167.0883</v>
      </c>
      <c r="O427" s="4">
        <v>365.49</v>
      </c>
      <c r="P427" s="4">
        <v>3.8764546470000001</v>
      </c>
      <c r="Q427" s="4">
        <v>89.894000000000005</v>
      </c>
      <c r="R427" s="10"/>
    </row>
    <row r="428" spans="1:18" x14ac:dyDescent="0.3">
      <c r="A428" t="s">
        <v>1</v>
      </c>
      <c r="B428" s="3" t="s">
        <v>279</v>
      </c>
      <c r="C428" s="2">
        <v>42813</v>
      </c>
      <c r="D428" s="9">
        <v>0.21875</v>
      </c>
      <c r="E428" s="3">
        <f t="shared" ca="1" si="6"/>
        <v>59117507</v>
      </c>
      <c r="F428" t="s">
        <v>12</v>
      </c>
      <c r="G428" t="s">
        <v>14</v>
      </c>
      <c r="H428" s="1" t="s">
        <v>236</v>
      </c>
      <c r="I428" t="s">
        <v>17</v>
      </c>
      <c r="J428" s="4">
        <v>9</v>
      </c>
      <c r="K428" s="4">
        <v>20.27</v>
      </c>
      <c r="L428" s="4">
        <v>7</v>
      </c>
      <c r="M428" s="4">
        <v>36.090000000000003</v>
      </c>
      <c r="N428" s="4">
        <v>167.42</v>
      </c>
      <c r="O428" s="4">
        <v>372.19</v>
      </c>
      <c r="P428" s="4">
        <v>3.8764546470000001</v>
      </c>
      <c r="Q428" s="4">
        <v>77.748999999999995</v>
      </c>
      <c r="R428" s="10"/>
    </row>
    <row r="429" spans="1:18" ht="28.8" x14ac:dyDescent="0.3">
      <c r="A429" t="s">
        <v>3</v>
      </c>
      <c r="B429" s="3" t="s">
        <v>281</v>
      </c>
      <c r="C429" s="2">
        <v>43177</v>
      </c>
      <c r="D429" s="9">
        <v>0.49583333333333335</v>
      </c>
      <c r="E429" s="3">
        <f t="shared" ca="1" si="6"/>
        <v>682647185</v>
      </c>
      <c r="F429" t="s">
        <v>11</v>
      </c>
      <c r="G429" t="s">
        <v>14</v>
      </c>
      <c r="H429" s="1" t="s">
        <v>237</v>
      </c>
      <c r="I429" t="s">
        <v>21</v>
      </c>
      <c r="J429" s="4">
        <v>9.4</v>
      </c>
      <c r="K429" s="4">
        <v>65.739999999999995</v>
      </c>
      <c r="L429" s="4">
        <v>3</v>
      </c>
      <c r="M429" s="4">
        <v>91.3</v>
      </c>
      <c r="N429" s="4">
        <v>141.3843</v>
      </c>
      <c r="O429" s="4">
        <v>62.61</v>
      </c>
      <c r="P429" s="4">
        <v>3.8764546470000001</v>
      </c>
      <c r="Q429" s="4">
        <v>87.965000000000003</v>
      </c>
      <c r="R429" s="10"/>
    </row>
    <row r="430" spans="1:18" x14ac:dyDescent="0.3">
      <c r="A430" t="s">
        <v>3</v>
      </c>
      <c r="B430" s="3" t="s">
        <v>281</v>
      </c>
      <c r="C430" s="2">
        <v>43444</v>
      </c>
      <c r="D430" s="9">
        <v>1.4583333333333334E-2</v>
      </c>
      <c r="E430" s="3">
        <f t="shared" ca="1" si="6"/>
        <v>204758141</v>
      </c>
      <c r="F430" t="s">
        <v>12</v>
      </c>
      <c r="G430" t="s">
        <v>15</v>
      </c>
      <c r="H430" s="1" t="s">
        <v>236</v>
      </c>
      <c r="I430" t="s">
        <v>20</v>
      </c>
      <c r="J430" s="4">
        <v>6</v>
      </c>
      <c r="K430" s="4">
        <v>94.92</v>
      </c>
      <c r="L430" s="4">
        <v>5</v>
      </c>
      <c r="M430" s="4">
        <v>74.81</v>
      </c>
      <c r="N430" s="4">
        <v>155.33869999999999</v>
      </c>
      <c r="O430" s="4">
        <v>336.35</v>
      </c>
      <c r="P430" s="4">
        <v>3.8764546470000001</v>
      </c>
      <c r="Q430" s="4">
        <v>29.571000000000002</v>
      </c>
      <c r="R430" s="10"/>
    </row>
    <row r="431" spans="1:18" x14ac:dyDescent="0.3">
      <c r="A431" t="s">
        <v>1</v>
      </c>
      <c r="B431" s="3" t="s">
        <v>279</v>
      </c>
      <c r="C431" s="2">
        <v>43062</v>
      </c>
      <c r="D431" s="9">
        <v>0.5541666666666667</v>
      </c>
      <c r="E431" s="3">
        <f t="shared" ca="1" si="6"/>
        <v>104211779</v>
      </c>
      <c r="F431" t="s">
        <v>11</v>
      </c>
      <c r="G431" t="s">
        <v>14</v>
      </c>
      <c r="H431" s="1" t="s">
        <v>235</v>
      </c>
      <c r="I431" t="s">
        <v>19</v>
      </c>
      <c r="J431" s="4">
        <v>8.6999999999999993</v>
      </c>
      <c r="K431" s="4">
        <v>87.4</v>
      </c>
      <c r="L431" s="4">
        <v>10</v>
      </c>
      <c r="M431" s="4">
        <v>53.17</v>
      </c>
      <c r="N431" s="4">
        <v>111.6831</v>
      </c>
      <c r="O431" s="4">
        <v>906.5</v>
      </c>
      <c r="P431" s="4">
        <v>3.8764546470000001</v>
      </c>
      <c r="Q431" s="4">
        <v>55.21</v>
      </c>
      <c r="R431" s="10"/>
    </row>
    <row r="432" spans="1:18" ht="28.8" x14ac:dyDescent="0.3">
      <c r="A432" t="s">
        <v>3</v>
      </c>
      <c r="B432" s="3" t="s">
        <v>281</v>
      </c>
      <c r="C432" s="2">
        <v>43077</v>
      </c>
      <c r="D432" s="9">
        <v>0.90902777777777777</v>
      </c>
      <c r="E432" s="3">
        <f t="shared" ca="1" si="6"/>
        <v>107128905</v>
      </c>
      <c r="F432" t="s">
        <v>12</v>
      </c>
      <c r="G432" t="s">
        <v>15</v>
      </c>
      <c r="H432" s="1" t="s">
        <v>237</v>
      </c>
      <c r="I432" t="s">
        <v>22</v>
      </c>
      <c r="J432" s="4">
        <v>8.6</v>
      </c>
      <c r="K432" s="4">
        <v>70.47</v>
      </c>
      <c r="L432" s="4">
        <v>2</v>
      </c>
      <c r="M432" s="4">
        <v>20.18</v>
      </c>
      <c r="N432" s="4">
        <v>131.7766</v>
      </c>
      <c r="O432" s="4">
        <v>138.16</v>
      </c>
      <c r="P432" s="4">
        <v>3.8764546470000001</v>
      </c>
      <c r="Q432" s="4">
        <v>46.85</v>
      </c>
      <c r="R432" s="10"/>
    </row>
    <row r="433" spans="1:18" x14ac:dyDescent="0.3">
      <c r="A433" t="s">
        <v>2</v>
      </c>
      <c r="B433" s="3" t="s">
        <v>280</v>
      </c>
      <c r="C433" s="2">
        <v>43244</v>
      </c>
      <c r="D433" s="9">
        <v>0.84097222222222223</v>
      </c>
      <c r="E433" s="3">
        <f t="shared" ca="1" si="6"/>
        <v>654833033</v>
      </c>
      <c r="F433" t="s">
        <v>12</v>
      </c>
      <c r="G433" t="s">
        <v>15</v>
      </c>
      <c r="H433" s="1" t="s">
        <v>235</v>
      </c>
      <c r="I433" t="s">
        <v>21</v>
      </c>
      <c r="J433" s="4">
        <v>2.1</v>
      </c>
      <c r="K433" s="4">
        <v>82.9</v>
      </c>
      <c r="L433" s="4">
        <v>2</v>
      </c>
      <c r="M433" s="4">
        <v>63.57</v>
      </c>
      <c r="N433" s="4">
        <v>187.45939999999999</v>
      </c>
      <c r="O433" s="4">
        <v>86.54</v>
      </c>
      <c r="P433" s="4">
        <v>3.8764546470000001</v>
      </c>
      <c r="Q433" s="4">
        <v>15.18</v>
      </c>
      <c r="R433" s="10"/>
    </row>
    <row r="434" spans="1:18" x14ac:dyDescent="0.3">
      <c r="A434" t="s">
        <v>1</v>
      </c>
      <c r="B434" s="3" t="s">
        <v>279</v>
      </c>
      <c r="C434" s="2">
        <v>43402</v>
      </c>
      <c r="D434" s="9">
        <v>0.93819444444444444</v>
      </c>
      <c r="E434" s="3">
        <f t="shared" ca="1" si="6"/>
        <v>120007959</v>
      </c>
      <c r="F434" t="s">
        <v>11</v>
      </c>
      <c r="G434" t="s">
        <v>15</v>
      </c>
      <c r="H434" s="1" t="s">
        <v>235</v>
      </c>
      <c r="I434" t="s">
        <v>18</v>
      </c>
      <c r="J434" s="4">
        <v>2.9</v>
      </c>
      <c r="K434" s="4">
        <v>46.95</v>
      </c>
      <c r="L434" s="4">
        <v>6</v>
      </c>
      <c r="M434" s="4">
        <v>90.83</v>
      </c>
      <c r="N434" s="4">
        <v>167.1301</v>
      </c>
      <c r="O434" s="4">
        <v>140.76</v>
      </c>
      <c r="P434" s="4">
        <v>3.8764546470000001</v>
      </c>
      <c r="Q434" s="4">
        <v>79.3</v>
      </c>
      <c r="R434" s="10"/>
    </row>
    <row r="435" spans="1:18" ht="28.8" x14ac:dyDescent="0.3">
      <c r="A435" t="s">
        <v>3</v>
      </c>
      <c r="B435" s="3" t="s">
        <v>281</v>
      </c>
      <c r="C435" s="2">
        <v>43117</v>
      </c>
      <c r="D435" s="9">
        <v>0.10694444444444444</v>
      </c>
      <c r="E435" s="3">
        <f t="shared" ca="1" si="6"/>
        <v>144496754</v>
      </c>
      <c r="F435" t="s">
        <v>12</v>
      </c>
      <c r="G435" t="s">
        <v>15</v>
      </c>
      <c r="H435" s="1" t="s">
        <v>237</v>
      </c>
      <c r="I435" t="s">
        <v>22</v>
      </c>
      <c r="J435" s="4">
        <v>6.3</v>
      </c>
      <c r="K435" s="4">
        <v>86.4</v>
      </c>
      <c r="L435" s="4">
        <v>7</v>
      </c>
      <c r="M435" s="4">
        <v>48.9</v>
      </c>
      <c r="N435" s="4">
        <v>132.69220000000001</v>
      </c>
      <c r="O435" s="4">
        <v>668.78</v>
      </c>
      <c r="P435" s="4">
        <v>3.8764546470000001</v>
      </c>
      <c r="Q435" s="4">
        <v>10.87</v>
      </c>
      <c r="R435" s="10"/>
    </row>
    <row r="436" spans="1:18" ht="28.8" x14ac:dyDescent="0.3">
      <c r="A436" t="s">
        <v>3</v>
      </c>
      <c r="B436" s="3" t="s">
        <v>281</v>
      </c>
      <c r="C436" s="2">
        <v>43174</v>
      </c>
      <c r="D436" s="9">
        <v>0.9819444444444444</v>
      </c>
      <c r="E436" s="3">
        <f t="shared" ca="1" si="6"/>
        <v>121099224</v>
      </c>
      <c r="F436" t="s">
        <v>11</v>
      </c>
      <c r="G436" t="s">
        <v>15</v>
      </c>
      <c r="H436" s="1" t="s">
        <v>237</v>
      </c>
      <c r="I436" t="s">
        <v>22</v>
      </c>
      <c r="J436" s="4">
        <v>7.3</v>
      </c>
      <c r="K436" s="4">
        <v>90.07</v>
      </c>
      <c r="L436" s="4">
        <v>1</v>
      </c>
      <c r="M436" s="4">
        <v>94.26</v>
      </c>
      <c r="N436" s="4">
        <v>173.45820000000001</v>
      </c>
      <c r="O436" s="4">
        <v>47.44</v>
      </c>
      <c r="P436" s="4">
        <v>3.8764546470000001</v>
      </c>
      <c r="Q436" s="4">
        <v>61.87</v>
      </c>
      <c r="R436" s="10"/>
    </row>
    <row r="437" spans="1:18" x14ac:dyDescent="0.3">
      <c r="A437" t="s">
        <v>2</v>
      </c>
      <c r="B437" s="3" t="s">
        <v>280</v>
      </c>
      <c r="C437" s="2">
        <v>42815</v>
      </c>
      <c r="D437" s="9">
        <v>0.10208333333333333</v>
      </c>
      <c r="E437" s="3">
        <f t="shared" ca="1" si="6"/>
        <v>494381604</v>
      </c>
      <c r="F437" t="s">
        <v>12</v>
      </c>
      <c r="G437" t="s">
        <v>15</v>
      </c>
      <c r="H437" s="1" t="s">
        <v>235</v>
      </c>
      <c r="I437" t="s">
        <v>20</v>
      </c>
      <c r="J437" s="4">
        <v>8</v>
      </c>
      <c r="K437" s="4">
        <v>63.77</v>
      </c>
      <c r="L437" s="4">
        <v>9</v>
      </c>
      <c r="M437" s="4">
        <v>37.65</v>
      </c>
      <c r="N437" s="4">
        <v>180.38650000000001</v>
      </c>
      <c r="O437" s="4">
        <v>893.16</v>
      </c>
      <c r="P437" s="4">
        <v>3.8764546470000001</v>
      </c>
      <c r="Q437" s="4">
        <v>98.61</v>
      </c>
      <c r="R437" s="10"/>
    </row>
    <row r="438" spans="1:18" x14ac:dyDescent="0.3">
      <c r="A438" t="s">
        <v>2</v>
      </c>
      <c r="B438" s="3" t="s">
        <v>280</v>
      </c>
      <c r="C438" s="2">
        <v>43023</v>
      </c>
      <c r="D438" s="9">
        <v>0.53472222222222221</v>
      </c>
      <c r="E438" s="3">
        <f t="shared" ca="1" si="6"/>
        <v>273115700</v>
      </c>
      <c r="F438" t="s">
        <v>12</v>
      </c>
      <c r="G438" t="s">
        <v>14</v>
      </c>
      <c r="H438" s="1" t="s">
        <v>235</v>
      </c>
      <c r="I438" t="s">
        <v>20</v>
      </c>
      <c r="J438" s="4">
        <v>7.7</v>
      </c>
      <c r="K438" s="4">
        <v>88.79</v>
      </c>
      <c r="L438" s="4">
        <v>4</v>
      </c>
      <c r="M438" s="4">
        <v>98.16</v>
      </c>
      <c r="N438" s="4">
        <v>185.48599999999999</v>
      </c>
      <c r="O438" s="4">
        <v>331.72</v>
      </c>
      <c r="P438" s="4">
        <v>3.8764546470000001</v>
      </c>
      <c r="Q438" s="4">
        <v>18.786000000000001</v>
      </c>
      <c r="R438" s="10"/>
    </row>
    <row r="439" spans="1:18" ht="28.8" x14ac:dyDescent="0.3">
      <c r="A439" t="s">
        <v>1</v>
      </c>
      <c r="B439" s="3" t="s">
        <v>279</v>
      </c>
      <c r="C439" s="2">
        <v>42863</v>
      </c>
      <c r="D439" s="9">
        <v>3.4027777777777775E-2</v>
      </c>
      <c r="E439" s="3">
        <f t="shared" ca="1" si="6"/>
        <v>654931616</v>
      </c>
      <c r="F439" t="s">
        <v>12</v>
      </c>
      <c r="G439" t="s">
        <v>15</v>
      </c>
      <c r="H439" s="1" t="s">
        <v>237</v>
      </c>
      <c r="I439" t="s">
        <v>19</v>
      </c>
      <c r="J439" s="4">
        <v>6.6</v>
      </c>
      <c r="K439" s="4">
        <v>47.01</v>
      </c>
      <c r="L439" s="4">
        <v>6</v>
      </c>
      <c r="M439" s="4">
        <v>80.28</v>
      </c>
      <c r="N439" s="4">
        <v>118.6545</v>
      </c>
      <c r="O439" s="4">
        <v>203.94</v>
      </c>
      <c r="P439" s="4">
        <v>3.8764546470000001</v>
      </c>
      <c r="Q439" s="4">
        <v>58.048999999999999</v>
      </c>
      <c r="R439" s="10"/>
    </row>
    <row r="440" spans="1:18" x14ac:dyDescent="0.3">
      <c r="A440" t="s">
        <v>2</v>
      </c>
      <c r="B440" s="3" t="s">
        <v>280</v>
      </c>
      <c r="C440" s="2">
        <v>43352</v>
      </c>
      <c r="D440" s="9">
        <v>0.18472222222222223</v>
      </c>
      <c r="E440" s="3">
        <f t="shared" ca="1" si="6"/>
        <v>495223747</v>
      </c>
      <c r="F440" t="s">
        <v>12</v>
      </c>
      <c r="G440" t="s">
        <v>14</v>
      </c>
      <c r="H440" s="1" t="s">
        <v>235</v>
      </c>
      <c r="I440" t="s">
        <v>21</v>
      </c>
      <c r="J440" s="4">
        <v>8.5</v>
      </c>
      <c r="K440" s="4">
        <v>18.079999999999998</v>
      </c>
      <c r="L440" s="4">
        <v>4</v>
      </c>
      <c r="M440" s="4">
        <v>96.05</v>
      </c>
      <c r="N440" s="4">
        <v>160.43260000000001</v>
      </c>
      <c r="O440" s="4">
        <v>68.16</v>
      </c>
      <c r="P440" s="4">
        <v>3.8764546470000001</v>
      </c>
      <c r="Q440" s="4">
        <v>25.69</v>
      </c>
      <c r="R440" s="10"/>
    </row>
    <row r="441" spans="1:18" ht="28.8" x14ac:dyDescent="0.3">
      <c r="A441" t="s">
        <v>2</v>
      </c>
      <c r="B441" s="3" t="s">
        <v>280</v>
      </c>
      <c r="C441" s="2">
        <v>43099</v>
      </c>
      <c r="D441" s="9">
        <v>0.17986111111111111</v>
      </c>
      <c r="E441" s="3">
        <f t="shared" ca="1" si="6"/>
        <v>478068353</v>
      </c>
      <c r="F441" t="s">
        <v>11</v>
      </c>
      <c r="G441" t="s">
        <v>15</v>
      </c>
      <c r="H441" s="1" t="s">
        <v>237</v>
      </c>
      <c r="I441" t="s">
        <v>18</v>
      </c>
      <c r="J441" s="4">
        <v>4</v>
      </c>
      <c r="K441" s="4">
        <v>28.67</v>
      </c>
      <c r="L441" s="4">
        <v>8</v>
      </c>
      <c r="M441" s="4">
        <v>13.71</v>
      </c>
      <c r="N441" s="4">
        <v>183.29179999999999</v>
      </c>
      <c r="O441" s="4">
        <v>326.88</v>
      </c>
      <c r="P441" s="4">
        <v>3.8764546470000001</v>
      </c>
      <c r="Q441" s="4">
        <v>64.599999999999994</v>
      </c>
      <c r="R441" s="10"/>
    </row>
    <row r="442" spans="1:18" x14ac:dyDescent="0.3">
      <c r="A442" t="s">
        <v>2</v>
      </c>
      <c r="B442" s="3" t="s">
        <v>280</v>
      </c>
      <c r="C442" s="2">
        <v>43225</v>
      </c>
      <c r="D442" s="9">
        <v>1.4583333333333334E-2</v>
      </c>
      <c r="E442" s="3">
        <f t="shared" ca="1" si="6"/>
        <v>840272144</v>
      </c>
      <c r="F442" t="s">
        <v>12</v>
      </c>
      <c r="G442" t="s">
        <v>14</v>
      </c>
      <c r="H442" s="1" t="s">
        <v>236</v>
      </c>
      <c r="I442" t="s">
        <v>21</v>
      </c>
      <c r="J442" s="4">
        <v>4</v>
      </c>
      <c r="K442" s="4">
        <v>35.479999999999997</v>
      </c>
      <c r="L442" s="4">
        <v>5</v>
      </c>
      <c r="M442" s="4">
        <v>94.44</v>
      </c>
      <c r="N442" s="4">
        <v>147.7527</v>
      </c>
      <c r="O442" s="4">
        <v>87.2</v>
      </c>
      <c r="P442" s="4">
        <v>3.8764546470000001</v>
      </c>
      <c r="Q442" s="4">
        <v>74.61</v>
      </c>
      <c r="R442" s="10"/>
    </row>
    <row r="443" spans="1:18" ht="28.8" x14ac:dyDescent="0.3">
      <c r="A443" t="s">
        <v>3</v>
      </c>
      <c r="B443" s="3" t="s">
        <v>281</v>
      </c>
      <c r="C443" s="2">
        <v>43083</v>
      </c>
      <c r="D443" s="9">
        <v>0.57847222222222228</v>
      </c>
      <c r="E443" s="3">
        <f t="shared" ca="1" si="6"/>
        <v>897214976</v>
      </c>
      <c r="F443" t="s">
        <v>11</v>
      </c>
      <c r="G443" t="s">
        <v>14</v>
      </c>
      <c r="H443" s="1" t="s">
        <v>237</v>
      </c>
      <c r="I443" t="s">
        <v>20</v>
      </c>
      <c r="J443" s="4">
        <v>3</v>
      </c>
      <c r="K443" s="4">
        <v>32.42</v>
      </c>
      <c r="L443" s="4">
        <v>8</v>
      </c>
      <c r="M443" s="4">
        <v>51.56</v>
      </c>
      <c r="N443" s="4">
        <v>123.3981</v>
      </c>
      <c r="O443" s="4">
        <v>707.44</v>
      </c>
      <c r="P443" s="4">
        <v>3.8764546470000001</v>
      </c>
      <c r="Q443" s="4">
        <v>60.05</v>
      </c>
      <c r="R443" s="10"/>
    </row>
    <row r="444" spans="1:18" ht="28.8" x14ac:dyDescent="0.3">
      <c r="A444" t="s">
        <v>1</v>
      </c>
      <c r="B444" s="3" t="s">
        <v>279</v>
      </c>
      <c r="C444" s="2">
        <v>42844</v>
      </c>
      <c r="D444" s="9">
        <v>0.71944444444444444</v>
      </c>
      <c r="E444" s="3">
        <f t="shared" ca="1" si="6"/>
        <v>590288914</v>
      </c>
      <c r="F444" t="s">
        <v>11</v>
      </c>
      <c r="G444" t="s">
        <v>14</v>
      </c>
      <c r="H444" s="1" t="s">
        <v>237</v>
      </c>
      <c r="I444" t="s">
        <v>19</v>
      </c>
      <c r="J444" s="4">
        <v>2</v>
      </c>
      <c r="K444" s="4">
        <v>58.36</v>
      </c>
      <c r="L444" s="4">
        <v>9</v>
      </c>
      <c r="M444" s="4">
        <v>49.02</v>
      </c>
      <c r="N444" s="4">
        <v>180.0076</v>
      </c>
      <c r="O444" s="4">
        <v>802.89</v>
      </c>
      <c r="P444" s="4">
        <v>3.8764546470000001</v>
      </c>
      <c r="Q444" s="4">
        <v>25.63</v>
      </c>
      <c r="R444" s="10"/>
    </row>
    <row r="445" spans="1:18" x14ac:dyDescent="0.3">
      <c r="A445" t="s">
        <v>2</v>
      </c>
      <c r="B445" s="3" t="s">
        <v>280</v>
      </c>
      <c r="C445" s="2">
        <v>42960</v>
      </c>
      <c r="D445" s="9">
        <v>0.18958333333333333</v>
      </c>
      <c r="E445" s="3">
        <f t="shared" ca="1" si="6"/>
        <v>383550323</v>
      </c>
      <c r="F445" t="s">
        <v>12</v>
      </c>
      <c r="G445" t="s">
        <v>15</v>
      </c>
      <c r="H445" s="1" t="s">
        <v>235</v>
      </c>
      <c r="I445" t="s">
        <v>22</v>
      </c>
      <c r="J445" s="4">
        <v>2</v>
      </c>
      <c r="K445" s="4">
        <v>66.75</v>
      </c>
      <c r="L445" s="4">
        <v>1</v>
      </c>
      <c r="M445" s="4">
        <v>95.09</v>
      </c>
      <c r="N445" s="4">
        <v>189.0069</v>
      </c>
      <c r="O445" s="4">
        <v>12.78</v>
      </c>
      <c r="P445" s="4">
        <v>3.8764546470000001</v>
      </c>
      <c r="Q445" s="4">
        <v>44.77</v>
      </c>
      <c r="R445" s="10"/>
    </row>
    <row r="446" spans="1:18" x14ac:dyDescent="0.3">
      <c r="A446" t="s">
        <v>1</v>
      </c>
      <c r="B446" s="3" t="s">
        <v>279</v>
      </c>
      <c r="C446" s="2">
        <v>43325</v>
      </c>
      <c r="D446" s="9">
        <v>0.7</v>
      </c>
      <c r="E446" s="3">
        <f t="shared" ca="1" si="6"/>
        <v>528711942</v>
      </c>
      <c r="F446" t="s">
        <v>11</v>
      </c>
      <c r="G446" t="s">
        <v>15</v>
      </c>
      <c r="H446" s="1" t="s">
        <v>236</v>
      </c>
      <c r="I446" t="s">
        <v>20</v>
      </c>
      <c r="J446" s="4">
        <v>6</v>
      </c>
      <c r="K446" s="4">
        <v>15.43</v>
      </c>
      <c r="L446" s="4">
        <v>7</v>
      </c>
      <c r="M446" s="4">
        <v>30.98</v>
      </c>
      <c r="N446" s="4">
        <v>178.916</v>
      </c>
      <c r="O446" s="4">
        <v>133.69999999999999</v>
      </c>
      <c r="P446" s="4">
        <v>3.8764546470000001</v>
      </c>
      <c r="Q446" s="4">
        <v>32.048999999999999</v>
      </c>
      <c r="R446" s="10"/>
    </row>
    <row r="447" spans="1:18" ht="28.8" x14ac:dyDescent="0.3">
      <c r="A447" t="s">
        <v>3</v>
      </c>
      <c r="B447" s="3" t="s">
        <v>281</v>
      </c>
      <c r="C447" s="2">
        <v>42937</v>
      </c>
      <c r="D447" s="9">
        <v>0.4909722222222222</v>
      </c>
      <c r="E447" s="3">
        <f t="shared" ca="1" si="6"/>
        <v>970187126</v>
      </c>
      <c r="F447" t="s">
        <v>11</v>
      </c>
      <c r="G447" t="s">
        <v>14</v>
      </c>
      <c r="H447" s="1" t="s">
        <v>237</v>
      </c>
      <c r="I447" t="s">
        <v>17</v>
      </c>
      <c r="J447" s="4">
        <v>9</v>
      </c>
      <c r="K447" s="4">
        <v>90.42</v>
      </c>
      <c r="L447" s="4">
        <v>1</v>
      </c>
      <c r="M447" s="4">
        <v>28.71</v>
      </c>
      <c r="N447" s="4">
        <v>167.7064</v>
      </c>
      <c r="O447" s="4">
        <v>19.149999999999999</v>
      </c>
      <c r="P447" s="4">
        <v>3.8764546470000001</v>
      </c>
      <c r="Q447" s="4">
        <v>14.625999999999999</v>
      </c>
      <c r="R447" s="10"/>
    </row>
    <row r="448" spans="1:18" ht="28.8" x14ac:dyDescent="0.3">
      <c r="A448" t="s">
        <v>2</v>
      </c>
      <c r="B448" s="3" t="s">
        <v>280</v>
      </c>
      <c r="C448" s="2">
        <v>42956</v>
      </c>
      <c r="D448" s="9">
        <v>0.7729166666666667</v>
      </c>
      <c r="E448" s="3">
        <f t="shared" ca="1" si="6"/>
        <v>22760945</v>
      </c>
      <c r="F448" t="s">
        <v>12</v>
      </c>
      <c r="G448" t="s">
        <v>14</v>
      </c>
      <c r="H448" s="1" t="s">
        <v>237</v>
      </c>
      <c r="I448" t="s">
        <v>21</v>
      </c>
      <c r="J448" s="4">
        <v>9</v>
      </c>
      <c r="K448" s="4">
        <v>40.81</v>
      </c>
      <c r="L448" s="4">
        <v>10</v>
      </c>
      <c r="M448" s="4">
        <v>63.24</v>
      </c>
      <c r="N448" s="4">
        <v>185.88980000000001</v>
      </c>
      <c r="O448" s="4">
        <v>276.60000000000002</v>
      </c>
      <c r="P448" s="4">
        <v>3.8764546470000001</v>
      </c>
      <c r="Q448" s="4">
        <v>14.444000000000001</v>
      </c>
      <c r="R448" s="10"/>
    </row>
    <row r="449" spans="1:18" ht="28.8" x14ac:dyDescent="0.3">
      <c r="A449" t="s">
        <v>2</v>
      </c>
      <c r="B449" s="3" t="s">
        <v>280</v>
      </c>
      <c r="C449" s="2">
        <v>42957</v>
      </c>
      <c r="D449" s="9">
        <v>0.28680555555555554</v>
      </c>
      <c r="E449" s="3">
        <f t="shared" ca="1" si="6"/>
        <v>855450815</v>
      </c>
      <c r="F449" t="s">
        <v>12</v>
      </c>
      <c r="G449" t="s">
        <v>15</v>
      </c>
      <c r="H449" s="1" t="s">
        <v>237</v>
      </c>
      <c r="I449" t="s">
        <v>22</v>
      </c>
      <c r="J449" s="4">
        <v>8</v>
      </c>
      <c r="K449" s="4">
        <v>95.46</v>
      </c>
      <c r="L449" s="4">
        <v>3</v>
      </c>
      <c r="M449" s="4">
        <v>27.26</v>
      </c>
      <c r="N449" s="4">
        <v>183.94820000000001</v>
      </c>
      <c r="O449" s="4">
        <v>137.22</v>
      </c>
      <c r="P449" s="4">
        <v>3.8764546470000001</v>
      </c>
      <c r="Q449" s="4">
        <v>40.718000000000004</v>
      </c>
      <c r="R449" s="10"/>
    </row>
    <row r="450" spans="1:18" ht="28.8" x14ac:dyDescent="0.3">
      <c r="A450" t="s">
        <v>3</v>
      </c>
      <c r="B450" s="3" t="s">
        <v>281</v>
      </c>
      <c r="C450" s="2">
        <v>42846</v>
      </c>
      <c r="D450" s="9">
        <v>0.28680555555555554</v>
      </c>
      <c r="E450" s="3">
        <f t="shared" ca="1" si="6"/>
        <v>211280290</v>
      </c>
      <c r="F450" t="s">
        <v>11</v>
      </c>
      <c r="G450" t="s">
        <v>14</v>
      </c>
      <c r="H450" s="1" t="s">
        <v>237</v>
      </c>
      <c r="I450" t="s">
        <v>17</v>
      </c>
      <c r="J450" s="4">
        <v>10</v>
      </c>
      <c r="K450" s="4">
        <v>98.13</v>
      </c>
      <c r="L450" s="4">
        <v>1</v>
      </c>
      <c r="M450" s="4">
        <v>53.9</v>
      </c>
      <c r="N450" s="4">
        <v>141.0522</v>
      </c>
      <c r="O450" s="4">
        <v>27.07</v>
      </c>
      <c r="P450" s="4">
        <v>3.8764546470000001</v>
      </c>
      <c r="Q450" s="4">
        <v>82.43</v>
      </c>
      <c r="R450" s="10"/>
    </row>
    <row r="451" spans="1:18" ht="28.8" x14ac:dyDescent="0.3">
      <c r="A451" t="s">
        <v>3</v>
      </c>
      <c r="B451" s="3" t="s">
        <v>281</v>
      </c>
      <c r="C451" s="2">
        <v>43053</v>
      </c>
      <c r="D451" s="9">
        <v>0.30625000000000002</v>
      </c>
      <c r="E451" s="3">
        <f t="shared" ref="E451:E514" ca="1" si="7">RANDBETWEEN(10000000,1000000000)</f>
        <v>250398250</v>
      </c>
      <c r="F451" t="s">
        <v>11</v>
      </c>
      <c r="G451" t="s">
        <v>14</v>
      </c>
      <c r="H451" s="1" t="s">
        <v>237</v>
      </c>
      <c r="I451" t="s">
        <v>20</v>
      </c>
      <c r="J451" s="4">
        <v>6</v>
      </c>
      <c r="K451" s="4">
        <v>55.95</v>
      </c>
      <c r="L451" s="4">
        <v>1</v>
      </c>
      <c r="M451" s="4">
        <v>40.020000000000003</v>
      </c>
      <c r="N451" s="4">
        <v>130.87690000000001</v>
      </c>
      <c r="O451" s="4">
        <v>39.119999999999997</v>
      </c>
      <c r="P451" s="4">
        <v>3.8764546470000001</v>
      </c>
      <c r="Q451" s="4">
        <v>68.2</v>
      </c>
      <c r="R451" s="10"/>
    </row>
    <row r="452" spans="1:18" x14ac:dyDescent="0.3">
      <c r="A452" t="s">
        <v>3</v>
      </c>
      <c r="B452" s="3" t="s">
        <v>281</v>
      </c>
      <c r="C452" s="2">
        <v>43118</v>
      </c>
      <c r="D452" s="9">
        <v>0.32083333333333336</v>
      </c>
      <c r="E452" s="3">
        <f t="shared" ca="1" si="7"/>
        <v>28880912</v>
      </c>
      <c r="F452" t="s">
        <v>11</v>
      </c>
      <c r="G452" t="s">
        <v>15</v>
      </c>
      <c r="H452" s="1" t="s">
        <v>236</v>
      </c>
      <c r="I452" t="s">
        <v>18</v>
      </c>
      <c r="J452" s="4">
        <v>3</v>
      </c>
      <c r="K452" s="4">
        <v>96.5</v>
      </c>
      <c r="L452" s="4">
        <v>6</v>
      </c>
      <c r="M452" s="4">
        <v>61.65</v>
      </c>
      <c r="N452" s="4">
        <v>124.09699999999999</v>
      </c>
      <c r="O452" s="4">
        <v>448.26</v>
      </c>
      <c r="P452" s="4">
        <v>3.8764546470000001</v>
      </c>
      <c r="Q452" s="4">
        <v>80.12</v>
      </c>
      <c r="R452" s="10"/>
    </row>
    <row r="453" spans="1:18" x14ac:dyDescent="0.3">
      <c r="A453" t="s">
        <v>3</v>
      </c>
      <c r="B453" s="3" t="s">
        <v>281</v>
      </c>
      <c r="C453" s="2">
        <v>42897</v>
      </c>
      <c r="D453" s="9">
        <v>2.4305555555555556E-2</v>
      </c>
      <c r="E453" s="3">
        <f t="shared" ca="1" si="7"/>
        <v>621294364</v>
      </c>
      <c r="F453" t="s">
        <v>12</v>
      </c>
      <c r="G453" t="s">
        <v>15</v>
      </c>
      <c r="H453" s="1" t="s">
        <v>236</v>
      </c>
      <c r="I453" t="s">
        <v>18</v>
      </c>
      <c r="J453" s="4">
        <v>6.4</v>
      </c>
      <c r="K453" s="4">
        <v>92.05</v>
      </c>
      <c r="L453" s="4">
        <v>6</v>
      </c>
      <c r="M453" s="4">
        <v>28.96</v>
      </c>
      <c r="N453" s="4">
        <v>137.3348</v>
      </c>
      <c r="O453" s="4">
        <v>132.06</v>
      </c>
      <c r="P453" s="4">
        <v>3.8764546470000001</v>
      </c>
      <c r="Q453" s="4">
        <v>93.02</v>
      </c>
      <c r="R453" s="10"/>
    </row>
    <row r="454" spans="1:18" x14ac:dyDescent="0.3">
      <c r="A454" t="s">
        <v>1</v>
      </c>
      <c r="B454" s="3" t="s">
        <v>279</v>
      </c>
      <c r="C454" s="2">
        <v>43054</v>
      </c>
      <c r="D454" s="9">
        <v>1.9444444444444445E-2</v>
      </c>
      <c r="E454" s="3">
        <f t="shared" ca="1" si="7"/>
        <v>576462542</v>
      </c>
      <c r="F454" t="s">
        <v>11</v>
      </c>
      <c r="G454" t="s">
        <v>15</v>
      </c>
      <c r="H454" s="1" t="s">
        <v>235</v>
      </c>
      <c r="I454" t="s">
        <v>21</v>
      </c>
      <c r="J454" s="4">
        <v>9.6</v>
      </c>
      <c r="K454" s="4">
        <v>40.17</v>
      </c>
      <c r="L454" s="4">
        <v>5</v>
      </c>
      <c r="M454" s="4">
        <v>43.6</v>
      </c>
      <c r="N454" s="4">
        <v>101.23439999999999</v>
      </c>
      <c r="O454" s="4">
        <v>318.05</v>
      </c>
      <c r="P454" s="4">
        <v>3.8764546470000001</v>
      </c>
      <c r="Q454" s="4">
        <v>36.72</v>
      </c>
      <c r="R454" s="10"/>
    </row>
    <row r="455" spans="1:18" x14ac:dyDescent="0.3">
      <c r="A455" t="s">
        <v>1</v>
      </c>
      <c r="B455" s="3" t="s">
        <v>279</v>
      </c>
      <c r="C455" s="2">
        <v>43132</v>
      </c>
      <c r="D455" s="9">
        <v>0.66111111111111109</v>
      </c>
      <c r="E455" s="3">
        <f t="shared" ca="1" si="7"/>
        <v>315403534</v>
      </c>
      <c r="F455" t="s">
        <v>12</v>
      </c>
      <c r="G455" t="s">
        <v>15</v>
      </c>
      <c r="H455" s="1" t="s">
        <v>235</v>
      </c>
      <c r="I455" t="s">
        <v>17</v>
      </c>
      <c r="J455" s="4">
        <v>8</v>
      </c>
      <c r="K455" s="4">
        <v>23.25</v>
      </c>
      <c r="L455" s="4">
        <v>1</v>
      </c>
      <c r="M455" s="4">
        <v>88</v>
      </c>
      <c r="N455" s="4">
        <v>104.58750000000001</v>
      </c>
      <c r="O455" s="4">
        <v>25</v>
      </c>
      <c r="P455" s="4">
        <v>3.8764546470000001</v>
      </c>
      <c r="Q455" s="4">
        <v>48.47</v>
      </c>
      <c r="R455" s="10"/>
    </row>
    <row r="456" spans="1:18" x14ac:dyDescent="0.3">
      <c r="A456" t="s">
        <v>1</v>
      </c>
      <c r="B456" s="3" t="s">
        <v>279</v>
      </c>
      <c r="C456" s="2">
        <v>42947</v>
      </c>
      <c r="D456" s="9">
        <v>0.16527777777777777</v>
      </c>
      <c r="E456" s="3">
        <f t="shared" ca="1" si="7"/>
        <v>788440854</v>
      </c>
      <c r="F456" t="s">
        <v>12</v>
      </c>
      <c r="G456" t="s">
        <v>14</v>
      </c>
      <c r="H456" s="1" t="s">
        <v>236</v>
      </c>
      <c r="I456" t="s">
        <v>18</v>
      </c>
      <c r="J456" s="4">
        <v>3.6</v>
      </c>
      <c r="K456" s="4">
        <v>25.89</v>
      </c>
      <c r="L456" s="4">
        <v>4</v>
      </c>
      <c r="M456" s="4">
        <v>24.71</v>
      </c>
      <c r="N456" s="4">
        <v>101.794</v>
      </c>
      <c r="O456" s="4">
        <v>83.08</v>
      </c>
      <c r="P456" s="4">
        <v>3.8764546470000001</v>
      </c>
      <c r="Q456" s="4">
        <v>83.82</v>
      </c>
      <c r="R456" s="10"/>
    </row>
    <row r="457" spans="1:18" x14ac:dyDescent="0.3">
      <c r="A457" t="s">
        <v>3</v>
      </c>
      <c r="B457" s="3" t="s">
        <v>281</v>
      </c>
      <c r="C457" s="2">
        <v>43121</v>
      </c>
      <c r="D457" s="9">
        <v>0.63194444444444442</v>
      </c>
      <c r="E457" s="3">
        <f t="shared" ca="1" si="7"/>
        <v>47168071</v>
      </c>
      <c r="F457" t="s">
        <v>11</v>
      </c>
      <c r="G457" t="s">
        <v>14</v>
      </c>
      <c r="H457" s="1" t="s">
        <v>236</v>
      </c>
      <c r="I457" t="s">
        <v>22</v>
      </c>
      <c r="J457" s="4">
        <v>8.1999999999999993</v>
      </c>
      <c r="K457" s="4">
        <v>85.18</v>
      </c>
      <c r="L457" s="4">
        <v>5</v>
      </c>
      <c r="M457" s="4">
        <v>51.11</v>
      </c>
      <c r="N457" s="4">
        <v>154.8843</v>
      </c>
      <c r="O457" s="4">
        <v>147.80000000000001</v>
      </c>
      <c r="P457" s="4">
        <v>3.8764546470000001</v>
      </c>
      <c r="Q457" s="4">
        <v>17.135000000000002</v>
      </c>
      <c r="R457" s="10"/>
    </row>
    <row r="458" spans="1:18" ht="28.8" x14ac:dyDescent="0.3">
      <c r="A458" t="s">
        <v>3</v>
      </c>
      <c r="B458" s="3" t="s">
        <v>281</v>
      </c>
      <c r="C458" s="2">
        <v>43448</v>
      </c>
      <c r="D458" s="9">
        <v>0.92847222222222225</v>
      </c>
      <c r="E458" s="3">
        <f t="shared" ca="1" si="7"/>
        <v>808577381</v>
      </c>
      <c r="F458" t="s">
        <v>11</v>
      </c>
      <c r="G458" t="s">
        <v>14</v>
      </c>
      <c r="H458" s="1" t="s">
        <v>237</v>
      </c>
      <c r="I458" t="s">
        <v>21</v>
      </c>
      <c r="J458" s="4">
        <v>1.1000000000000001</v>
      </c>
      <c r="K458" s="4">
        <v>34.979999999999997</v>
      </c>
      <c r="L458" s="4">
        <v>9</v>
      </c>
      <c r="M458" s="4">
        <v>98.47</v>
      </c>
      <c r="N458" s="4">
        <v>116.10380000000001</v>
      </c>
      <c r="O458" s="4">
        <v>696.6</v>
      </c>
      <c r="P458" s="4">
        <v>3.8764546470000001</v>
      </c>
      <c r="Q458" s="4">
        <v>11.013</v>
      </c>
      <c r="R458" s="10"/>
    </row>
    <row r="459" spans="1:18" x14ac:dyDescent="0.3">
      <c r="A459" t="s">
        <v>3</v>
      </c>
      <c r="B459" s="3" t="s">
        <v>281</v>
      </c>
      <c r="C459" s="2">
        <v>43233</v>
      </c>
      <c r="D459" s="9">
        <v>0.60763888888888884</v>
      </c>
      <c r="E459" s="3">
        <f t="shared" ca="1" si="7"/>
        <v>759199185</v>
      </c>
      <c r="F459" t="s">
        <v>12</v>
      </c>
      <c r="G459" t="s">
        <v>15</v>
      </c>
      <c r="H459" s="1" t="s">
        <v>236</v>
      </c>
      <c r="I459" t="s">
        <v>18</v>
      </c>
      <c r="J459" s="4">
        <v>9.1</v>
      </c>
      <c r="K459" s="4">
        <v>57.63</v>
      </c>
      <c r="L459" s="4">
        <v>10</v>
      </c>
      <c r="M459" s="4">
        <v>33.89</v>
      </c>
      <c r="N459" s="4">
        <v>130.73820000000001</v>
      </c>
      <c r="O459" s="4">
        <v>793.9</v>
      </c>
      <c r="P459" s="4">
        <v>3.8764546470000001</v>
      </c>
      <c r="Q459" s="4">
        <v>52.869</v>
      </c>
      <c r="R459" s="10"/>
    </row>
    <row r="460" spans="1:18" x14ac:dyDescent="0.3">
      <c r="A460" t="s">
        <v>2</v>
      </c>
      <c r="B460" s="3" t="s">
        <v>280</v>
      </c>
      <c r="C460" s="2">
        <v>43230</v>
      </c>
      <c r="D460" s="9">
        <v>0.25763888888888886</v>
      </c>
      <c r="E460" s="3">
        <f t="shared" ca="1" si="7"/>
        <v>757524529</v>
      </c>
      <c r="F460" t="s">
        <v>11</v>
      </c>
      <c r="G460" t="s">
        <v>14</v>
      </c>
      <c r="H460" s="1" t="s">
        <v>236</v>
      </c>
      <c r="I460" t="s">
        <v>18</v>
      </c>
      <c r="J460" s="4">
        <v>2.6</v>
      </c>
      <c r="K460" s="4">
        <v>18.36</v>
      </c>
      <c r="L460" s="4">
        <v>10</v>
      </c>
      <c r="M460" s="4">
        <v>66.5</v>
      </c>
      <c r="N460" s="4">
        <v>128.85550000000001</v>
      </c>
      <c r="O460" s="4">
        <v>465.7</v>
      </c>
      <c r="P460" s="4">
        <v>3.8764546470000001</v>
      </c>
      <c r="Q460" s="4">
        <v>13.249000000000001</v>
      </c>
      <c r="R460" s="10"/>
    </row>
    <row r="461" spans="1:18" ht="28.8" x14ac:dyDescent="0.3">
      <c r="A461" t="s">
        <v>2</v>
      </c>
      <c r="B461" s="3" t="s">
        <v>280</v>
      </c>
      <c r="C461" s="2">
        <v>42856</v>
      </c>
      <c r="D461" s="9">
        <v>0.30138888888888887</v>
      </c>
      <c r="E461" s="3">
        <f t="shared" ca="1" si="7"/>
        <v>868653824</v>
      </c>
      <c r="F461" t="s">
        <v>12</v>
      </c>
      <c r="G461" t="s">
        <v>15</v>
      </c>
      <c r="H461" s="1" t="s">
        <v>237</v>
      </c>
      <c r="I461" t="s">
        <v>21</v>
      </c>
      <c r="J461" s="4">
        <v>5.8</v>
      </c>
      <c r="K461" s="4">
        <v>90.37</v>
      </c>
      <c r="L461" s="4">
        <v>1</v>
      </c>
      <c r="M461" s="4">
        <v>10.73</v>
      </c>
      <c r="N461" s="4">
        <v>174.43950000000001</v>
      </c>
      <c r="O461" s="4">
        <v>35.89</v>
      </c>
      <c r="P461" s="4">
        <v>3.8764546470000001</v>
      </c>
      <c r="Q461" s="4">
        <v>76.784999999999997</v>
      </c>
      <c r="R461" s="10"/>
    </row>
    <row r="462" spans="1:18" x14ac:dyDescent="0.3">
      <c r="A462" t="s">
        <v>2</v>
      </c>
      <c r="B462" s="3" t="s">
        <v>280</v>
      </c>
      <c r="C462" s="2">
        <v>43297</v>
      </c>
      <c r="D462" s="9">
        <v>0.86041666666666672</v>
      </c>
      <c r="E462" s="3">
        <f t="shared" ca="1" si="7"/>
        <v>585936676</v>
      </c>
      <c r="F462" t="s">
        <v>12</v>
      </c>
      <c r="G462" t="s">
        <v>15</v>
      </c>
      <c r="H462" s="1" t="s">
        <v>236</v>
      </c>
      <c r="I462" t="s">
        <v>21</v>
      </c>
      <c r="J462" s="4">
        <v>9</v>
      </c>
      <c r="K462" s="4">
        <v>67.67</v>
      </c>
      <c r="L462" s="4">
        <v>5</v>
      </c>
      <c r="M462" s="4">
        <v>93.65</v>
      </c>
      <c r="N462" s="4">
        <v>118.8918</v>
      </c>
      <c r="O462" s="4">
        <v>202.6</v>
      </c>
      <c r="P462" s="4">
        <v>3.8764546470000001</v>
      </c>
      <c r="Q462" s="4">
        <v>67.655000000000001</v>
      </c>
      <c r="R462" s="10"/>
    </row>
    <row r="463" spans="1:18" ht="28.8" x14ac:dyDescent="0.3">
      <c r="A463" t="s">
        <v>3</v>
      </c>
      <c r="B463" s="3" t="s">
        <v>281</v>
      </c>
      <c r="C463" s="2">
        <v>42830</v>
      </c>
      <c r="D463" s="9">
        <v>0.67569444444444449</v>
      </c>
      <c r="E463" s="3">
        <f t="shared" ca="1" si="7"/>
        <v>884758940</v>
      </c>
      <c r="F463" t="s">
        <v>11</v>
      </c>
      <c r="G463" t="s">
        <v>14</v>
      </c>
      <c r="H463" s="1" t="s">
        <v>237</v>
      </c>
      <c r="I463" t="s">
        <v>21</v>
      </c>
      <c r="J463" s="4">
        <v>3.7</v>
      </c>
      <c r="K463" s="4">
        <v>39.369999999999997</v>
      </c>
      <c r="L463" s="4">
        <v>10</v>
      </c>
      <c r="M463" s="4">
        <v>51.75</v>
      </c>
      <c r="N463" s="4">
        <v>178.78630000000001</v>
      </c>
      <c r="O463" s="4">
        <v>730.5</v>
      </c>
      <c r="P463" s="4">
        <v>3.8764546470000001</v>
      </c>
      <c r="Q463" s="4">
        <v>87.599000000000004</v>
      </c>
      <c r="R463" s="10"/>
    </row>
    <row r="464" spans="1:18" x14ac:dyDescent="0.3">
      <c r="A464" t="s">
        <v>2</v>
      </c>
      <c r="B464" s="3" t="s">
        <v>280</v>
      </c>
      <c r="C464" s="2">
        <v>43188</v>
      </c>
      <c r="D464" s="9">
        <v>0.84583333333333333</v>
      </c>
      <c r="E464" s="3">
        <f t="shared" ca="1" si="7"/>
        <v>249331524</v>
      </c>
      <c r="F464" t="s">
        <v>11</v>
      </c>
      <c r="G464" t="s">
        <v>15</v>
      </c>
      <c r="H464" s="1" t="s">
        <v>236</v>
      </c>
      <c r="I464" t="s">
        <v>20</v>
      </c>
      <c r="J464" s="4">
        <v>1.9</v>
      </c>
      <c r="K464" s="4">
        <v>77.2</v>
      </c>
      <c r="L464" s="4">
        <v>4</v>
      </c>
      <c r="M464" s="4">
        <v>74.97</v>
      </c>
      <c r="N464" s="4">
        <v>123.0795</v>
      </c>
      <c r="O464" s="4">
        <v>295.8</v>
      </c>
      <c r="P464" s="4">
        <v>3.8764546470000001</v>
      </c>
      <c r="Q464" s="4">
        <v>54.87</v>
      </c>
      <c r="R464" s="10"/>
    </row>
    <row r="465" spans="1:18" x14ac:dyDescent="0.3">
      <c r="A465" t="s">
        <v>2</v>
      </c>
      <c r="B465" s="3" t="s">
        <v>280</v>
      </c>
      <c r="C465" s="2">
        <v>42829</v>
      </c>
      <c r="D465" s="9">
        <v>0.61250000000000004</v>
      </c>
      <c r="E465" s="3">
        <f t="shared" ca="1" si="7"/>
        <v>691481824</v>
      </c>
      <c r="F465" t="s">
        <v>11</v>
      </c>
      <c r="G465" t="s">
        <v>14</v>
      </c>
      <c r="H465" s="1" t="s">
        <v>236</v>
      </c>
      <c r="I465" t="s">
        <v>21</v>
      </c>
      <c r="J465" s="4">
        <v>4.4000000000000004</v>
      </c>
      <c r="K465" s="4">
        <v>22.11</v>
      </c>
      <c r="L465" s="4">
        <v>1</v>
      </c>
      <c r="M465" s="4">
        <v>75.2</v>
      </c>
      <c r="N465" s="4">
        <v>169.51329999999999</v>
      </c>
      <c r="O465" s="4">
        <v>22.62</v>
      </c>
      <c r="P465" s="4">
        <v>3.8764546470000001</v>
      </c>
      <c r="Q465" s="4">
        <v>89.16</v>
      </c>
      <c r="R465" s="10"/>
    </row>
    <row r="466" spans="1:18" ht="28.8" x14ac:dyDescent="0.3">
      <c r="A466" t="s">
        <v>1</v>
      </c>
      <c r="B466" s="3" t="s">
        <v>279</v>
      </c>
      <c r="C466" s="2">
        <v>43137</v>
      </c>
      <c r="D466" s="9">
        <v>0.7631944444444444</v>
      </c>
      <c r="E466" s="3">
        <f t="shared" ca="1" si="7"/>
        <v>169810864</v>
      </c>
      <c r="F466" t="s">
        <v>12</v>
      </c>
      <c r="G466" t="s">
        <v>14</v>
      </c>
      <c r="H466" s="1" t="s">
        <v>237</v>
      </c>
      <c r="I466" t="s">
        <v>21</v>
      </c>
      <c r="J466" s="4">
        <v>6</v>
      </c>
      <c r="K466" s="4">
        <v>96.98</v>
      </c>
      <c r="L466" s="4">
        <v>5</v>
      </c>
      <c r="M466" s="4">
        <v>58.5</v>
      </c>
      <c r="N466" s="4">
        <v>125.3036</v>
      </c>
      <c r="O466" s="4">
        <v>256.7</v>
      </c>
      <c r="P466" s="4">
        <v>3.8764546470000001</v>
      </c>
      <c r="Q466" s="4">
        <v>40.72</v>
      </c>
      <c r="R466" s="10"/>
    </row>
    <row r="467" spans="1:18" ht="28.8" x14ac:dyDescent="0.3">
      <c r="A467" t="s">
        <v>2</v>
      </c>
      <c r="B467" s="3" t="s">
        <v>280</v>
      </c>
      <c r="C467" s="2">
        <v>42966</v>
      </c>
      <c r="D467" s="9">
        <v>0.89930555555555558</v>
      </c>
      <c r="E467" s="3">
        <f t="shared" ca="1" si="7"/>
        <v>176068436</v>
      </c>
      <c r="F467" t="s">
        <v>11</v>
      </c>
      <c r="G467" t="s">
        <v>14</v>
      </c>
      <c r="H467" s="1" t="s">
        <v>237</v>
      </c>
      <c r="I467" t="s">
        <v>20</v>
      </c>
      <c r="J467" s="4">
        <v>4.8</v>
      </c>
      <c r="K467" s="4">
        <v>56.46</v>
      </c>
      <c r="L467" s="4">
        <v>10</v>
      </c>
      <c r="M467" s="4">
        <v>96.46</v>
      </c>
      <c r="N467" s="4">
        <v>125.1896</v>
      </c>
      <c r="O467" s="4">
        <v>545.5</v>
      </c>
      <c r="P467" s="4">
        <v>3.8764546470000001</v>
      </c>
      <c r="Q467" s="4">
        <v>20.54</v>
      </c>
      <c r="R467" s="10"/>
    </row>
    <row r="468" spans="1:18" ht="28.8" x14ac:dyDescent="0.3">
      <c r="A468" t="s">
        <v>2</v>
      </c>
      <c r="B468" s="3" t="s">
        <v>280</v>
      </c>
      <c r="C468" s="2">
        <v>43079</v>
      </c>
      <c r="D468" s="9">
        <v>0.93819444444444444</v>
      </c>
      <c r="E468" s="3">
        <f t="shared" ca="1" si="7"/>
        <v>188013024</v>
      </c>
      <c r="F468" t="s">
        <v>11</v>
      </c>
      <c r="G468" t="s">
        <v>14</v>
      </c>
      <c r="H468" s="1" t="s">
        <v>237</v>
      </c>
      <c r="I468" t="s">
        <v>17</v>
      </c>
      <c r="J468" s="4">
        <v>5.0999999999999996</v>
      </c>
      <c r="K468" s="4">
        <v>42.68</v>
      </c>
      <c r="L468" s="4">
        <v>7</v>
      </c>
      <c r="M468" s="4">
        <v>71.819999999999993</v>
      </c>
      <c r="N468" s="4">
        <v>117.86920000000001</v>
      </c>
      <c r="O468" s="4">
        <v>260.05</v>
      </c>
      <c r="P468" s="4">
        <v>3.8764546470000001</v>
      </c>
      <c r="Q468" s="4">
        <v>10.28</v>
      </c>
      <c r="R468" s="10"/>
    </row>
    <row r="469" spans="1:18" x14ac:dyDescent="0.3">
      <c r="A469" t="s">
        <v>3</v>
      </c>
      <c r="B469" s="3" t="s">
        <v>281</v>
      </c>
      <c r="C469" s="2">
        <v>42949</v>
      </c>
      <c r="D469" s="9">
        <v>0.28680555555555554</v>
      </c>
      <c r="E469" s="3">
        <f t="shared" ca="1" si="7"/>
        <v>718528419</v>
      </c>
      <c r="F469" t="s">
        <v>12</v>
      </c>
      <c r="G469" t="s">
        <v>15</v>
      </c>
      <c r="H469" s="1" t="s">
        <v>236</v>
      </c>
      <c r="I469" t="s">
        <v>20</v>
      </c>
      <c r="J469" s="4">
        <v>1.3</v>
      </c>
      <c r="K469" s="4">
        <v>54.85</v>
      </c>
      <c r="L469" s="4">
        <v>6</v>
      </c>
      <c r="M469" s="4">
        <v>29.59</v>
      </c>
      <c r="N469" s="4">
        <v>110.7893</v>
      </c>
      <c r="O469" s="4">
        <v>222.12</v>
      </c>
      <c r="P469" s="4">
        <v>3.8764546470000001</v>
      </c>
      <c r="Q469" s="4">
        <v>11.06</v>
      </c>
      <c r="R469" s="10"/>
    </row>
    <row r="470" spans="1:18" x14ac:dyDescent="0.3">
      <c r="A470" t="s">
        <v>2</v>
      </c>
      <c r="B470" s="3" t="s">
        <v>280</v>
      </c>
      <c r="C470" s="2">
        <v>43325</v>
      </c>
      <c r="D470" s="9">
        <v>0.52013888888888893</v>
      </c>
      <c r="E470" s="3">
        <f t="shared" ca="1" si="7"/>
        <v>981921408</v>
      </c>
      <c r="F470" t="s">
        <v>12</v>
      </c>
      <c r="G470" t="s">
        <v>15</v>
      </c>
      <c r="H470" s="1" t="s">
        <v>235</v>
      </c>
      <c r="I470" t="s">
        <v>21</v>
      </c>
      <c r="J470" s="4">
        <v>8</v>
      </c>
      <c r="K470" s="4">
        <v>58.16</v>
      </c>
      <c r="L470" s="4">
        <v>1</v>
      </c>
      <c r="M470" s="4">
        <v>49.37</v>
      </c>
      <c r="N470" s="4">
        <v>167.8895</v>
      </c>
      <c r="O470" s="4">
        <v>21.58</v>
      </c>
      <c r="P470" s="4">
        <v>3.8764546470000001</v>
      </c>
      <c r="Q470" s="4">
        <v>88.82</v>
      </c>
      <c r="R470" s="10"/>
    </row>
    <row r="471" spans="1:18" x14ac:dyDescent="0.3">
      <c r="A471" t="s">
        <v>2</v>
      </c>
      <c r="B471" s="3" t="s">
        <v>280</v>
      </c>
      <c r="C471" s="2">
        <v>43171</v>
      </c>
      <c r="D471" s="9">
        <v>0.57847222222222228</v>
      </c>
      <c r="E471" s="3">
        <f t="shared" ca="1" si="7"/>
        <v>769518524</v>
      </c>
      <c r="F471" t="s">
        <v>11</v>
      </c>
      <c r="G471" t="s">
        <v>14</v>
      </c>
      <c r="H471" s="1" t="s">
        <v>236</v>
      </c>
      <c r="I471" t="s">
        <v>18</v>
      </c>
      <c r="J471" s="4">
        <v>5</v>
      </c>
      <c r="K471" s="4">
        <v>76.349999999999994</v>
      </c>
      <c r="L471" s="4">
        <v>1</v>
      </c>
      <c r="M471" s="4">
        <v>16.45</v>
      </c>
      <c r="N471" s="4">
        <v>105.2086</v>
      </c>
      <c r="O471" s="4">
        <v>98.84</v>
      </c>
      <c r="P471" s="4">
        <v>3.8764546470000001</v>
      </c>
      <c r="Q471" s="4">
        <v>99.631</v>
      </c>
      <c r="R471" s="10"/>
    </row>
    <row r="472" spans="1:18" x14ac:dyDescent="0.3">
      <c r="A472" t="s">
        <v>2</v>
      </c>
      <c r="B472" s="3" t="s">
        <v>280</v>
      </c>
      <c r="C472" s="2">
        <v>43271</v>
      </c>
      <c r="D472" s="9">
        <v>0.92847222222222225</v>
      </c>
      <c r="E472" s="3">
        <f t="shared" ca="1" si="7"/>
        <v>700407312</v>
      </c>
      <c r="F472" t="s">
        <v>11</v>
      </c>
      <c r="G472" t="s">
        <v>14</v>
      </c>
      <c r="H472" s="1" t="s">
        <v>235</v>
      </c>
      <c r="I472" t="s">
        <v>19</v>
      </c>
      <c r="J472" s="4">
        <v>10</v>
      </c>
      <c r="K472" s="4">
        <v>82.58</v>
      </c>
      <c r="L472" s="4">
        <v>6</v>
      </c>
      <c r="M472" s="4">
        <v>66.05</v>
      </c>
      <c r="N472" s="4">
        <v>121.0082</v>
      </c>
      <c r="O472" s="4">
        <v>502.62</v>
      </c>
      <c r="P472" s="4">
        <v>3.8764546470000001</v>
      </c>
      <c r="Q472" s="4">
        <v>29.178000000000001</v>
      </c>
      <c r="R472" s="10"/>
    </row>
    <row r="473" spans="1:18" x14ac:dyDescent="0.3">
      <c r="A473" t="s">
        <v>1</v>
      </c>
      <c r="B473" s="3" t="s">
        <v>279</v>
      </c>
      <c r="C473" s="2">
        <v>43088</v>
      </c>
      <c r="D473" s="9">
        <v>0.27708333333333335</v>
      </c>
      <c r="E473" s="3">
        <f t="shared" ca="1" si="7"/>
        <v>983241821</v>
      </c>
      <c r="F473" t="s">
        <v>11</v>
      </c>
      <c r="G473" t="s">
        <v>14</v>
      </c>
      <c r="H473" s="1" t="s">
        <v>236</v>
      </c>
      <c r="I473" t="s">
        <v>20</v>
      </c>
      <c r="J473" s="4">
        <v>4</v>
      </c>
      <c r="K473" s="4">
        <v>19.63</v>
      </c>
      <c r="L473" s="4">
        <v>4</v>
      </c>
      <c r="M473" s="4">
        <v>91.8</v>
      </c>
      <c r="N473" s="4">
        <v>177.994</v>
      </c>
      <c r="O473" s="4">
        <v>160.19999999999999</v>
      </c>
      <c r="P473" s="4">
        <v>3.8764546470000001</v>
      </c>
      <c r="Q473" s="4">
        <v>46.652999999999999</v>
      </c>
      <c r="R473" s="10"/>
    </row>
    <row r="474" spans="1:18" ht="28.8" x14ac:dyDescent="0.3">
      <c r="A474" t="s">
        <v>1</v>
      </c>
      <c r="B474" s="3" t="s">
        <v>279</v>
      </c>
      <c r="C474" s="2">
        <v>43428</v>
      </c>
      <c r="D474" s="9">
        <v>5.8333333333333334E-2</v>
      </c>
      <c r="E474" s="3">
        <f t="shared" ca="1" si="7"/>
        <v>916860484</v>
      </c>
      <c r="F474" t="s">
        <v>12</v>
      </c>
      <c r="G474" t="s">
        <v>14</v>
      </c>
      <c r="H474" s="1" t="s">
        <v>237</v>
      </c>
      <c r="I474" t="s">
        <v>22</v>
      </c>
      <c r="J474" s="4">
        <v>4</v>
      </c>
      <c r="K474" s="4">
        <v>19.03</v>
      </c>
      <c r="L474" s="4">
        <v>10</v>
      </c>
      <c r="M474" s="4">
        <v>75.58</v>
      </c>
      <c r="N474" s="4">
        <v>181.61410000000001</v>
      </c>
      <c r="O474" s="4">
        <v>431.3</v>
      </c>
      <c r="P474" s="4">
        <v>3.8764546470000001</v>
      </c>
      <c r="Q474" s="4">
        <v>15.242000000000001</v>
      </c>
      <c r="R474" s="10"/>
    </row>
    <row r="475" spans="1:18" x14ac:dyDescent="0.3">
      <c r="A475" t="s">
        <v>3</v>
      </c>
      <c r="B475" s="3" t="s">
        <v>281</v>
      </c>
      <c r="C475" s="2">
        <v>42879</v>
      </c>
      <c r="D475" s="9">
        <v>0.51527777777777772</v>
      </c>
      <c r="E475" s="3">
        <f t="shared" ca="1" si="7"/>
        <v>332403331</v>
      </c>
      <c r="F475" t="s">
        <v>12</v>
      </c>
      <c r="G475" t="s">
        <v>14</v>
      </c>
      <c r="H475" s="1" t="s">
        <v>236</v>
      </c>
      <c r="I475" t="s">
        <v>17</v>
      </c>
      <c r="J475" s="4">
        <v>2</v>
      </c>
      <c r="K475" s="4">
        <v>64.010000000000005</v>
      </c>
      <c r="L475" s="4">
        <v>8</v>
      </c>
      <c r="M475" s="4">
        <v>37.5</v>
      </c>
      <c r="N475" s="4">
        <v>127.553</v>
      </c>
      <c r="O475" s="4">
        <v>580.55999999999995</v>
      </c>
      <c r="P475" s="4">
        <v>3.8764546470000001</v>
      </c>
      <c r="Q475" s="4">
        <v>26.373999999999999</v>
      </c>
      <c r="R475" s="10"/>
    </row>
    <row r="476" spans="1:18" x14ac:dyDescent="0.3">
      <c r="A476" t="s">
        <v>1</v>
      </c>
      <c r="B476" s="3" t="s">
        <v>279</v>
      </c>
      <c r="C476" s="2">
        <v>43400</v>
      </c>
      <c r="D476" s="9">
        <v>0.51041666666666663</v>
      </c>
      <c r="E476" s="3">
        <f t="shared" ca="1" si="7"/>
        <v>447171986</v>
      </c>
      <c r="F476" t="s">
        <v>11</v>
      </c>
      <c r="G476" t="s">
        <v>14</v>
      </c>
      <c r="H476" s="1" t="s">
        <v>236</v>
      </c>
      <c r="I476" t="s">
        <v>18</v>
      </c>
      <c r="J476" s="4">
        <v>9</v>
      </c>
      <c r="K476" s="4">
        <v>10.46</v>
      </c>
      <c r="L476" s="4">
        <v>5</v>
      </c>
      <c r="M476" s="4">
        <v>75.42</v>
      </c>
      <c r="N476" s="4">
        <v>180.9359</v>
      </c>
      <c r="O476" s="4">
        <v>322.2</v>
      </c>
      <c r="P476" s="4">
        <v>3.8764546470000001</v>
      </c>
      <c r="Q476" s="4">
        <v>16.466999999999999</v>
      </c>
      <c r="R476" s="10"/>
    </row>
    <row r="477" spans="1:18" ht="28.8" x14ac:dyDescent="0.3">
      <c r="A477" t="s">
        <v>1</v>
      </c>
      <c r="B477" s="3" t="s">
        <v>279</v>
      </c>
      <c r="C477" s="2">
        <v>43374</v>
      </c>
      <c r="D477" s="9">
        <v>0.50555555555555554</v>
      </c>
      <c r="E477" s="3">
        <f t="shared" ca="1" si="7"/>
        <v>535074102</v>
      </c>
      <c r="F477" t="s">
        <v>12</v>
      </c>
      <c r="G477" t="s">
        <v>15</v>
      </c>
      <c r="H477" s="1" t="s">
        <v>237</v>
      </c>
      <c r="I477" t="s">
        <v>17</v>
      </c>
      <c r="J477" s="4">
        <v>4</v>
      </c>
      <c r="K477" s="4">
        <v>57.27</v>
      </c>
      <c r="L477" s="4">
        <v>3</v>
      </c>
      <c r="M477" s="4">
        <v>95.91</v>
      </c>
      <c r="N477" s="4">
        <v>176.6035</v>
      </c>
      <c r="O477" s="4">
        <v>195.54</v>
      </c>
      <c r="P477" s="4">
        <v>3.8764546470000001</v>
      </c>
      <c r="Q477" s="4">
        <v>84.894000000000005</v>
      </c>
      <c r="R477" s="10"/>
    </row>
    <row r="478" spans="1:18" ht="28.8" x14ac:dyDescent="0.3">
      <c r="A478" t="s">
        <v>1</v>
      </c>
      <c r="B478" s="3" t="s">
        <v>279</v>
      </c>
      <c r="C478" s="2">
        <v>43344</v>
      </c>
      <c r="D478" s="9">
        <v>0.1701388888888889</v>
      </c>
      <c r="E478" s="3">
        <f t="shared" ca="1" si="7"/>
        <v>543404617</v>
      </c>
      <c r="F478" t="s">
        <v>11</v>
      </c>
      <c r="G478" t="s">
        <v>15</v>
      </c>
      <c r="H478" s="1" t="s">
        <v>237</v>
      </c>
      <c r="I478" t="s">
        <v>20</v>
      </c>
      <c r="J478" s="4">
        <v>5</v>
      </c>
      <c r="K478" s="4">
        <v>37.619999999999997</v>
      </c>
      <c r="L478" s="4">
        <v>5</v>
      </c>
      <c r="M478" s="4">
        <v>60.27</v>
      </c>
      <c r="N478" s="4">
        <v>126.1794</v>
      </c>
      <c r="O478" s="4">
        <v>166.3</v>
      </c>
      <c r="P478" s="4">
        <v>3.8764546470000001</v>
      </c>
      <c r="Q478" s="4">
        <v>49.783000000000001</v>
      </c>
      <c r="R478" s="10"/>
    </row>
    <row r="479" spans="1:18" x14ac:dyDescent="0.3">
      <c r="A479" t="s">
        <v>2</v>
      </c>
      <c r="B479" s="3" t="s">
        <v>280</v>
      </c>
      <c r="C479" s="2">
        <v>43086</v>
      </c>
      <c r="D479" s="9">
        <v>0.85555555555555551</v>
      </c>
      <c r="E479" s="3">
        <f t="shared" ca="1" si="7"/>
        <v>829853947</v>
      </c>
      <c r="F479" t="s">
        <v>12</v>
      </c>
      <c r="G479" t="s">
        <v>15</v>
      </c>
      <c r="H479" s="1" t="s">
        <v>235</v>
      </c>
      <c r="I479" t="s">
        <v>18</v>
      </c>
      <c r="J479" s="4">
        <v>8</v>
      </c>
      <c r="K479" s="4">
        <v>62.866</v>
      </c>
      <c r="L479" s="4">
        <v>4</v>
      </c>
      <c r="M479" s="4">
        <v>52.82</v>
      </c>
      <c r="N479" s="4">
        <v>163.38419999999999</v>
      </c>
      <c r="O479" s="4">
        <v>336.28</v>
      </c>
      <c r="P479" s="4">
        <v>3.8764546470000001</v>
      </c>
      <c r="Q479" s="4">
        <v>16.413</v>
      </c>
      <c r="R479" s="10"/>
    </row>
    <row r="480" spans="1:18" x14ac:dyDescent="0.3">
      <c r="A480" t="s">
        <v>3</v>
      </c>
      <c r="B480" s="3" t="s">
        <v>281</v>
      </c>
      <c r="C480" s="2">
        <v>43323</v>
      </c>
      <c r="D480" s="9">
        <v>0.80208333333333337</v>
      </c>
      <c r="E480" s="3">
        <f t="shared" ca="1" si="7"/>
        <v>657281719</v>
      </c>
      <c r="F480" t="s">
        <v>12</v>
      </c>
      <c r="G480" t="s">
        <v>15</v>
      </c>
      <c r="H480" s="1" t="s">
        <v>235</v>
      </c>
      <c r="I480" t="s">
        <v>20</v>
      </c>
      <c r="J480" s="4">
        <v>2</v>
      </c>
      <c r="K480" s="4">
        <v>73.92</v>
      </c>
      <c r="L480" s="4">
        <v>10</v>
      </c>
      <c r="M480" s="4">
        <v>14.18</v>
      </c>
      <c r="N480" s="4">
        <v>158.78059999999999</v>
      </c>
      <c r="O480" s="4">
        <v>343.7</v>
      </c>
      <c r="P480" s="4">
        <v>3.8764546470000001</v>
      </c>
      <c r="Q480" s="4">
        <v>43.188000000000002</v>
      </c>
      <c r="R480" s="10"/>
    </row>
    <row r="481" spans="1:18" x14ac:dyDescent="0.3">
      <c r="A481" t="s">
        <v>1</v>
      </c>
      <c r="B481" s="3" t="s">
        <v>279</v>
      </c>
      <c r="C481" s="2">
        <v>43350</v>
      </c>
      <c r="D481" s="9">
        <v>0.31111111111111112</v>
      </c>
      <c r="E481" s="3">
        <f t="shared" ca="1" si="7"/>
        <v>244752127</v>
      </c>
      <c r="F481" t="s">
        <v>12</v>
      </c>
      <c r="G481" t="s">
        <v>15</v>
      </c>
      <c r="H481" s="1" t="s">
        <v>235</v>
      </c>
      <c r="I481" t="s">
        <v>18</v>
      </c>
      <c r="J481" s="4">
        <v>5.2</v>
      </c>
      <c r="K481" s="4">
        <v>88.74</v>
      </c>
      <c r="L481" s="4">
        <v>1</v>
      </c>
      <c r="M481" s="4">
        <v>42.76</v>
      </c>
      <c r="N481" s="4">
        <v>171.03960000000001</v>
      </c>
      <c r="O481" s="4">
        <v>38.6</v>
      </c>
      <c r="P481" s="4">
        <v>3.8764546470000001</v>
      </c>
      <c r="Q481" s="4">
        <v>62.682000000000002</v>
      </c>
      <c r="R481" s="10"/>
    </row>
    <row r="482" spans="1:18" x14ac:dyDescent="0.3">
      <c r="A482" t="s">
        <v>2</v>
      </c>
      <c r="B482" s="3" t="s">
        <v>280</v>
      </c>
      <c r="C482" s="2">
        <v>43257</v>
      </c>
      <c r="D482" s="9">
        <v>0.87986111111111109</v>
      </c>
      <c r="E482" s="3">
        <f t="shared" ca="1" si="7"/>
        <v>725782454</v>
      </c>
      <c r="F482" t="s">
        <v>12</v>
      </c>
      <c r="G482" t="s">
        <v>15</v>
      </c>
      <c r="H482" s="1" t="s">
        <v>236</v>
      </c>
      <c r="I482" t="s">
        <v>21</v>
      </c>
      <c r="J482" s="4">
        <v>6</v>
      </c>
      <c r="K482" s="4">
        <v>27.08</v>
      </c>
      <c r="L482" s="4">
        <v>8</v>
      </c>
      <c r="M482" s="4">
        <v>76.599999999999994</v>
      </c>
      <c r="N482" s="4">
        <v>133.13980000000001</v>
      </c>
      <c r="O482" s="4">
        <v>527.76</v>
      </c>
      <c r="P482" s="4">
        <v>3.8764546470000001</v>
      </c>
      <c r="Q482" s="4">
        <v>57.8</v>
      </c>
      <c r="R482" s="10"/>
    </row>
    <row r="483" spans="1:18" x14ac:dyDescent="0.3">
      <c r="A483" t="s">
        <v>2</v>
      </c>
      <c r="B483" s="3" t="s">
        <v>280</v>
      </c>
      <c r="C483" s="2">
        <v>43301</v>
      </c>
      <c r="D483" s="9">
        <v>0.20902777777777778</v>
      </c>
      <c r="E483" s="3">
        <f t="shared" ca="1" si="7"/>
        <v>689221569</v>
      </c>
      <c r="F483" t="s">
        <v>11</v>
      </c>
      <c r="G483" t="s">
        <v>15</v>
      </c>
      <c r="H483" s="1" t="s">
        <v>236</v>
      </c>
      <c r="I483" t="s">
        <v>18</v>
      </c>
      <c r="J483" s="4">
        <v>2.1</v>
      </c>
      <c r="K483" s="4">
        <v>89.82</v>
      </c>
      <c r="L483" s="4">
        <v>10</v>
      </c>
      <c r="M483" s="4">
        <v>84.1</v>
      </c>
      <c r="N483" s="4">
        <v>154.84039999999999</v>
      </c>
      <c r="O483" s="4">
        <v>328</v>
      </c>
      <c r="P483" s="4">
        <v>3.8764546470000001</v>
      </c>
      <c r="Q483" s="4">
        <v>71.25</v>
      </c>
      <c r="R483" s="10"/>
    </row>
    <row r="484" spans="1:18" x14ac:dyDescent="0.3">
      <c r="A484" t="s">
        <v>1</v>
      </c>
      <c r="B484" s="3" t="s">
        <v>279</v>
      </c>
      <c r="C484" s="2">
        <v>43066</v>
      </c>
      <c r="D484" s="9">
        <v>0.91388888888888886</v>
      </c>
      <c r="E484" s="3">
        <f t="shared" ca="1" si="7"/>
        <v>826908605</v>
      </c>
      <c r="F484" t="s">
        <v>12</v>
      </c>
      <c r="G484" t="s">
        <v>15</v>
      </c>
      <c r="H484" s="1" t="s">
        <v>235</v>
      </c>
      <c r="I484" t="s">
        <v>20</v>
      </c>
      <c r="J484" s="4">
        <v>3</v>
      </c>
      <c r="K484" s="4">
        <v>63.66</v>
      </c>
      <c r="L484" s="4">
        <v>5</v>
      </c>
      <c r="M484" s="4">
        <v>99.58</v>
      </c>
      <c r="N484" s="4">
        <v>134.5839</v>
      </c>
      <c r="O484" s="4">
        <v>185.7</v>
      </c>
      <c r="P484" s="4">
        <v>3.8764546470000001</v>
      </c>
      <c r="Q484" s="4">
        <v>24.59</v>
      </c>
      <c r="R484" s="10"/>
    </row>
    <row r="485" spans="1:18" x14ac:dyDescent="0.3">
      <c r="A485" t="s">
        <v>3</v>
      </c>
      <c r="B485" s="3" t="s">
        <v>281</v>
      </c>
      <c r="C485" s="2">
        <v>43141</v>
      </c>
      <c r="D485" s="9">
        <v>0.93819444444444444</v>
      </c>
      <c r="E485" s="3">
        <f t="shared" ca="1" si="7"/>
        <v>792353947</v>
      </c>
      <c r="F485" t="s">
        <v>12</v>
      </c>
      <c r="G485" t="s">
        <v>14</v>
      </c>
      <c r="H485" s="1" t="s">
        <v>236</v>
      </c>
      <c r="I485" t="s">
        <v>19</v>
      </c>
      <c r="J485" s="4">
        <v>6</v>
      </c>
      <c r="K485" s="4">
        <v>70.884</v>
      </c>
      <c r="L485" s="4">
        <v>10</v>
      </c>
      <c r="M485" s="4">
        <v>15.2</v>
      </c>
      <c r="N485" s="4">
        <v>158.18100000000001</v>
      </c>
      <c r="O485" s="4">
        <v>603.79999999999995</v>
      </c>
      <c r="P485" s="4">
        <v>3.8764546470000001</v>
      </c>
      <c r="Q485" s="4">
        <v>70.37</v>
      </c>
      <c r="R485" s="10"/>
    </row>
    <row r="486" spans="1:18" ht="28.8" x14ac:dyDescent="0.3">
      <c r="A486" t="s">
        <v>2</v>
      </c>
      <c r="B486" s="3" t="s">
        <v>280</v>
      </c>
      <c r="C486" s="2">
        <v>43460</v>
      </c>
      <c r="D486" s="9">
        <v>0.64166666666666672</v>
      </c>
      <c r="E486" s="3">
        <f t="shared" ca="1" si="7"/>
        <v>349772704</v>
      </c>
      <c r="F486" t="s">
        <v>11</v>
      </c>
      <c r="G486" t="s">
        <v>14</v>
      </c>
      <c r="H486" s="1" t="s">
        <v>237</v>
      </c>
      <c r="I486" t="s">
        <v>20</v>
      </c>
      <c r="J486" s="4">
        <v>6.4</v>
      </c>
      <c r="K486" s="4">
        <v>61.92</v>
      </c>
      <c r="L486" s="4">
        <v>10</v>
      </c>
      <c r="M486" s="4">
        <v>18.649999999999999</v>
      </c>
      <c r="N486" s="4">
        <v>177.37559999999999</v>
      </c>
      <c r="O486" s="4">
        <v>369.8</v>
      </c>
      <c r="P486" s="4">
        <v>3.8764546470000001</v>
      </c>
      <c r="Q486" s="4">
        <v>83.78</v>
      </c>
      <c r="R486" s="10"/>
    </row>
    <row r="487" spans="1:18" x14ac:dyDescent="0.3">
      <c r="A487" t="s">
        <v>3</v>
      </c>
      <c r="B487" s="3" t="s">
        <v>281</v>
      </c>
      <c r="C487" s="2">
        <v>43127</v>
      </c>
      <c r="D487" s="9">
        <v>0.3840277777777778</v>
      </c>
      <c r="E487" s="3">
        <f t="shared" ca="1" si="7"/>
        <v>426044297</v>
      </c>
      <c r="F487" t="s">
        <v>11</v>
      </c>
      <c r="G487" t="s">
        <v>14</v>
      </c>
      <c r="H487" s="1" t="s">
        <v>235</v>
      </c>
      <c r="I487" t="s">
        <v>20</v>
      </c>
      <c r="J487" s="4">
        <v>4.4000000000000004</v>
      </c>
      <c r="K487" s="4">
        <v>90.33</v>
      </c>
      <c r="L487" s="4">
        <v>4</v>
      </c>
      <c r="M487" s="4">
        <v>99.33</v>
      </c>
      <c r="N487" s="4">
        <v>102.5232</v>
      </c>
      <c r="O487" s="4">
        <v>197.96</v>
      </c>
      <c r="P487" s="4">
        <v>3.8764546470000001</v>
      </c>
      <c r="Q487" s="4">
        <v>67.492000000000004</v>
      </c>
      <c r="R487" s="10"/>
    </row>
    <row r="488" spans="1:18" x14ac:dyDescent="0.3">
      <c r="A488" t="s">
        <v>3</v>
      </c>
      <c r="B488" s="3" t="s">
        <v>281</v>
      </c>
      <c r="C488" s="2">
        <v>43023</v>
      </c>
      <c r="D488" s="9">
        <v>0.23333333333333334</v>
      </c>
      <c r="E488" s="3">
        <f t="shared" ca="1" si="7"/>
        <v>407936751</v>
      </c>
      <c r="F488" t="s">
        <v>11</v>
      </c>
      <c r="G488" t="s">
        <v>15</v>
      </c>
      <c r="H488" s="1" t="s">
        <v>236</v>
      </c>
      <c r="I488" t="s">
        <v>22</v>
      </c>
      <c r="J488" s="4">
        <v>3</v>
      </c>
      <c r="K488" s="4">
        <v>45.780999999999999</v>
      </c>
      <c r="L488" s="4">
        <v>10</v>
      </c>
      <c r="M488" s="4">
        <v>69.989999999999995</v>
      </c>
      <c r="N488" s="4">
        <v>173.10589999999999</v>
      </c>
      <c r="O488" s="4">
        <v>410.9</v>
      </c>
      <c r="P488" s="4">
        <v>3.8764546470000001</v>
      </c>
      <c r="Q488" s="4">
        <v>82.918999999999997</v>
      </c>
      <c r="R488" s="10"/>
    </row>
    <row r="489" spans="1:18" x14ac:dyDescent="0.3">
      <c r="A489" t="s">
        <v>1</v>
      </c>
      <c r="B489" s="3" t="s">
        <v>279</v>
      </c>
      <c r="C489" s="2">
        <v>42952</v>
      </c>
      <c r="D489" s="9">
        <v>0.67083333333333328</v>
      </c>
      <c r="E489" s="3">
        <f t="shared" ca="1" si="7"/>
        <v>166813265</v>
      </c>
      <c r="F489" t="s">
        <v>12</v>
      </c>
      <c r="G489" t="s">
        <v>15</v>
      </c>
      <c r="H489" s="1" t="s">
        <v>235</v>
      </c>
      <c r="I489" t="s">
        <v>22</v>
      </c>
      <c r="J489" s="4">
        <v>6.9</v>
      </c>
      <c r="K489" s="4">
        <v>45.914999999999999</v>
      </c>
      <c r="L489" s="4">
        <v>4</v>
      </c>
      <c r="M489" s="4">
        <v>42.62</v>
      </c>
      <c r="N489" s="4">
        <v>179.0103</v>
      </c>
      <c r="O489" s="4">
        <v>148.6</v>
      </c>
      <c r="P489" s="4">
        <v>3.8764546470000001</v>
      </c>
      <c r="Q489" s="4">
        <v>84.935000000000002</v>
      </c>
      <c r="R489" s="10"/>
    </row>
    <row r="490" spans="1:18" x14ac:dyDescent="0.3">
      <c r="A490" t="s">
        <v>2</v>
      </c>
      <c r="B490" s="3" t="s">
        <v>280</v>
      </c>
      <c r="C490" s="2">
        <v>43291</v>
      </c>
      <c r="D490" s="9">
        <v>0.71944444444444444</v>
      </c>
      <c r="E490" s="3">
        <f t="shared" ca="1" si="7"/>
        <v>658684248</v>
      </c>
      <c r="F490" t="s">
        <v>12</v>
      </c>
      <c r="G490" t="s">
        <v>15</v>
      </c>
      <c r="H490" s="1" t="s">
        <v>236</v>
      </c>
      <c r="I490" t="s">
        <v>19</v>
      </c>
      <c r="J490" s="4">
        <v>6.1</v>
      </c>
      <c r="K490" s="4">
        <v>36.81</v>
      </c>
      <c r="L490" s="4">
        <v>1</v>
      </c>
      <c r="M490" s="4">
        <v>21.9</v>
      </c>
      <c r="N490" s="4">
        <v>109.2218</v>
      </c>
      <c r="O490" s="4">
        <v>22.96</v>
      </c>
      <c r="P490" s="4">
        <v>3.8764546470000001</v>
      </c>
      <c r="Q490" s="4">
        <v>78.540000000000006</v>
      </c>
      <c r="R490" s="10"/>
    </row>
    <row r="491" spans="1:18" x14ac:dyDescent="0.3">
      <c r="A491" t="s">
        <v>3</v>
      </c>
      <c r="B491" s="3" t="s">
        <v>281</v>
      </c>
      <c r="C491" s="2">
        <v>43316</v>
      </c>
      <c r="D491" s="9">
        <v>0.58819444444444446</v>
      </c>
      <c r="E491" s="3">
        <f t="shared" ca="1" si="7"/>
        <v>180380152</v>
      </c>
      <c r="F491" t="s">
        <v>11</v>
      </c>
      <c r="G491" t="s">
        <v>14</v>
      </c>
      <c r="H491" s="1" t="s">
        <v>235</v>
      </c>
      <c r="I491" t="s">
        <v>19</v>
      </c>
      <c r="J491" s="4">
        <v>5.8</v>
      </c>
      <c r="K491" s="4">
        <v>95.03</v>
      </c>
      <c r="L491" s="4">
        <v>9</v>
      </c>
      <c r="M491" s="4">
        <v>46.09</v>
      </c>
      <c r="N491" s="4">
        <v>158.02889999999999</v>
      </c>
      <c r="O491" s="4">
        <v>699.12</v>
      </c>
      <c r="P491" s="4">
        <v>3.8764546470000001</v>
      </c>
      <c r="Q491" s="4">
        <v>26.16</v>
      </c>
      <c r="R491" s="10"/>
    </row>
    <row r="492" spans="1:18" x14ac:dyDescent="0.3">
      <c r="A492" t="s">
        <v>3</v>
      </c>
      <c r="B492" s="3" t="s">
        <v>281</v>
      </c>
      <c r="C492" s="2">
        <v>43331</v>
      </c>
      <c r="D492" s="9">
        <v>0.92847222222222225</v>
      </c>
      <c r="E492" s="3">
        <f t="shared" ca="1" si="7"/>
        <v>475828889</v>
      </c>
      <c r="F492" t="s">
        <v>11</v>
      </c>
      <c r="G492" t="s">
        <v>15</v>
      </c>
      <c r="H492" s="1" t="s">
        <v>235</v>
      </c>
      <c r="I492" t="s">
        <v>22</v>
      </c>
      <c r="J492" s="4">
        <v>2.1</v>
      </c>
      <c r="K492" s="4">
        <v>92.49</v>
      </c>
      <c r="L492" s="4">
        <v>2</v>
      </c>
      <c r="M492" s="4">
        <v>13.73</v>
      </c>
      <c r="N492" s="4">
        <v>159.83439999999999</v>
      </c>
      <c r="O492" s="4">
        <v>69.400000000000006</v>
      </c>
      <c r="P492" s="4">
        <v>3.8764546470000001</v>
      </c>
      <c r="Q492" s="4">
        <v>31.32</v>
      </c>
      <c r="R492" s="10"/>
    </row>
    <row r="493" spans="1:18" ht="28.8" x14ac:dyDescent="0.3">
      <c r="A493" t="s">
        <v>1</v>
      </c>
      <c r="B493" s="3" t="s">
        <v>279</v>
      </c>
      <c r="C493" s="2">
        <v>43390</v>
      </c>
      <c r="D493" s="9">
        <v>0.61736111111111114</v>
      </c>
      <c r="E493" s="3">
        <f t="shared" ca="1" si="7"/>
        <v>418662471</v>
      </c>
      <c r="F493" t="s">
        <v>11</v>
      </c>
      <c r="G493" t="s">
        <v>14</v>
      </c>
      <c r="H493" s="1" t="s">
        <v>237</v>
      </c>
      <c r="I493" t="s">
        <v>22</v>
      </c>
      <c r="J493" s="4">
        <v>9.6</v>
      </c>
      <c r="K493" s="4">
        <v>92.8</v>
      </c>
      <c r="L493" s="4">
        <v>10</v>
      </c>
      <c r="M493" s="4">
        <v>90.52</v>
      </c>
      <c r="N493" s="4">
        <v>157.08000000000001</v>
      </c>
      <c r="O493" s="4">
        <v>196.6</v>
      </c>
      <c r="P493" s="4">
        <v>3.8764546470000001</v>
      </c>
      <c r="Q493" s="4">
        <v>46</v>
      </c>
      <c r="R493" s="10"/>
    </row>
    <row r="494" spans="1:18" x14ac:dyDescent="0.3">
      <c r="A494" t="s">
        <v>3</v>
      </c>
      <c r="B494" s="3" t="s">
        <v>281</v>
      </c>
      <c r="C494" s="2">
        <v>43056</v>
      </c>
      <c r="D494" s="9">
        <v>0.14097222222222222</v>
      </c>
      <c r="E494" s="3">
        <f t="shared" ca="1" si="7"/>
        <v>27383037</v>
      </c>
      <c r="F494" t="s">
        <v>11</v>
      </c>
      <c r="G494" t="s">
        <v>14</v>
      </c>
      <c r="H494" s="1" t="s">
        <v>235</v>
      </c>
      <c r="I494" t="s">
        <v>17</v>
      </c>
      <c r="J494" s="4">
        <v>4.7</v>
      </c>
      <c r="K494" s="4">
        <v>65.27</v>
      </c>
      <c r="L494" s="4">
        <v>8</v>
      </c>
      <c r="M494" s="4">
        <v>50.74</v>
      </c>
      <c r="N494" s="4">
        <v>183.7961</v>
      </c>
      <c r="O494" s="4">
        <v>202.56</v>
      </c>
      <c r="P494" s="4">
        <v>3.8764546470000001</v>
      </c>
      <c r="Q494" s="4">
        <v>21.17</v>
      </c>
      <c r="R494" s="10"/>
    </row>
    <row r="495" spans="1:18" ht="28.8" x14ac:dyDescent="0.3">
      <c r="A495" t="s">
        <v>2</v>
      </c>
      <c r="B495" s="3" t="s">
        <v>280</v>
      </c>
      <c r="C495" s="2">
        <v>42807</v>
      </c>
      <c r="D495" s="9">
        <v>7.7777777777777779E-2</v>
      </c>
      <c r="E495" s="3">
        <f t="shared" ca="1" si="7"/>
        <v>869268973</v>
      </c>
      <c r="F495" t="s">
        <v>11</v>
      </c>
      <c r="G495" t="s">
        <v>14</v>
      </c>
      <c r="H495" s="1" t="s">
        <v>237</v>
      </c>
      <c r="I495" t="s">
        <v>19</v>
      </c>
      <c r="J495" s="4">
        <v>2.6</v>
      </c>
      <c r="K495" s="4">
        <v>14.73</v>
      </c>
      <c r="L495" s="4">
        <v>10</v>
      </c>
      <c r="M495" s="4">
        <v>95.79</v>
      </c>
      <c r="N495" s="4">
        <v>180.26920000000001</v>
      </c>
      <c r="O495" s="4">
        <v>121.2</v>
      </c>
      <c r="P495" s="4">
        <v>3.8764546470000001</v>
      </c>
      <c r="Q495" s="4">
        <v>85.8</v>
      </c>
      <c r="R495" s="10"/>
    </row>
    <row r="496" spans="1:18" x14ac:dyDescent="0.3">
      <c r="A496" t="s">
        <v>3</v>
      </c>
      <c r="B496" s="3" t="s">
        <v>281</v>
      </c>
      <c r="C496" s="2">
        <v>43103</v>
      </c>
      <c r="D496" s="9">
        <v>0.68541666666666667</v>
      </c>
      <c r="E496" s="3">
        <f t="shared" ca="1" si="7"/>
        <v>203358044</v>
      </c>
      <c r="F496" t="s">
        <v>12</v>
      </c>
      <c r="G496" t="s">
        <v>15</v>
      </c>
      <c r="H496" s="1" t="s">
        <v>235</v>
      </c>
      <c r="I496" t="s">
        <v>22</v>
      </c>
      <c r="J496" s="4">
        <v>1.7</v>
      </c>
      <c r="K496" s="4">
        <v>97.09</v>
      </c>
      <c r="L496" s="4">
        <v>2</v>
      </c>
      <c r="M496" s="4">
        <v>48.49</v>
      </c>
      <c r="N496" s="4">
        <v>156.45599999999999</v>
      </c>
      <c r="O496" s="4">
        <v>199.78</v>
      </c>
      <c r="P496" s="4">
        <v>3.8764546470000001</v>
      </c>
      <c r="Q496" s="4">
        <v>43.621000000000002</v>
      </c>
      <c r="R496" s="10"/>
    </row>
    <row r="497" spans="1:18" x14ac:dyDescent="0.3">
      <c r="A497" t="s">
        <v>3</v>
      </c>
      <c r="B497" s="3" t="s">
        <v>281</v>
      </c>
      <c r="C497" s="2">
        <v>43119</v>
      </c>
      <c r="D497" s="9">
        <v>0.65138888888888891</v>
      </c>
      <c r="E497" s="3">
        <f t="shared" ca="1" si="7"/>
        <v>471394183</v>
      </c>
      <c r="F497" t="s">
        <v>12</v>
      </c>
      <c r="G497" t="s">
        <v>15</v>
      </c>
      <c r="H497" s="1" t="s">
        <v>236</v>
      </c>
      <c r="I497" t="s">
        <v>20</v>
      </c>
      <c r="J497" s="4">
        <v>7</v>
      </c>
      <c r="K497" s="4">
        <v>65.040000000000006</v>
      </c>
      <c r="L497" s="4">
        <v>8</v>
      </c>
      <c r="M497" s="4">
        <v>22.94</v>
      </c>
      <c r="N497" s="4">
        <v>175.64769999999999</v>
      </c>
      <c r="O497" s="4">
        <v>607.36</v>
      </c>
      <c r="P497" s="4">
        <v>3.8764546470000001</v>
      </c>
      <c r="Q497" s="4">
        <v>96.373999999999995</v>
      </c>
      <c r="R497" s="10"/>
    </row>
    <row r="498" spans="1:18" x14ac:dyDescent="0.3">
      <c r="A498" t="s">
        <v>2</v>
      </c>
      <c r="B498" s="3" t="s">
        <v>280</v>
      </c>
      <c r="C498" s="2">
        <v>43063</v>
      </c>
      <c r="D498" s="9">
        <v>2.9166666666666667E-2</v>
      </c>
      <c r="E498" s="3">
        <f t="shared" ca="1" si="7"/>
        <v>645852847</v>
      </c>
      <c r="F498" t="s">
        <v>11</v>
      </c>
      <c r="G498" t="s">
        <v>15</v>
      </c>
      <c r="H498" s="1" t="s">
        <v>236</v>
      </c>
      <c r="I498" t="s">
        <v>18</v>
      </c>
      <c r="J498" s="4">
        <v>10</v>
      </c>
      <c r="K498" s="4">
        <v>98.68</v>
      </c>
      <c r="L498" s="4">
        <v>2</v>
      </c>
      <c r="M498" s="4">
        <v>53.26</v>
      </c>
      <c r="N498" s="4">
        <v>141.66079999999999</v>
      </c>
      <c r="O498" s="4">
        <v>126.44</v>
      </c>
      <c r="P498" s="4">
        <v>3.8764546470000001</v>
      </c>
      <c r="Q498" s="4">
        <v>92.207999999999998</v>
      </c>
      <c r="R498" s="10"/>
    </row>
    <row r="499" spans="1:18" x14ac:dyDescent="0.3">
      <c r="A499" t="s">
        <v>2</v>
      </c>
      <c r="B499" s="3" t="s">
        <v>280</v>
      </c>
      <c r="C499" s="2">
        <v>42809</v>
      </c>
      <c r="D499" s="9">
        <v>0.35972222222222222</v>
      </c>
      <c r="E499" s="3">
        <f t="shared" ca="1" si="7"/>
        <v>121845104</v>
      </c>
      <c r="F499" t="s">
        <v>11</v>
      </c>
      <c r="G499" t="s">
        <v>15</v>
      </c>
      <c r="H499" s="1" t="s">
        <v>236</v>
      </c>
      <c r="I499" t="s">
        <v>21</v>
      </c>
      <c r="J499" s="4">
        <v>9</v>
      </c>
      <c r="K499" s="4">
        <v>86.07</v>
      </c>
      <c r="L499" s="4">
        <v>6</v>
      </c>
      <c r="M499" s="4">
        <v>26.21</v>
      </c>
      <c r="N499" s="4">
        <v>135.63140000000001</v>
      </c>
      <c r="O499" s="4">
        <v>541.44000000000005</v>
      </c>
      <c r="P499" s="4">
        <v>3.8764546470000001</v>
      </c>
      <c r="Q499" s="4">
        <v>78.602000000000004</v>
      </c>
      <c r="R499" s="10"/>
    </row>
    <row r="500" spans="1:18" x14ac:dyDescent="0.3">
      <c r="A500" t="s">
        <v>3</v>
      </c>
      <c r="B500" s="3" t="s">
        <v>281</v>
      </c>
      <c r="C500" s="2">
        <v>42915</v>
      </c>
      <c r="D500" s="9">
        <v>0.87013888888888891</v>
      </c>
      <c r="E500" s="3">
        <f t="shared" ca="1" si="7"/>
        <v>188603616</v>
      </c>
      <c r="F500" t="s">
        <v>11</v>
      </c>
      <c r="G500" t="s">
        <v>14</v>
      </c>
      <c r="H500" s="1" t="s">
        <v>236</v>
      </c>
      <c r="I500" t="s">
        <v>20</v>
      </c>
      <c r="J500" s="4">
        <v>9</v>
      </c>
      <c r="K500" s="4">
        <v>60.01</v>
      </c>
      <c r="L500" s="4">
        <v>1</v>
      </c>
      <c r="M500" s="4">
        <v>12.39</v>
      </c>
      <c r="N500" s="4">
        <v>127.57859999999999</v>
      </c>
      <c r="O500" s="4">
        <v>98.13</v>
      </c>
      <c r="P500" s="4">
        <v>3.8764546470000001</v>
      </c>
      <c r="Q500" s="4">
        <v>31.902999999999999</v>
      </c>
      <c r="R500" s="10"/>
    </row>
    <row r="501" spans="1:18" x14ac:dyDescent="0.3">
      <c r="A501" t="s">
        <v>1</v>
      </c>
      <c r="B501" s="3" t="s">
        <v>279</v>
      </c>
      <c r="C501" s="2">
        <v>43028</v>
      </c>
      <c r="D501" s="9">
        <v>0.58333333333333337</v>
      </c>
      <c r="E501" s="3">
        <f t="shared" ca="1" si="7"/>
        <v>836043146</v>
      </c>
      <c r="F501" t="s">
        <v>11</v>
      </c>
      <c r="G501" t="s">
        <v>14</v>
      </c>
      <c r="H501" s="1" t="s">
        <v>236</v>
      </c>
      <c r="I501" t="s">
        <v>20</v>
      </c>
      <c r="J501" s="4">
        <v>7</v>
      </c>
      <c r="K501" s="4">
        <v>15.678000000000001</v>
      </c>
      <c r="L501" s="4">
        <v>8</v>
      </c>
      <c r="M501" s="4">
        <v>38.479999999999997</v>
      </c>
      <c r="N501" s="4">
        <v>101.5838</v>
      </c>
      <c r="O501" s="4">
        <v>412.16</v>
      </c>
      <c r="P501" s="4">
        <v>3.8764546470000001</v>
      </c>
      <c r="Q501" s="4">
        <v>22.245999999999999</v>
      </c>
      <c r="R501" s="10"/>
    </row>
    <row r="502" spans="1:18" ht="28.8" x14ac:dyDescent="0.3">
      <c r="A502" t="s">
        <v>3</v>
      </c>
      <c r="B502" s="3" t="s">
        <v>281</v>
      </c>
      <c r="C502" s="2">
        <v>43265</v>
      </c>
      <c r="D502" s="9">
        <v>0.56874999999999998</v>
      </c>
      <c r="E502" s="3">
        <f t="shared" ca="1" si="7"/>
        <v>215512822</v>
      </c>
      <c r="F502" t="s">
        <v>12</v>
      </c>
      <c r="G502" t="s">
        <v>14</v>
      </c>
      <c r="H502" s="1" t="s">
        <v>237</v>
      </c>
      <c r="I502" t="s">
        <v>20</v>
      </c>
      <c r="J502" s="4">
        <v>4.9000000000000004</v>
      </c>
      <c r="K502" s="4">
        <v>94.61</v>
      </c>
      <c r="L502" s="4">
        <v>1</v>
      </c>
      <c r="M502" s="4">
        <v>89.96</v>
      </c>
      <c r="N502" s="4">
        <v>162.10329999999999</v>
      </c>
      <c r="O502" s="4">
        <v>73.97</v>
      </c>
      <c r="P502" s="4">
        <v>3.8764546470000001</v>
      </c>
      <c r="Q502" s="4">
        <v>66.631</v>
      </c>
      <c r="R502" s="10"/>
    </row>
    <row r="503" spans="1:18" x14ac:dyDescent="0.3">
      <c r="A503" t="s">
        <v>2</v>
      </c>
      <c r="B503" s="3" t="s">
        <v>280</v>
      </c>
      <c r="C503" s="2">
        <v>42885</v>
      </c>
      <c r="D503" s="9">
        <v>0.26250000000000001</v>
      </c>
      <c r="E503" s="3">
        <f t="shared" ca="1" si="7"/>
        <v>680589750</v>
      </c>
      <c r="F503" t="s">
        <v>11</v>
      </c>
      <c r="G503" t="s">
        <v>14</v>
      </c>
      <c r="H503" s="1" t="s">
        <v>235</v>
      </c>
      <c r="I503" t="s">
        <v>22</v>
      </c>
      <c r="J503" s="4">
        <v>8</v>
      </c>
      <c r="K503" s="4">
        <v>88.52</v>
      </c>
      <c r="L503" s="4">
        <v>1</v>
      </c>
      <c r="M503" s="4">
        <v>26.99</v>
      </c>
      <c r="N503" s="4">
        <v>163.46979999999999</v>
      </c>
      <c r="O503" s="4">
        <v>31.9</v>
      </c>
      <c r="P503" s="4">
        <v>3.8764546470000001</v>
      </c>
      <c r="Q503" s="4">
        <v>72.674000000000007</v>
      </c>
      <c r="R503" s="10"/>
    </row>
    <row r="504" spans="1:18" x14ac:dyDescent="0.3">
      <c r="A504" t="s">
        <v>2</v>
      </c>
      <c r="B504" s="3" t="s">
        <v>280</v>
      </c>
      <c r="C504" s="2">
        <v>42885</v>
      </c>
      <c r="D504" s="9">
        <v>0.30625000000000002</v>
      </c>
      <c r="E504" s="3">
        <f t="shared" ca="1" si="7"/>
        <v>125291848</v>
      </c>
      <c r="F504" t="s">
        <v>12</v>
      </c>
      <c r="G504" t="s">
        <v>15</v>
      </c>
      <c r="H504" s="1" t="s">
        <v>235</v>
      </c>
      <c r="I504" t="s">
        <v>19</v>
      </c>
      <c r="J504" s="4">
        <v>5.8</v>
      </c>
      <c r="K504" s="4">
        <v>67.84</v>
      </c>
      <c r="L504" s="4">
        <v>2</v>
      </c>
      <c r="M504" s="4">
        <v>44.68</v>
      </c>
      <c r="N504" s="4">
        <v>140.8313</v>
      </c>
      <c r="O504" s="4">
        <v>138.80000000000001</v>
      </c>
      <c r="P504" s="4">
        <v>3.8764546470000001</v>
      </c>
      <c r="Q504" s="4">
        <v>74.89</v>
      </c>
      <c r="R504" s="10"/>
    </row>
    <row r="505" spans="1:18" x14ac:dyDescent="0.3">
      <c r="A505" t="s">
        <v>3</v>
      </c>
      <c r="B505" s="3" t="s">
        <v>281</v>
      </c>
      <c r="C505" s="2">
        <v>43085</v>
      </c>
      <c r="D505" s="9">
        <v>0.34513888888888888</v>
      </c>
      <c r="E505" s="3">
        <f t="shared" ca="1" si="7"/>
        <v>85923390</v>
      </c>
      <c r="F505" t="s">
        <v>11</v>
      </c>
      <c r="G505" t="s">
        <v>15</v>
      </c>
      <c r="H505" s="1" t="s">
        <v>236</v>
      </c>
      <c r="I505" t="s">
        <v>20</v>
      </c>
      <c r="J505" s="4">
        <v>9.4</v>
      </c>
      <c r="K505" s="4">
        <v>84.63</v>
      </c>
      <c r="L505" s="4">
        <v>2</v>
      </c>
      <c r="M505" s="4">
        <v>88.22</v>
      </c>
      <c r="N505" s="4">
        <v>149.3724</v>
      </c>
      <c r="O505" s="4">
        <v>186.62</v>
      </c>
      <c r="P505" s="4">
        <v>3.8764546470000001</v>
      </c>
      <c r="Q505" s="4">
        <v>76.180000000000007</v>
      </c>
      <c r="R505" s="10"/>
    </row>
    <row r="506" spans="1:18" ht="28.8" x14ac:dyDescent="0.3">
      <c r="A506" t="s">
        <v>3</v>
      </c>
      <c r="B506" s="3" t="s">
        <v>281</v>
      </c>
      <c r="C506" s="2">
        <v>42853</v>
      </c>
      <c r="D506" s="9">
        <v>0.56874999999999998</v>
      </c>
      <c r="E506" s="3">
        <f t="shared" ca="1" si="7"/>
        <v>884791788</v>
      </c>
      <c r="F506" t="s">
        <v>12</v>
      </c>
      <c r="G506" t="s">
        <v>15</v>
      </c>
      <c r="H506" s="1" t="s">
        <v>237</v>
      </c>
      <c r="I506" t="s">
        <v>20</v>
      </c>
      <c r="J506" s="4">
        <v>1.6</v>
      </c>
      <c r="K506" s="4">
        <v>97.63</v>
      </c>
      <c r="L506" s="4">
        <v>1</v>
      </c>
      <c r="M506" s="4">
        <v>69.81</v>
      </c>
      <c r="N506" s="4">
        <v>184.87100000000001</v>
      </c>
      <c r="O506" s="4">
        <v>88.45</v>
      </c>
      <c r="P506" s="4">
        <v>3.8764546470000001</v>
      </c>
      <c r="Q506" s="4">
        <v>87.93</v>
      </c>
      <c r="R506" s="10"/>
    </row>
    <row r="507" spans="1:18" x14ac:dyDescent="0.3">
      <c r="A507" t="s">
        <v>1</v>
      </c>
      <c r="B507" s="3" t="s">
        <v>279</v>
      </c>
      <c r="C507" s="2">
        <v>42842</v>
      </c>
      <c r="D507" s="9">
        <v>0.59305555555555556</v>
      </c>
      <c r="E507" s="3">
        <f t="shared" ca="1" si="7"/>
        <v>666575742</v>
      </c>
      <c r="F507" t="s">
        <v>12</v>
      </c>
      <c r="G507" t="s">
        <v>14</v>
      </c>
      <c r="H507" s="1" t="s">
        <v>235</v>
      </c>
      <c r="I507" t="s">
        <v>18</v>
      </c>
      <c r="J507" s="4">
        <v>4.2</v>
      </c>
      <c r="K507" s="4">
        <v>30.26</v>
      </c>
      <c r="L507" s="4">
        <v>8</v>
      </c>
      <c r="M507" s="4">
        <v>55.78</v>
      </c>
      <c r="N507" s="4">
        <v>130.91069999999999</v>
      </c>
      <c r="O507" s="4">
        <v>193.44</v>
      </c>
      <c r="P507" s="4">
        <v>3.8764546470000001</v>
      </c>
      <c r="Q507" s="4">
        <v>65.25</v>
      </c>
      <c r="R507" s="10"/>
    </row>
    <row r="508" spans="1:18" x14ac:dyDescent="0.3">
      <c r="A508" t="s">
        <v>3</v>
      </c>
      <c r="B508" s="3" t="s">
        <v>281</v>
      </c>
      <c r="C508" s="2">
        <v>42931</v>
      </c>
      <c r="D508" s="9">
        <v>0.86527777777777781</v>
      </c>
      <c r="E508" s="3">
        <f t="shared" ca="1" si="7"/>
        <v>295989819</v>
      </c>
      <c r="F508" t="s">
        <v>11</v>
      </c>
      <c r="G508" t="s">
        <v>14</v>
      </c>
      <c r="H508" s="1" t="s">
        <v>236</v>
      </c>
      <c r="I508" t="s">
        <v>20</v>
      </c>
      <c r="J508" s="4">
        <v>5.6</v>
      </c>
      <c r="K508" s="4">
        <v>49.37</v>
      </c>
      <c r="L508" s="4">
        <v>3</v>
      </c>
      <c r="M508" s="4">
        <v>35.26</v>
      </c>
      <c r="N508" s="4">
        <v>180.7252</v>
      </c>
      <c r="O508" s="4">
        <v>145.5</v>
      </c>
      <c r="P508" s="4">
        <v>3.8764546470000001</v>
      </c>
      <c r="Q508" s="4">
        <v>72.86</v>
      </c>
      <c r="R508" s="10"/>
    </row>
    <row r="509" spans="1:18" ht="28.8" x14ac:dyDescent="0.3">
      <c r="A509" t="s">
        <v>3</v>
      </c>
      <c r="B509" s="3" t="s">
        <v>281</v>
      </c>
      <c r="C509" s="2">
        <v>42860</v>
      </c>
      <c r="D509" s="9">
        <v>1.9444444444444445E-2</v>
      </c>
      <c r="E509" s="3">
        <f t="shared" ca="1" si="7"/>
        <v>74470762</v>
      </c>
      <c r="F509" t="s">
        <v>11</v>
      </c>
      <c r="G509" t="s">
        <v>15</v>
      </c>
      <c r="H509" s="1" t="s">
        <v>237</v>
      </c>
      <c r="I509" t="s">
        <v>21</v>
      </c>
      <c r="J509" s="4">
        <v>2</v>
      </c>
      <c r="K509" s="4">
        <v>63.88</v>
      </c>
      <c r="L509" s="4">
        <v>6</v>
      </c>
      <c r="M509" s="4">
        <v>87.84</v>
      </c>
      <c r="N509" s="4">
        <v>170.39359999999999</v>
      </c>
      <c r="O509" s="4">
        <v>504.3</v>
      </c>
      <c r="P509" s="4">
        <v>3.8764546470000001</v>
      </c>
      <c r="Q509" s="4">
        <v>69.48</v>
      </c>
      <c r="R509" s="10"/>
    </row>
    <row r="510" spans="1:18" x14ac:dyDescent="0.3">
      <c r="A510" t="s">
        <v>3</v>
      </c>
      <c r="B510" s="3" t="s">
        <v>281</v>
      </c>
      <c r="C510" s="2">
        <v>42995</v>
      </c>
      <c r="D510" s="9">
        <v>0.16527777777777777</v>
      </c>
      <c r="E510" s="3">
        <f t="shared" ca="1" si="7"/>
        <v>675662099</v>
      </c>
      <c r="F510" t="s">
        <v>12</v>
      </c>
      <c r="G510" t="s">
        <v>14</v>
      </c>
      <c r="H510" s="1" t="s">
        <v>236</v>
      </c>
      <c r="I510" t="s">
        <v>17</v>
      </c>
      <c r="J510" s="4">
        <v>2.6</v>
      </c>
      <c r="K510" s="4">
        <v>41.536000000000001</v>
      </c>
      <c r="L510" s="4">
        <v>5</v>
      </c>
      <c r="M510" s="4">
        <v>35.19</v>
      </c>
      <c r="N510" s="4">
        <v>172.47190000000001</v>
      </c>
      <c r="O510" s="4">
        <v>306.45</v>
      </c>
      <c r="P510" s="4">
        <v>3.8764546470000001</v>
      </c>
      <c r="Q510" s="4">
        <v>48.37</v>
      </c>
      <c r="R510" s="10"/>
    </row>
    <row r="511" spans="1:18" ht="28.8" x14ac:dyDescent="0.3">
      <c r="A511" t="s">
        <v>2</v>
      </c>
      <c r="B511" s="3" t="s">
        <v>280</v>
      </c>
      <c r="C511" s="2">
        <v>43312</v>
      </c>
      <c r="D511" s="9">
        <v>0.24791666666666667</v>
      </c>
      <c r="E511" s="3">
        <f t="shared" ca="1" si="7"/>
        <v>630647099</v>
      </c>
      <c r="F511" t="s">
        <v>11</v>
      </c>
      <c r="G511" t="s">
        <v>14</v>
      </c>
      <c r="H511" s="1" t="s">
        <v>237</v>
      </c>
      <c r="I511" t="s">
        <v>19</v>
      </c>
      <c r="J511" s="4">
        <v>8</v>
      </c>
      <c r="K511" s="4">
        <v>82.691999999999993</v>
      </c>
      <c r="L511" s="4">
        <v>6</v>
      </c>
      <c r="M511" s="4">
        <v>43.18</v>
      </c>
      <c r="N511" s="4">
        <v>131.36850000000001</v>
      </c>
      <c r="O511" s="4">
        <v>95.7</v>
      </c>
      <c r="P511" s="4">
        <v>3.8764546470000001</v>
      </c>
      <c r="Q511" s="4">
        <v>75.75</v>
      </c>
      <c r="R511" s="10"/>
    </row>
    <row r="512" spans="1:18" ht="28.8" x14ac:dyDescent="0.3">
      <c r="A512" t="s">
        <v>3</v>
      </c>
      <c r="B512" s="3" t="s">
        <v>281</v>
      </c>
      <c r="C512" s="2">
        <v>43103</v>
      </c>
      <c r="D512" s="9">
        <v>0.18958333333333333</v>
      </c>
      <c r="E512" s="3">
        <f t="shared" ca="1" si="7"/>
        <v>202468518</v>
      </c>
      <c r="F512" t="s">
        <v>11</v>
      </c>
      <c r="G512" t="s">
        <v>14</v>
      </c>
      <c r="H512" s="1" t="s">
        <v>237</v>
      </c>
      <c r="I512" t="s">
        <v>20</v>
      </c>
      <c r="J512" s="4">
        <v>2.2999999999999998</v>
      </c>
      <c r="K512" s="4">
        <v>55.07</v>
      </c>
      <c r="L512" s="4">
        <v>7</v>
      </c>
      <c r="M512" s="4">
        <v>95.12</v>
      </c>
      <c r="N512" s="4">
        <v>124.5048</v>
      </c>
      <c r="O512" s="4">
        <v>635.17999999999995</v>
      </c>
      <c r="P512" s="4">
        <v>3.8764546470000001</v>
      </c>
      <c r="Q512" s="4">
        <v>85.524000000000001</v>
      </c>
      <c r="R512" s="10"/>
    </row>
    <row r="513" spans="1:18" x14ac:dyDescent="0.3">
      <c r="A513" t="s">
        <v>1</v>
      </c>
      <c r="B513" s="3" t="s">
        <v>279</v>
      </c>
      <c r="C513" s="2">
        <v>42855</v>
      </c>
      <c r="D513" s="9">
        <v>0.5493055555555556</v>
      </c>
      <c r="E513" s="3">
        <f t="shared" ca="1" si="7"/>
        <v>945489384</v>
      </c>
      <c r="F513" t="s">
        <v>11</v>
      </c>
      <c r="G513" t="s">
        <v>15</v>
      </c>
      <c r="H513" s="1" t="s">
        <v>235</v>
      </c>
      <c r="I513" t="s">
        <v>19</v>
      </c>
      <c r="J513" s="4">
        <v>3</v>
      </c>
      <c r="K513" s="4">
        <v>70.972999999999999</v>
      </c>
      <c r="L513" s="4">
        <v>5</v>
      </c>
      <c r="M513" s="4">
        <v>72.8</v>
      </c>
      <c r="N513" s="4">
        <v>103.6544</v>
      </c>
      <c r="O513" s="4">
        <v>214.55</v>
      </c>
      <c r="P513" s="4">
        <v>3.8764546470000001</v>
      </c>
      <c r="Q513" s="4">
        <v>58.985999999999997</v>
      </c>
      <c r="R513" s="10"/>
    </row>
    <row r="514" spans="1:18" x14ac:dyDescent="0.3">
      <c r="A514" t="s">
        <v>1</v>
      </c>
      <c r="B514" s="3" t="s">
        <v>279</v>
      </c>
      <c r="C514" s="2">
        <v>43274</v>
      </c>
      <c r="D514" s="9">
        <v>0.74375000000000002</v>
      </c>
      <c r="E514" s="3">
        <f t="shared" ca="1" si="7"/>
        <v>727449064</v>
      </c>
      <c r="F514" t="s">
        <v>11</v>
      </c>
      <c r="G514" t="s">
        <v>15</v>
      </c>
      <c r="H514" s="1" t="s">
        <v>235</v>
      </c>
      <c r="I514" t="s">
        <v>22</v>
      </c>
      <c r="J514" s="4">
        <v>8.1999999999999993</v>
      </c>
      <c r="K514" s="4">
        <v>62.59</v>
      </c>
      <c r="L514" s="4">
        <v>7</v>
      </c>
      <c r="M514" s="4">
        <v>93.79</v>
      </c>
      <c r="N514" s="4">
        <v>112.5376</v>
      </c>
      <c r="O514" s="4">
        <v>379.96</v>
      </c>
      <c r="P514" s="4">
        <v>3.8764546470000001</v>
      </c>
      <c r="Q514" s="4">
        <v>17.044</v>
      </c>
      <c r="R514" s="10"/>
    </row>
    <row r="515" spans="1:18" x14ac:dyDescent="0.3">
      <c r="A515" t="s">
        <v>1</v>
      </c>
      <c r="B515" s="3" t="s">
        <v>279</v>
      </c>
      <c r="C515" s="2">
        <v>43361</v>
      </c>
      <c r="D515" s="9">
        <v>5.8333333333333334E-2</v>
      </c>
      <c r="E515" s="3">
        <f t="shared" ref="E515:E578" ca="1" si="8">RANDBETWEEN(10000000,1000000000)</f>
        <v>388264968</v>
      </c>
      <c r="F515" t="s">
        <v>12</v>
      </c>
      <c r="G515" t="s">
        <v>15</v>
      </c>
      <c r="H515" s="1" t="s">
        <v>236</v>
      </c>
      <c r="I515" t="s">
        <v>18</v>
      </c>
      <c r="J515" s="4">
        <v>7.5</v>
      </c>
      <c r="K515" s="4">
        <v>58.86</v>
      </c>
      <c r="L515" s="4">
        <v>7</v>
      </c>
      <c r="M515" s="4">
        <v>55.28</v>
      </c>
      <c r="N515" s="4">
        <v>165.49160000000001</v>
      </c>
      <c r="O515" s="4">
        <v>696.85</v>
      </c>
      <c r="P515" s="4">
        <v>3.8764546470000001</v>
      </c>
      <c r="Q515" s="4">
        <v>70.302000000000007</v>
      </c>
      <c r="R515" s="10"/>
    </row>
    <row r="516" spans="1:18" ht="28.8" x14ac:dyDescent="0.3">
      <c r="A516" t="s">
        <v>2</v>
      </c>
      <c r="B516" s="3" t="s">
        <v>280</v>
      </c>
      <c r="C516" s="2">
        <v>42834</v>
      </c>
      <c r="D516" s="9">
        <v>9.2361111111111116E-2</v>
      </c>
      <c r="E516" s="3">
        <f t="shared" ca="1" si="8"/>
        <v>677704728</v>
      </c>
      <c r="F516" t="s">
        <v>12</v>
      </c>
      <c r="G516" t="s">
        <v>14</v>
      </c>
      <c r="H516" s="1" t="s">
        <v>237</v>
      </c>
      <c r="I516" t="s">
        <v>20</v>
      </c>
      <c r="J516" s="4">
        <v>1.6</v>
      </c>
      <c r="K516" s="4">
        <v>75.47</v>
      </c>
      <c r="L516" s="4">
        <v>7</v>
      </c>
      <c r="M516" s="4">
        <v>54.7</v>
      </c>
      <c r="N516" s="4">
        <v>155.18360000000001</v>
      </c>
      <c r="O516" s="4">
        <v>408.73</v>
      </c>
      <c r="P516" s="4">
        <v>3.8764546470000001</v>
      </c>
      <c r="Q516" s="4">
        <v>24.143999999999998</v>
      </c>
      <c r="R516" s="10"/>
    </row>
    <row r="517" spans="1:18" x14ac:dyDescent="0.3">
      <c r="A517" t="s">
        <v>2</v>
      </c>
      <c r="B517" s="3" t="s">
        <v>280</v>
      </c>
      <c r="C517" s="2">
        <v>42799</v>
      </c>
      <c r="D517" s="9">
        <v>0.83125000000000004</v>
      </c>
      <c r="E517" s="3">
        <f t="shared" ca="1" si="8"/>
        <v>761771458</v>
      </c>
      <c r="F517" t="s">
        <v>11</v>
      </c>
      <c r="G517" t="s">
        <v>14</v>
      </c>
      <c r="H517" s="1" t="s">
        <v>235</v>
      </c>
      <c r="I517" t="s">
        <v>22</v>
      </c>
      <c r="J517" s="4">
        <v>4.3</v>
      </c>
      <c r="K517" s="4">
        <v>57.24</v>
      </c>
      <c r="L517" s="4">
        <v>1</v>
      </c>
      <c r="M517" s="4">
        <v>20.239999999999998</v>
      </c>
      <c r="N517" s="4">
        <v>144.9564</v>
      </c>
      <c r="O517" s="4">
        <v>51.47</v>
      </c>
      <c r="P517" s="4">
        <v>3.8764546470000001</v>
      </c>
      <c r="Q517" s="4">
        <v>54.526000000000003</v>
      </c>
      <c r="R517" s="10"/>
    </row>
    <row r="518" spans="1:18" x14ac:dyDescent="0.3">
      <c r="A518" t="s">
        <v>3</v>
      </c>
      <c r="B518" s="3" t="s">
        <v>281</v>
      </c>
      <c r="C518" s="2">
        <v>43054</v>
      </c>
      <c r="D518" s="9">
        <v>0.2722222222222222</v>
      </c>
      <c r="E518" s="3">
        <f t="shared" ca="1" si="8"/>
        <v>107317338</v>
      </c>
      <c r="F518" t="s">
        <v>12</v>
      </c>
      <c r="G518" t="s">
        <v>14</v>
      </c>
      <c r="H518" s="1" t="s">
        <v>235</v>
      </c>
      <c r="I518" t="s">
        <v>17</v>
      </c>
      <c r="J518" s="4">
        <v>7.3</v>
      </c>
      <c r="K518" s="4">
        <v>19.7</v>
      </c>
      <c r="L518" s="4">
        <v>5</v>
      </c>
      <c r="M518" s="4">
        <v>96.79</v>
      </c>
      <c r="N518" s="4">
        <v>121.24250000000001</v>
      </c>
      <c r="O518" s="4">
        <v>274.3</v>
      </c>
      <c r="P518" s="4">
        <v>3.8764546470000001</v>
      </c>
      <c r="Q518" s="4">
        <v>40.981000000000002</v>
      </c>
      <c r="R518" s="10"/>
    </row>
    <row r="519" spans="1:18" ht="28.8" x14ac:dyDescent="0.3">
      <c r="A519" t="s">
        <v>2</v>
      </c>
      <c r="B519" s="3" t="s">
        <v>280</v>
      </c>
      <c r="C519" s="2">
        <v>43244</v>
      </c>
      <c r="D519" s="9">
        <v>0.47638888888888886</v>
      </c>
      <c r="E519" s="3">
        <f t="shared" ca="1" si="8"/>
        <v>35248892</v>
      </c>
      <c r="F519" t="s">
        <v>12</v>
      </c>
      <c r="G519" t="s">
        <v>14</v>
      </c>
      <c r="H519" s="1" t="s">
        <v>237</v>
      </c>
      <c r="I519" t="s">
        <v>19</v>
      </c>
      <c r="J519" s="4">
        <v>7.5</v>
      </c>
      <c r="K519" s="4">
        <v>33.549999999999997</v>
      </c>
      <c r="L519" s="4">
        <v>5</v>
      </c>
      <c r="M519" s="4">
        <v>68.27</v>
      </c>
      <c r="N519" s="4">
        <v>152.9478</v>
      </c>
      <c r="O519" s="4">
        <v>196.95</v>
      </c>
      <c r="P519" s="4">
        <v>3.8764546470000001</v>
      </c>
      <c r="Q519" s="4">
        <v>32.796999999999997</v>
      </c>
      <c r="R519" s="10"/>
    </row>
    <row r="520" spans="1:18" x14ac:dyDescent="0.3">
      <c r="A520" t="s">
        <v>1</v>
      </c>
      <c r="B520" s="3" t="s">
        <v>279</v>
      </c>
      <c r="C520" s="2">
        <v>43137</v>
      </c>
      <c r="D520" s="9">
        <v>0.23333333333333334</v>
      </c>
      <c r="E520" s="3">
        <f t="shared" ca="1" si="8"/>
        <v>819642087</v>
      </c>
      <c r="F520" t="s">
        <v>12</v>
      </c>
      <c r="G520" t="s">
        <v>15</v>
      </c>
      <c r="H520" s="1" t="s">
        <v>235</v>
      </c>
      <c r="I520" t="s">
        <v>19</v>
      </c>
      <c r="J520" s="4">
        <v>6.8</v>
      </c>
      <c r="K520" s="4">
        <v>82.5</v>
      </c>
      <c r="L520" s="4">
        <v>2</v>
      </c>
      <c r="M520" s="4">
        <v>44.18</v>
      </c>
      <c r="N520" s="4">
        <v>132.0181</v>
      </c>
      <c r="O520" s="4">
        <v>69.459999999999994</v>
      </c>
      <c r="P520" s="4">
        <v>3.8764546470000001</v>
      </c>
      <c r="Q520" s="4">
        <v>89.11</v>
      </c>
      <c r="R520" s="10"/>
    </row>
    <row r="521" spans="1:18" ht="28.8" x14ac:dyDescent="0.3">
      <c r="A521" t="s">
        <v>2</v>
      </c>
      <c r="B521" s="3" t="s">
        <v>280</v>
      </c>
      <c r="C521" s="2">
        <v>42891</v>
      </c>
      <c r="D521" s="9">
        <v>1.4583333333333334E-2</v>
      </c>
      <c r="E521" s="3">
        <f t="shared" ca="1" si="8"/>
        <v>652496486</v>
      </c>
      <c r="F521" t="s">
        <v>12</v>
      </c>
      <c r="G521" t="s">
        <v>14</v>
      </c>
      <c r="H521" s="1" t="s">
        <v>237</v>
      </c>
      <c r="I521" t="s">
        <v>20</v>
      </c>
      <c r="J521" s="4">
        <v>6</v>
      </c>
      <c r="K521" s="4">
        <v>75.69</v>
      </c>
      <c r="L521" s="4">
        <v>5</v>
      </c>
      <c r="M521" s="4">
        <v>31.18</v>
      </c>
      <c r="N521" s="4">
        <v>145.78899999999999</v>
      </c>
      <c r="O521" s="4">
        <v>359.6</v>
      </c>
      <c r="P521" s="4">
        <v>3.8764546470000001</v>
      </c>
      <c r="Q521" s="4">
        <v>97.79</v>
      </c>
      <c r="R521" s="10"/>
    </row>
    <row r="522" spans="1:18" ht="28.8" x14ac:dyDescent="0.3">
      <c r="A522" t="s">
        <v>3</v>
      </c>
      <c r="B522" s="3" t="s">
        <v>281</v>
      </c>
      <c r="C522" s="2">
        <v>43209</v>
      </c>
      <c r="D522" s="9">
        <v>0.83611111111111114</v>
      </c>
      <c r="E522" s="3">
        <f t="shared" ca="1" si="8"/>
        <v>635094244</v>
      </c>
      <c r="F522" t="s">
        <v>11</v>
      </c>
      <c r="G522" t="s">
        <v>15</v>
      </c>
      <c r="H522" s="1" t="s">
        <v>237</v>
      </c>
      <c r="I522" t="s">
        <v>18</v>
      </c>
      <c r="J522" s="4">
        <v>2</v>
      </c>
      <c r="K522" s="4">
        <v>18.75</v>
      </c>
      <c r="L522" s="4">
        <v>3</v>
      </c>
      <c r="M522" s="4">
        <v>43.23</v>
      </c>
      <c r="N522" s="4">
        <v>137.58670000000001</v>
      </c>
      <c r="O522" s="4">
        <v>137.13</v>
      </c>
      <c r="P522" s="4">
        <v>3.8764546470000001</v>
      </c>
      <c r="Q522" s="4">
        <v>34.42</v>
      </c>
      <c r="R522" s="10"/>
    </row>
    <row r="523" spans="1:18" x14ac:dyDescent="0.3">
      <c r="A523" t="s">
        <v>2</v>
      </c>
      <c r="B523" s="3" t="s">
        <v>280</v>
      </c>
      <c r="C523" s="2">
        <v>43335</v>
      </c>
      <c r="D523" s="9">
        <v>0.1361111111111111</v>
      </c>
      <c r="E523" s="3">
        <f t="shared" ca="1" si="8"/>
        <v>736334814</v>
      </c>
      <c r="F523" t="s">
        <v>11</v>
      </c>
      <c r="G523" t="s">
        <v>14</v>
      </c>
      <c r="H523" s="1" t="s">
        <v>236</v>
      </c>
      <c r="I523" t="s">
        <v>19</v>
      </c>
      <c r="J523" s="4">
        <v>9</v>
      </c>
      <c r="K523" s="4">
        <v>61.58</v>
      </c>
      <c r="L523" s="4">
        <v>6</v>
      </c>
      <c r="M523" s="4">
        <v>53.81</v>
      </c>
      <c r="N523" s="4">
        <v>118.2359</v>
      </c>
      <c r="O523" s="4">
        <v>499.02</v>
      </c>
      <c r="P523" s="4">
        <v>3.8764546470000001</v>
      </c>
      <c r="Q523" s="4">
        <v>33.29</v>
      </c>
      <c r="R523" s="10"/>
    </row>
    <row r="524" spans="1:18" ht="28.8" x14ac:dyDescent="0.3">
      <c r="A524" t="s">
        <v>1</v>
      </c>
      <c r="B524" s="3" t="s">
        <v>279</v>
      </c>
      <c r="C524" s="2">
        <v>43181</v>
      </c>
      <c r="D524" s="9">
        <v>0.40833333333333333</v>
      </c>
      <c r="E524" s="3">
        <f t="shared" ca="1" si="8"/>
        <v>615681829</v>
      </c>
      <c r="F524" t="s">
        <v>11</v>
      </c>
      <c r="G524" t="s">
        <v>14</v>
      </c>
      <c r="H524" s="1" t="s">
        <v>237</v>
      </c>
      <c r="I524" t="s">
        <v>19</v>
      </c>
      <c r="J524" s="4">
        <v>6</v>
      </c>
      <c r="K524" s="4">
        <v>56.28</v>
      </c>
      <c r="L524" s="4">
        <v>6</v>
      </c>
      <c r="M524" s="4">
        <v>76.540000000000006</v>
      </c>
      <c r="N524" s="4">
        <v>162.31549999999999</v>
      </c>
      <c r="O524" s="4">
        <v>224.64</v>
      </c>
      <c r="P524" s="4">
        <v>3.8764546470000001</v>
      </c>
      <c r="Q524" s="4">
        <v>45.91</v>
      </c>
      <c r="R524" s="10"/>
    </row>
    <row r="525" spans="1:18" x14ac:dyDescent="0.3">
      <c r="A525" t="s">
        <v>2</v>
      </c>
      <c r="B525" s="3" t="s">
        <v>280</v>
      </c>
      <c r="C525" s="2">
        <v>43055</v>
      </c>
      <c r="D525" s="9">
        <v>0.24305555555555555</v>
      </c>
      <c r="E525" s="3">
        <f t="shared" ca="1" si="8"/>
        <v>208650304</v>
      </c>
      <c r="F525" t="s">
        <v>12</v>
      </c>
      <c r="G525" t="s">
        <v>15</v>
      </c>
      <c r="H525" s="1" t="s">
        <v>236</v>
      </c>
      <c r="I525" t="s">
        <v>17</v>
      </c>
      <c r="J525" s="4">
        <v>4</v>
      </c>
      <c r="K525" s="4">
        <v>27.52</v>
      </c>
      <c r="L525" s="4">
        <v>2</v>
      </c>
      <c r="M525" s="4">
        <v>90.94</v>
      </c>
      <c r="N525" s="4">
        <v>162.5009</v>
      </c>
      <c r="O525" s="4">
        <v>125.74</v>
      </c>
      <c r="P525" s="4">
        <v>3.8764546470000001</v>
      </c>
      <c r="Q525" s="4">
        <v>69.099999999999994</v>
      </c>
      <c r="R525" s="10"/>
    </row>
    <row r="526" spans="1:18" ht="28.8" x14ac:dyDescent="0.3">
      <c r="A526" t="s">
        <v>1</v>
      </c>
      <c r="B526" s="3" t="s">
        <v>279</v>
      </c>
      <c r="C526" s="2">
        <v>42817</v>
      </c>
      <c r="D526" s="9">
        <v>0.27708333333333335</v>
      </c>
      <c r="E526" s="3">
        <f t="shared" ca="1" si="8"/>
        <v>747018611</v>
      </c>
      <c r="F526" t="s">
        <v>12</v>
      </c>
      <c r="G526" t="s">
        <v>15</v>
      </c>
      <c r="H526" s="1" t="s">
        <v>237</v>
      </c>
      <c r="I526" t="s">
        <v>21</v>
      </c>
      <c r="J526" s="4">
        <v>5</v>
      </c>
      <c r="K526" s="4">
        <v>66.55</v>
      </c>
      <c r="L526" s="4">
        <v>6</v>
      </c>
      <c r="M526" s="4">
        <v>24.94</v>
      </c>
      <c r="N526" s="4">
        <v>173.40629999999999</v>
      </c>
      <c r="O526" s="4">
        <v>490.26</v>
      </c>
      <c r="P526" s="4">
        <v>3.8764546470000001</v>
      </c>
      <c r="Q526" s="4">
        <v>89.16</v>
      </c>
      <c r="R526" s="10"/>
    </row>
    <row r="527" spans="1:18" x14ac:dyDescent="0.3">
      <c r="A527" t="s">
        <v>1</v>
      </c>
      <c r="B527" s="3" t="s">
        <v>279</v>
      </c>
      <c r="C527" s="2">
        <v>43006</v>
      </c>
      <c r="D527" s="9">
        <v>0.96250000000000002</v>
      </c>
      <c r="E527" s="3">
        <f t="shared" ca="1" si="8"/>
        <v>120545693</v>
      </c>
      <c r="F527" t="s">
        <v>11</v>
      </c>
      <c r="G527" t="s">
        <v>14</v>
      </c>
      <c r="H527" s="1" t="s">
        <v>235</v>
      </c>
      <c r="I527" t="s">
        <v>20</v>
      </c>
      <c r="J527" s="4">
        <v>10</v>
      </c>
      <c r="K527" s="4">
        <v>80.5</v>
      </c>
      <c r="L527" s="4">
        <v>5</v>
      </c>
      <c r="M527" s="4">
        <v>39.81</v>
      </c>
      <c r="N527" s="4">
        <v>112.94589999999999</v>
      </c>
      <c r="O527" s="4">
        <v>457.05</v>
      </c>
      <c r="P527" s="4">
        <v>3.8764546470000001</v>
      </c>
      <c r="Q527" s="4">
        <v>39.42</v>
      </c>
      <c r="R527" s="10"/>
    </row>
    <row r="528" spans="1:18" ht="28.8" x14ac:dyDescent="0.3">
      <c r="A528" t="s">
        <v>3</v>
      </c>
      <c r="B528" s="3" t="s">
        <v>281</v>
      </c>
      <c r="C528" s="2">
        <v>42862</v>
      </c>
      <c r="D528" s="9">
        <v>0.58819444444444446</v>
      </c>
      <c r="E528" s="3">
        <f t="shared" ca="1" si="8"/>
        <v>65113867</v>
      </c>
      <c r="F528" t="s">
        <v>12</v>
      </c>
      <c r="G528" t="s">
        <v>15</v>
      </c>
      <c r="H528" s="1" t="s">
        <v>237</v>
      </c>
      <c r="I528" t="s">
        <v>22</v>
      </c>
      <c r="J528" s="4">
        <v>9.6</v>
      </c>
      <c r="K528" s="4">
        <v>33.96</v>
      </c>
      <c r="L528" s="4">
        <v>4</v>
      </c>
      <c r="M528" s="4">
        <v>51.87</v>
      </c>
      <c r="N528" s="4">
        <v>168.7801</v>
      </c>
      <c r="O528" s="4">
        <v>156.84</v>
      </c>
      <c r="P528" s="4">
        <v>3.8764546470000001</v>
      </c>
      <c r="Q528" s="4">
        <v>10.438000000000001</v>
      </c>
      <c r="R528" s="10"/>
    </row>
    <row r="529" spans="1:18" x14ac:dyDescent="0.3">
      <c r="A529" t="s">
        <v>3</v>
      </c>
      <c r="B529" s="3" t="s">
        <v>281</v>
      </c>
      <c r="C529" s="2">
        <v>43258</v>
      </c>
      <c r="D529" s="9">
        <v>0.52013888888888893</v>
      </c>
      <c r="E529" s="3">
        <f t="shared" ca="1" si="8"/>
        <v>802710370</v>
      </c>
      <c r="F529" t="s">
        <v>12</v>
      </c>
      <c r="G529" t="s">
        <v>14</v>
      </c>
      <c r="H529" s="1" t="s">
        <v>235</v>
      </c>
      <c r="I529" t="s">
        <v>22</v>
      </c>
      <c r="J529" s="4">
        <v>1.7</v>
      </c>
      <c r="K529" s="4">
        <v>73.69</v>
      </c>
      <c r="L529" s="4">
        <v>2</v>
      </c>
      <c r="M529" s="4">
        <v>44.47</v>
      </c>
      <c r="N529" s="4">
        <v>106.21380000000001</v>
      </c>
      <c r="O529" s="4">
        <v>119.72</v>
      </c>
      <c r="P529" s="4">
        <v>3.8764546470000001</v>
      </c>
      <c r="Q529" s="4">
        <v>38.732999999999997</v>
      </c>
      <c r="R529" s="10"/>
    </row>
    <row r="530" spans="1:18" ht="28.8" x14ac:dyDescent="0.3">
      <c r="A530" t="s">
        <v>3</v>
      </c>
      <c r="B530" s="3" t="s">
        <v>281</v>
      </c>
      <c r="C530" s="2">
        <v>43295</v>
      </c>
      <c r="D530" s="9">
        <v>0.56874999999999998</v>
      </c>
      <c r="E530" s="3">
        <f t="shared" ca="1" si="8"/>
        <v>685855004</v>
      </c>
      <c r="F530" t="s">
        <v>11</v>
      </c>
      <c r="G530" t="s">
        <v>14</v>
      </c>
      <c r="H530" s="1" t="s">
        <v>237</v>
      </c>
      <c r="I530" t="s">
        <v>21</v>
      </c>
      <c r="J530" s="4">
        <v>2.5</v>
      </c>
      <c r="K530" s="4">
        <v>52.88</v>
      </c>
      <c r="L530" s="4">
        <v>10</v>
      </c>
      <c r="M530" s="4">
        <v>78.98</v>
      </c>
      <c r="N530" s="4">
        <v>168.72499999999999</v>
      </c>
      <c r="O530" s="4">
        <v>543.6</v>
      </c>
      <c r="P530" s="4">
        <v>3.8764546470000001</v>
      </c>
      <c r="Q530" s="4">
        <v>70.031999999999996</v>
      </c>
      <c r="R530" s="10"/>
    </row>
    <row r="531" spans="1:18" x14ac:dyDescent="0.3">
      <c r="A531" t="s">
        <v>1</v>
      </c>
      <c r="B531" s="3" t="s">
        <v>279</v>
      </c>
      <c r="C531" s="2">
        <v>43379</v>
      </c>
      <c r="D531" s="9">
        <v>7.7777777777777779E-2</v>
      </c>
      <c r="E531" s="3">
        <f t="shared" ca="1" si="8"/>
        <v>429374122</v>
      </c>
      <c r="F531" t="s">
        <v>12</v>
      </c>
      <c r="G531" t="s">
        <v>15</v>
      </c>
      <c r="H531" s="1" t="s">
        <v>236</v>
      </c>
      <c r="I531" t="s">
        <v>20</v>
      </c>
      <c r="J531" s="4">
        <v>8.1999999999999993</v>
      </c>
      <c r="K531" s="4">
        <v>27.23</v>
      </c>
      <c r="L531" s="4">
        <v>9</v>
      </c>
      <c r="M531" s="4">
        <v>74.28</v>
      </c>
      <c r="N531" s="4">
        <v>107.3689</v>
      </c>
      <c r="O531" s="4">
        <v>882.81</v>
      </c>
      <c r="P531" s="4">
        <v>3.8764546470000001</v>
      </c>
      <c r="Q531" s="4">
        <v>29.51</v>
      </c>
      <c r="R531" s="10"/>
    </row>
    <row r="532" spans="1:18" x14ac:dyDescent="0.3">
      <c r="A532" t="s">
        <v>1</v>
      </c>
      <c r="B532" s="3" t="s">
        <v>279</v>
      </c>
      <c r="C532" s="2">
        <v>42988</v>
      </c>
      <c r="D532" s="9">
        <v>0.40833333333333333</v>
      </c>
      <c r="E532" s="3">
        <f t="shared" ca="1" si="8"/>
        <v>511130067</v>
      </c>
      <c r="F532" t="s">
        <v>12</v>
      </c>
      <c r="G532" t="s">
        <v>15</v>
      </c>
      <c r="H532" s="1" t="s">
        <v>235</v>
      </c>
      <c r="I532" t="s">
        <v>17</v>
      </c>
      <c r="J532" s="4">
        <v>2.8</v>
      </c>
      <c r="K532" s="4">
        <v>90.29</v>
      </c>
      <c r="L532" s="4">
        <v>6</v>
      </c>
      <c r="M532" s="4">
        <v>95.69</v>
      </c>
      <c r="N532" s="4">
        <v>137.7526</v>
      </c>
      <c r="O532" s="4">
        <v>152.58000000000001</v>
      </c>
      <c r="P532" s="4">
        <v>3.8764546470000001</v>
      </c>
      <c r="Q532" s="4">
        <v>73.025000000000006</v>
      </c>
      <c r="R532" s="10"/>
    </row>
    <row r="533" spans="1:18" ht="28.8" x14ac:dyDescent="0.3">
      <c r="A533" t="s">
        <v>1</v>
      </c>
      <c r="B533" s="3" t="s">
        <v>279</v>
      </c>
      <c r="C533" s="2">
        <v>43243</v>
      </c>
      <c r="D533" s="9">
        <v>0.25763888888888886</v>
      </c>
      <c r="E533" s="3">
        <f t="shared" ca="1" si="8"/>
        <v>774812234</v>
      </c>
      <c r="F533" t="s">
        <v>12</v>
      </c>
      <c r="G533" t="s">
        <v>14</v>
      </c>
      <c r="H533" s="1" t="s">
        <v>237</v>
      </c>
      <c r="I533" t="s">
        <v>22</v>
      </c>
      <c r="J533" s="4">
        <v>9.9</v>
      </c>
      <c r="K533" s="4">
        <v>35.15</v>
      </c>
      <c r="L533" s="4">
        <v>8</v>
      </c>
      <c r="M533" s="4">
        <v>53.34</v>
      </c>
      <c r="N533" s="4">
        <v>148.4162</v>
      </c>
      <c r="O533" s="4">
        <v>693.44</v>
      </c>
      <c r="P533" s="4">
        <v>3.8764546470000001</v>
      </c>
      <c r="Q533" s="4">
        <v>86.26</v>
      </c>
      <c r="R533" s="10"/>
    </row>
    <row r="534" spans="1:18" x14ac:dyDescent="0.3">
      <c r="A534" t="s">
        <v>3</v>
      </c>
      <c r="B534" s="3" t="s">
        <v>281</v>
      </c>
      <c r="C534" s="2">
        <v>43066</v>
      </c>
      <c r="D534" s="9">
        <v>0.82638888888888884</v>
      </c>
      <c r="E534" s="3">
        <f t="shared" ca="1" si="8"/>
        <v>761588985</v>
      </c>
      <c r="F534" t="s">
        <v>12</v>
      </c>
      <c r="G534" t="s">
        <v>15</v>
      </c>
      <c r="H534" s="1" t="s">
        <v>235</v>
      </c>
      <c r="I534" t="s">
        <v>18</v>
      </c>
      <c r="J534" s="4">
        <v>6.1</v>
      </c>
      <c r="K534" s="4">
        <v>15.42</v>
      </c>
      <c r="L534" s="4">
        <v>10</v>
      </c>
      <c r="M534" s="4">
        <v>43.6</v>
      </c>
      <c r="N534" s="4">
        <v>158.53919999999999</v>
      </c>
      <c r="O534" s="4">
        <v>229.5</v>
      </c>
      <c r="P534" s="4">
        <v>3.8764546470000001</v>
      </c>
      <c r="Q534" s="4">
        <v>11.724</v>
      </c>
      <c r="R534" s="10"/>
    </row>
    <row r="535" spans="1:18" x14ac:dyDescent="0.3">
      <c r="A535" t="s">
        <v>2</v>
      </c>
      <c r="B535" s="3" t="s">
        <v>280</v>
      </c>
      <c r="C535" s="2">
        <v>43087</v>
      </c>
      <c r="D535" s="9">
        <v>0.86041666666666672</v>
      </c>
      <c r="E535" s="3">
        <f t="shared" ca="1" si="8"/>
        <v>561249208</v>
      </c>
      <c r="F535" t="s">
        <v>11</v>
      </c>
      <c r="G535" t="s">
        <v>15</v>
      </c>
      <c r="H535" s="1" t="s">
        <v>235</v>
      </c>
      <c r="I535" t="s">
        <v>21</v>
      </c>
      <c r="J535" s="4">
        <v>2</v>
      </c>
      <c r="K535" s="4">
        <v>46.81</v>
      </c>
      <c r="L535" s="4">
        <v>9</v>
      </c>
      <c r="M535" s="4">
        <v>38.479999999999997</v>
      </c>
      <c r="N535" s="4">
        <v>119.99850000000001</v>
      </c>
      <c r="O535" s="4">
        <v>146.79</v>
      </c>
      <c r="P535" s="4">
        <v>3.8764546470000001</v>
      </c>
      <c r="Q535" s="4">
        <v>43.198</v>
      </c>
      <c r="R535" s="10"/>
    </row>
    <row r="536" spans="1:18" x14ac:dyDescent="0.3">
      <c r="A536" t="s">
        <v>1</v>
      </c>
      <c r="B536" s="3" t="s">
        <v>279</v>
      </c>
      <c r="C536" s="2">
        <v>43463</v>
      </c>
      <c r="D536" s="9">
        <v>2.9166666666666667E-2</v>
      </c>
      <c r="E536" s="3">
        <f t="shared" ca="1" si="8"/>
        <v>288382600</v>
      </c>
      <c r="F536" t="s">
        <v>11</v>
      </c>
      <c r="G536" t="s">
        <v>15</v>
      </c>
      <c r="H536" s="1" t="s">
        <v>235</v>
      </c>
      <c r="I536" t="s">
        <v>19</v>
      </c>
      <c r="J536" s="4">
        <v>9.1999999999999993</v>
      </c>
      <c r="K536" s="4">
        <v>16.86</v>
      </c>
      <c r="L536" s="4">
        <v>5</v>
      </c>
      <c r="M536" s="4">
        <v>74.819999999999993</v>
      </c>
      <c r="N536" s="4">
        <v>185.48990000000001</v>
      </c>
      <c r="O536" s="4">
        <v>141.6</v>
      </c>
      <c r="P536" s="4">
        <v>3.8764546470000001</v>
      </c>
      <c r="Q536" s="4">
        <v>99.08</v>
      </c>
      <c r="R536" s="10"/>
    </row>
    <row r="537" spans="1:18" x14ac:dyDescent="0.3">
      <c r="A537" t="s">
        <v>2</v>
      </c>
      <c r="B537" s="3" t="s">
        <v>280</v>
      </c>
      <c r="C537" s="2">
        <v>43316</v>
      </c>
      <c r="D537" s="9">
        <v>0.17499999999999999</v>
      </c>
      <c r="E537" s="3">
        <f t="shared" ca="1" si="8"/>
        <v>826610161</v>
      </c>
      <c r="F537" t="s">
        <v>12</v>
      </c>
      <c r="G537" t="s">
        <v>15</v>
      </c>
      <c r="H537" s="1" t="s">
        <v>235</v>
      </c>
      <c r="I537" t="s">
        <v>19</v>
      </c>
      <c r="J537" s="4">
        <v>5.9</v>
      </c>
      <c r="K537" s="4">
        <v>70.209999999999994</v>
      </c>
      <c r="L537" s="4">
        <v>7</v>
      </c>
      <c r="M537" s="4">
        <v>53</v>
      </c>
      <c r="N537" s="4">
        <v>179.22790000000001</v>
      </c>
      <c r="O537" s="4">
        <v>116.69</v>
      </c>
      <c r="P537" s="4">
        <v>3.8764546470000001</v>
      </c>
      <c r="Q537" s="4">
        <v>43.787999999999997</v>
      </c>
      <c r="R537" s="10"/>
    </row>
    <row r="538" spans="1:18" ht="28.8" x14ac:dyDescent="0.3">
      <c r="A538" t="s">
        <v>3</v>
      </c>
      <c r="B538" s="3" t="s">
        <v>281</v>
      </c>
      <c r="C538" s="2">
        <v>43454</v>
      </c>
      <c r="D538" s="9">
        <v>0.16527777777777777</v>
      </c>
      <c r="E538" s="3">
        <f t="shared" ca="1" si="8"/>
        <v>629523487</v>
      </c>
      <c r="F538" t="s">
        <v>11</v>
      </c>
      <c r="G538" t="s">
        <v>14</v>
      </c>
      <c r="H538" s="1" t="s">
        <v>237</v>
      </c>
      <c r="I538" t="s">
        <v>22</v>
      </c>
      <c r="J538" s="4">
        <v>2</v>
      </c>
      <c r="K538" s="4">
        <v>50.17</v>
      </c>
      <c r="L538" s="4">
        <v>1</v>
      </c>
      <c r="M538" s="4">
        <v>91.48</v>
      </c>
      <c r="N538" s="4">
        <v>139.65889999999999</v>
      </c>
      <c r="O538" s="4">
        <v>73.959999999999994</v>
      </c>
      <c r="P538" s="4">
        <v>3.8764546470000001</v>
      </c>
      <c r="Q538" s="4">
        <v>60.87</v>
      </c>
      <c r="R538" s="10"/>
    </row>
    <row r="539" spans="1:18" x14ac:dyDescent="0.3">
      <c r="A539" t="s">
        <v>1</v>
      </c>
      <c r="B539" s="3" t="s">
        <v>279</v>
      </c>
      <c r="C539" s="2">
        <v>43359</v>
      </c>
      <c r="D539" s="9">
        <v>0.89930555555555558</v>
      </c>
      <c r="E539" s="3">
        <f t="shared" ca="1" si="8"/>
        <v>492543753</v>
      </c>
      <c r="F539" t="s">
        <v>12</v>
      </c>
      <c r="G539" t="s">
        <v>15</v>
      </c>
      <c r="H539" s="1" t="s">
        <v>235</v>
      </c>
      <c r="I539" t="s">
        <v>19</v>
      </c>
      <c r="J539" s="4">
        <v>9</v>
      </c>
      <c r="K539" s="4">
        <v>46.018999999999998</v>
      </c>
      <c r="L539" s="4">
        <v>1</v>
      </c>
      <c r="M539" s="4">
        <v>22.05</v>
      </c>
      <c r="N539" s="4">
        <v>133.14519999999999</v>
      </c>
      <c r="O539" s="4">
        <v>97.94</v>
      </c>
      <c r="P539" s="4">
        <v>3.8764546470000001</v>
      </c>
      <c r="Q539" s="4">
        <v>22.65</v>
      </c>
      <c r="R539" s="10"/>
    </row>
    <row r="540" spans="1:18" ht="28.8" x14ac:dyDescent="0.3">
      <c r="A540" t="s">
        <v>1</v>
      </c>
      <c r="B540" s="3" t="s">
        <v>279</v>
      </c>
      <c r="C540" s="2">
        <v>43374</v>
      </c>
      <c r="D540" s="9">
        <v>0.55902777777777779</v>
      </c>
      <c r="E540" s="3">
        <f t="shared" ca="1" si="8"/>
        <v>701161404</v>
      </c>
      <c r="F540" t="s">
        <v>11</v>
      </c>
      <c r="G540" t="s">
        <v>15</v>
      </c>
      <c r="H540" s="1" t="s">
        <v>237</v>
      </c>
      <c r="I540" t="s">
        <v>22</v>
      </c>
      <c r="J540" s="4">
        <v>6</v>
      </c>
      <c r="K540" s="4">
        <v>42.91</v>
      </c>
      <c r="L540" s="4">
        <v>4</v>
      </c>
      <c r="M540" s="4">
        <v>17.52</v>
      </c>
      <c r="N540" s="4">
        <v>137.92320000000001</v>
      </c>
      <c r="O540" s="4">
        <v>292.2</v>
      </c>
      <c r="P540" s="4">
        <v>3.8764546470000001</v>
      </c>
      <c r="Q540" s="4">
        <v>55.04</v>
      </c>
      <c r="R540" s="10"/>
    </row>
    <row r="541" spans="1:18" x14ac:dyDescent="0.3">
      <c r="A541" t="s">
        <v>2</v>
      </c>
      <c r="B541" s="3" t="s">
        <v>280</v>
      </c>
      <c r="C541" s="2">
        <v>43332</v>
      </c>
      <c r="D541" s="9">
        <v>3.4027777777777775E-2</v>
      </c>
      <c r="E541" s="3">
        <f t="shared" ca="1" si="8"/>
        <v>671728549</v>
      </c>
      <c r="F541" t="s">
        <v>11</v>
      </c>
      <c r="G541" t="s">
        <v>14</v>
      </c>
      <c r="H541" s="1" t="s">
        <v>235</v>
      </c>
      <c r="I541" t="s">
        <v>21</v>
      </c>
      <c r="J541" s="4">
        <v>3</v>
      </c>
      <c r="K541" s="4">
        <v>87.495000000000005</v>
      </c>
      <c r="L541" s="4">
        <v>6</v>
      </c>
      <c r="M541" s="4">
        <v>43.26</v>
      </c>
      <c r="N541" s="4">
        <v>161.5779</v>
      </c>
      <c r="O541" s="4">
        <v>524.88</v>
      </c>
      <c r="P541" s="4">
        <v>3.8764546470000001</v>
      </c>
      <c r="Q541" s="4">
        <v>56.25</v>
      </c>
      <c r="R541" s="10"/>
    </row>
    <row r="542" spans="1:18" x14ac:dyDescent="0.3">
      <c r="A542" t="s">
        <v>1</v>
      </c>
      <c r="B542" s="3" t="s">
        <v>279</v>
      </c>
      <c r="C542" s="2">
        <v>43267</v>
      </c>
      <c r="D542" s="9">
        <v>0.2722222222222222</v>
      </c>
      <c r="E542" s="3">
        <f t="shared" ca="1" si="8"/>
        <v>588895821</v>
      </c>
      <c r="F542" t="s">
        <v>12</v>
      </c>
      <c r="G542" t="s">
        <v>15</v>
      </c>
      <c r="H542" s="1" t="s">
        <v>235</v>
      </c>
      <c r="I542" t="s">
        <v>19</v>
      </c>
      <c r="J542" s="4">
        <v>4</v>
      </c>
      <c r="K542" s="4">
        <v>27.957999999999998</v>
      </c>
      <c r="L542" s="4">
        <v>3</v>
      </c>
      <c r="M542" s="4">
        <v>57.74</v>
      </c>
      <c r="N542" s="4">
        <v>177.99420000000001</v>
      </c>
      <c r="O542" s="4">
        <v>92.04</v>
      </c>
      <c r="P542" s="4">
        <v>3.8764546470000001</v>
      </c>
      <c r="Q542" s="4">
        <v>64.28</v>
      </c>
      <c r="R542" s="10"/>
    </row>
    <row r="543" spans="1:18" ht="28.8" x14ac:dyDescent="0.3">
      <c r="A543" t="s">
        <v>2</v>
      </c>
      <c r="B543" s="3" t="s">
        <v>280</v>
      </c>
      <c r="C543" s="2">
        <v>42823</v>
      </c>
      <c r="D543" s="9">
        <v>0.4861111111111111</v>
      </c>
      <c r="E543" s="3">
        <f t="shared" ca="1" si="8"/>
        <v>291573402</v>
      </c>
      <c r="F543" t="s">
        <v>12</v>
      </c>
      <c r="G543" t="s">
        <v>14</v>
      </c>
      <c r="H543" s="1" t="s">
        <v>237</v>
      </c>
      <c r="I543" t="s">
        <v>17</v>
      </c>
      <c r="J543" s="4">
        <v>3</v>
      </c>
      <c r="K543" s="4">
        <v>40.302</v>
      </c>
      <c r="L543" s="4">
        <v>1</v>
      </c>
      <c r="M543" s="4">
        <v>97.96</v>
      </c>
      <c r="N543" s="4">
        <v>168.25020000000001</v>
      </c>
      <c r="O543" s="4">
        <v>75.88</v>
      </c>
      <c r="P543" s="4">
        <v>3.8764546470000001</v>
      </c>
      <c r="Q543" s="4">
        <v>73.28</v>
      </c>
      <c r="R543" s="10"/>
    </row>
    <row r="544" spans="1:18" ht="28.8" x14ac:dyDescent="0.3">
      <c r="A544" t="s">
        <v>3</v>
      </c>
      <c r="B544" s="3" t="s">
        <v>281</v>
      </c>
      <c r="C544" s="2">
        <v>43414</v>
      </c>
      <c r="D544" s="9">
        <v>0.45694444444444443</v>
      </c>
      <c r="E544" s="3">
        <f t="shared" ca="1" si="8"/>
        <v>806439724</v>
      </c>
      <c r="F544" t="s">
        <v>11</v>
      </c>
      <c r="G544" t="s">
        <v>14</v>
      </c>
      <c r="H544" s="1" t="s">
        <v>237</v>
      </c>
      <c r="I544" t="s">
        <v>20</v>
      </c>
      <c r="J544" s="4">
        <v>7</v>
      </c>
      <c r="K544" s="4">
        <v>33.573</v>
      </c>
      <c r="L544" s="4">
        <v>4</v>
      </c>
      <c r="M544" s="4">
        <v>24.89</v>
      </c>
      <c r="N544" s="4">
        <v>180.5196</v>
      </c>
      <c r="O544" s="4">
        <v>80.72</v>
      </c>
      <c r="P544" s="4">
        <v>3.8764546470000001</v>
      </c>
      <c r="Q544" s="4">
        <v>68.251000000000005</v>
      </c>
      <c r="R544" s="10"/>
    </row>
    <row r="545" spans="1:18" ht="28.8" x14ac:dyDescent="0.3">
      <c r="A545" t="s">
        <v>2</v>
      </c>
      <c r="B545" s="3" t="s">
        <v>280</v>
      </c>
      <c r="C545" s="2">
        <v>43309</v>
      </c>
      <c r="D545" s="9">
        <v>0.91874999999999996</v>
      </c>
      <c r="E545" s="3">
        <f t="shared" ca="1" si="8"/>
        <v>602283748</v>
      </c>
      <c r="F545" t="s">
        <v>12</v>
      </c>
      <c r="G545" t="s">
        <v>14</v>
      </c>
      <c r="H545" s="1" t="s">
        <v>237</v>
      </c>
      <c r="I545" t="s">
        <v>18</v>
      </c>
      <c r="J545" s="4">
        <v>8</v>
      </c>
      <c r="K545" s="4">
        <v>34.28</v>
      </c>
      <c r="L545" s="4">
        <v>6</v>
      </c>
      <c r="M545" s="4">
        <v>77.94</v>
      </c>
      <c r="N545" s="4">
        <v>110.23350000000001</v>
      </c>
      <c r="O545" s="4">
        <v>112.62</v>
      </c>
      <c r="P545" s="4">
        <v>3.8764546470000001</v>
      </c>
      <c r="Q545" s="4">
        <v>27.763000000000002</v>
      </c>
      <c r="R545" s="10"/>
    </row>
    <row r="546" spans="1:18" ht="28.8" x14ac:dyDescent="0.3">
      <c r="A546" t="s">
        <v>3</v>
      </c>
      <c r="B546" s="3" t="s">
        <v>281</v>
      </c>
      <c r="C546" s="2">
        <v>43235</v>
      </c>
      <c r="D546" s="9">
        <v>0.33541666666666664</v>
      </c>
      <c r="E546" s="3">
        <f t="shared" ca="1" si="8"/>
        <v>657166123</v>
      </c>
      <c r="F546" t="s">
        <v>11</v>
      </c>
      <c r="G546" t="s">
        <v>15</v>
      </c>
      <c r="H546" s="1" t="s">
        <v>237</v>
      </c>
      <c r="I546" t="s">
        <v>21</v>
      </c>
      <c r="J546" s="4">
        <v>6</v>
      </c>
      <c r="K546" s="4">
        <v>18.920000000000002</v>
      </c>
      <c r="L546" s="4">
        <v>1</v>
      </c>
      <c r="M546" s="4">
        <v>32.43</v>
      </c>
      <c r="N546" s="4">
        <v>133.83189999999999</v>
      </c>
      <c r="O546" s="4">
        <v>71.2</v>
      </c>
      <c r="P546" s="4">
        <v>3.8764546470000001</v>
      </c>
      <c r="Q546" s="4">
        <v>91.676000000000002</v>
      </c>
      <c r="R546" s="10"/>
    </row>
    <row r="547" spans="1:18" x14ac:dyDescent="0.3">
      <c r="A547" t="s">
        <v>3</v>
      </c>
      <c r="B547" s="3" t="s">
        <v>281</v>
      </c>
      <c r="C547" s="2">
        <v>43078</v>
      </c>
      <c r="D547" s="9">
        <v>0.72916666666666663</v>
      </c>
      <c r="E547" s="3">
        <f t="shared" ca="1" si="8"/>
        <v>245969761</v>
      </c>
      <c r="F547" t="s">
        <v>12</v>
      </c>
      <c r="G547" t="s">
        <v>14</v>
      </c>
      <c r="H547" s="1" t="s">
        <v>235</v>
      </c>
      <c r="I547" t="s">
        <v>19</v>
      </c>
      <c r="J547" s="4">
        <v>3.4</v>
      </c>
      <c r="K547" s="4">
        <v>88.852000000000004</v>
      </c>
      <c r="L547" s="4">
        <v>4</v>
      </c>
      <c r="M547" s="4">
        <v>49.3</v>
      </c>
      <c r="N547" s="4">
        <v>121.4721</v>
      </c>
      <c r="O547" s="4">
        <v>155.24</v>
      </c>
      <c r="P547" s="4">
        <v>3.8764546470000001</v>
      </c>
      <c r="Q547" s="4">
        <v>39.840000000000003</v>
      </c>
      <c r="R547" s="10"/>
    </row>
    <row r="548" spans="1:18" x14ac:dyDescent="0.3">
      <c r="A548" t="s">
        <v>1</v>
      </c>
      <c r="B548" s="3" t="s">
        <v>279</v>
      </c>
      <c r="C548" s="2">
        <v>43400</v>
      </c>
      <c r="D548" s="9">
        <v>0.90416666666666667</v>
      </c>
      <c r="E548" s="3">
        <f t="shared" ca="1" si="8"/>
        <v>847077454</v>
      </c>
      <c r="F548" t="s">
        <v>11</v>
      </c>
      <c r="G548" t="s">
        <v>15</v>
      </c>
      <c r="H548" s="1" t="s">
        <v>235</v>
      </c>
      <c r="I548" t="s">
        <v>22</v>
      </c>
      <c r="J548" s="4">
        <v>9.1</v>
      </c>
      <c r="K548" s="4">
        <v>10.49</v>
      </c>
      <c r="L548" s="4">
        <v>10</v>
      </c>
      <c r="M548" s="4">
        <v>88.01</v>
      </c>
      <c r="N548" s="4">
        <v>130.20670000000001</v>
      </c>
      <c r="O548" s="4">
        <v>294.2</v>
      </c>
      <c r="P548" s="4">
        <v>3.8764546470000001</v>
      </c>
      <c r="Q548" s="4">
        <v>29.58</v>
      </c>
      <c r="R548" s="10"/>
    </row>
    <row r="549" spans="1:18" ht="28.8" x14ac:dyDescent="0.3">
      <c r="A549" t="s">
        <v>1</v>
      </c>
      <c r="B549" s="3" t="s">
        <v>279</v>
      </c>
      <c r="C549" s="2">
        <v>42890</v>
      </c>
      <c r="D549" s="9">
        <v>0.34027777777777779</v>
      </c>
      <c r="E549" s="3">
        <f t="shared" ca="1" si="8"/>
        <v>522052302</v>
      </c>
      <c r="F549" t="s">
        <v>12</v>
      </c>
      <c r="G549" t="s">
        <v>15</v>
      </c>
      <c r="H549" s="1" t="s">
        <v>237</v>
      </c>
      <c r="I549" t="s">
        <v>20</v>
      </c>
      <c r="J549" s="4">
        <v>8.9</v>
      </c>
      <c r="K549" s="4">
        <v>93.18</v>
      </c>
      <c r="L549" s="4">
        <v>9</v>
      </c>
      <c r="M549" s="4">
        <v>72.38</v>
      </c>
      <c r="N549" s="4">
        <v>183.2567</v>
      </c>
      <c r="O549" s="4">
        <v>548.54999999999995</v>
      </c>
      <c r="P549" s="4">
        <v>3.8764546470000001</v>
      </c>
      <c r="Q549" s="4">
        <v>82.71</v>
      </c>
      <c r="R549" s="10"/>
    </row>
    <row r="550" spans="1:18" x14ac:dyDescent="0.3">
      <c r="A550" t="s">
        <v>3</v>
      </c>
      <c r="B550" s="3" t="s">
        <v>281</v>
      </c>
      <c r="C550" s="2">
        <v>43340</v>
      </c>
      <c r="D550" s="9">
        <v>0.87013888888888891</v>
      </c>
      <c r="E550" s="3">
        <f t="shared" ca="1" si="8"/>
        <v>890253643</v>
      </c>
      <c r="F550" t="s">
        <v>11</v>
      </c>
      <c r="G550" t="s">
        <v>15</v>
      </c>
      <c r="H550" s="1" t="s">
        <v>236</v>
      </c>
      <c r="I550" t="s">
        <v>20</v>
      </c>
      <c r="J550" s="4">
        <v>1.9</v>
      </c>
      <c r="K550" s="4">
        <v>47.81</v>
      </c>
      <c r="L550" s="4">
        <v>5</v>
      </c>
      <c r="M550" s="4">
        <v>49.68</v>
      </c>
      <c r="N550" s="4">
        <v>130.63409999999999</v>
      </c>
      <c r="O550" s="4">
        <v>257.7</v>
      </c>
      <c r="P550" s="4">
        <v>3.8764546470000001</v>
      </c>
      <c r="Q550" s="4">
        <v>18.55</v>
      </c>
      <c r="R550" s="10"/>
    </row>
    <row r="551" spans="1:18" x14ac:dyDescent="0.3">
      <c r="A551" t="s">
        <v>1</v>
      </c>
      <c r="B551" s="3" t="s">
        <v>279</v>
      </c>
      <c r="C551" s="2">
        <v>43252</v>
      </c>
      <c r="D551" s="9">
        <v>0.96736111111111112</v>
      </c>
      <c r="E551" s="3">
        <f t="shared" ca="1" si="8"/>
        <v>266840038</v>
      </c>
      <c r="F551" t="s">
        <v>11</v>
      </c>
      <c r="G551" t="s">
        <v>15</v>
      </c>
      <c r="H551" s="1" t="s">
        <v>236</v>
      </c>
      <c r="I551" t="s">
        <v>18</v>
      </c>
      <c r="J551" s="4">
        <v>9</v>
      </c>
      <c r="K551" s="4">
        <v>38.26</v>
      </c>
      <c r="L551" s="4">
        <v>6</v>
      </c>
      <c r="M551" s="4">
        <v>46.58</v>
      </c>
      <c r="N551" s="4">
        <v>164.22649999999999</v>
      </c>
      <c r="O551" s="4">
        <v>396.36</v>
      </c>
      <c r="P551" s="4">
        <v>3.8764546470000001</v>
      </c>
      <c r="Q551" s="4">
        <v>50.83</v>
      </c>
      <c r="R551" s="10"/>
    </row>
    <row r="552" spans="1:18" x14ac:dyDescent="0.3">
      <c r="A552" t="s">
        <v>3</v>
      </c>
      <c r="B552" s="3" t="s">
        <v>281</v>
      </c>
      <c r="C552" s="2">
        <v>43460</v>
      </c>
      <c r="D552" s="9">
        <v>0.48125000000000001</v>
      </c>
      <c r="E552" s="3">
        <f t="shared" ca="1" si="8"/>
        <v>295215563</v>
      </c>
      <c r="F552" t="s">
        <v>12</v>
      </c>
      <c r="G552" t="s">
        <v>15</v>
      </c>
      <c r="H552" s="1" t="s">
        <v>235</v>
      </c>
      <c r="I552" t="s">
        <v>22</v>
      </c>
      <c r="J552" s="4">
        <v>4.3</v>
      </c>
      <c r="K552" s="4">
        <v>41.46</v>
      </c>
      <c r="L552" s="4">
        <v>3</v>
      </c>
      <c r="M552" s="4">
        <v>92.4</v>
      </c>
      <c r="N552" s="4">
        <v>119.3219</v>
      </c>
      <c r="O552" s="4">
        <v>171.81</v>
      </c>
      <c r="P552" s="4">
        <v>3.8764546470000001</v>
      </c>
      <c r="Q552" s="4">
        <v>44.35</v>
      </c>
      <c r="R552" s="10"/>
    </row>
    <row r="553" spans="1:18" x14ac:dyDescent="0.3">
      <c r="A553" t="s">
        <v>3</v>
      </c>
      <c r="B553" s="3" t="s">
        <v>281</v>
      </c>
      <c r="C553" s="2">
        <v>42805</v>
      </c>
      <c r="D553" s="9">
        <v>0.15069444444444444</v>
      </c>
      <c r="E553" s="3">
        <f t="shared" ca="1" si="8"/>
        <v>781759267</v>
      </c>
      <c r="F553" t="s">
        <v>11</v>
      </c>
      <c r="G553" t="s">
        <v>15</v>
      </c>
      <c r="H553" s="1" t="s">
        <v>236</v>
      </c>
      <c r="I553" t="s">
        <v>22</v>
      </c>
      <c r="J553" s="4">
        <v>5.4</v>
      </c>
      <c r="K553" s="4">
        <v>84.001000000000005</v>
      </c>
      <c r="L553" s="4">
        <v>9</v>
      </c>
      <c r="M553" s="4">
        <v>67.16</v>
      </c>
      <c r="N553" s="4">
        <v>146.24109999999999</v>
      </c>
      <c r="O553" s="4">
        <v>488.79</v>
      </c>
      <c r="P553" s="4">
        <v>3.8764546470000001</v>
      </c>
      <c r="Q553" s="4">
        <v>54.572000000000003</v>
      </c>
      <c r="R553" s="10"/>
    </row>
    <row r="554" spans="1:18" x14ac:dyDescent="0.3">
      <c r="A554" t="s">
        <v>3</v>
      </c>
      <c r="B554" s="3" t="s">
        <v>281</v>
      </c>
      <c r="C554" s="2">
        <v>43022</v>
      </c>
      <c r="D554" s="9">
        <v>0.73402777777777772</v>
      </c>
      <c r="E554" s="3">
        <f t="shared" ca="1" si="8"/>
        <v>244213620</v>
      </c>
      <c r="F554" t="s">
        <v>11</v>
      </c>
      <c r="G554" t="s">
        <v>15</v>
      </c>
      <c r="H554" s="1" t="s">
        <v>236</v>
      </c>
      <c r="I554" t="s">
        <v>17</v>
      </c>
      <c r="J554" s="4">
        <v>6.5</v>
      </c>
      <c r="K554" s="4">
        <v>13.743</v>
      </c>
      <c r="L554" s="4">
        <v>9</v>
      </c>
      <c r="M554" s="4">
        <v>94.48</v>
      </c>
      <c r="N554" s="4">
        <v>135.7251</v>
      </c>
      <c r="O554" s="4">
        <v>524.16</v>
      </c>
      <c r="P554" s="4">
        <v>3.8764546470000001</v>
      </c>
      <c r="Q554" s="4">
        <v>23.722999999999999</v>
      </c>
      <c r="R554" s="10"/>
    </row>
    <row r="555" spans="1:18" ht="28.8" x14ac:dyDescent="0.3">
      <c r="A555" t="s">
        <v>2</v>
      </c>
      <c r="B555" s="3" t="s">
        <v>280</v>
      </c>
      <c r="C555" s="2">
        <v>43435</v>
      </c>
      <c r="D555" s="9">
        <v>0.11666666666666667</v>
      </c>
      <c r="E555" s="3">
        <f t="shared" ca="1" si="8"/>
        <v>948212904</v>
      </c>
      <c r="F555" t="s">
        <v>12</v>
      </c>
      <c r="G555" t="s">
        <v>15</v>
      </c>
      <c r="H555" s="1" t="s">
        <v>237</v>
      </c>
      <c r="I555" t="s">
        <v>18</v>
      </c>
      <c r="J555" s="4">
        <v>7.4</v>
      </c>
      <c r="K555" s="4">
        <v>14.962999999999999</v>
      </c>
      <c r="L555" s="4">
        <v>6</v>
      </c>
      <c r="M555" s="4">
        <v>98.25</v>
      </c>
      <c r="N555" s="4">
        <v>101.54989999999999</v>
      </c>
      <c r="O555" s="4">
        <v>133.26</v>
      </c>
      <c r="P555" s="4">
        <v>3.8764546470000001</v>
      </c>
      <c r="Q555" s="4">
        <v>52.406999999999996</v>
      </c>
      <c r="R555" s="10"/>
    </row>
    <row r="556" spans="1:18" x14ac:dyDescent="0.3">
      <c r="A556" t="s">
        <v>1</v>
      </c>
      <c r="B556" s="3" t="s">
        <v>279</v>
      </c>
      <c r="C556" s="2">
        <v>43375</v>
      </c>
      <c r="D556" s="9">
        <v>0.21875</v>
      </c>
      <c r="E556" s="3">
        <f t="shared" ca="1" si="8"/>
        <v>354860779</v>
      </c>
      <c r="F556" t="s">
        <v>12</v>
      </c>
      <c r="G556" t="s">
        <v>14</v>
      </c>
      <c r="H556" s="1" t="s">
        <v>236</v>
      </c>
      <c r="I556" t="s">
        <v>18</v>
      </c>
      <c r="J556" s="4">
        <v>3.9</v>
      </c>
      <c r="K556" s="4">
        <v>50.023000000000003</v>
      </c>
      <c r="L556" s="4">
        <v>7</v>
      </c>
      <c r="M556" s="4">
        <v>54.8</v>
      </c>
      <c r="N556" s="4">
        <v>188.01490000000001</v>
      </c>
      <c r="O556" s="4">
        <v>135.24</v>
      </c>
      <c r="P556" s="4">
        <v>3.8764546470000001</v>
      </c>
      <c r="Q556" s="4">
        <v>44.884999999999998</v>
      </c>
      <c r="R556" s="10"/>
    </row>
    <row r="557" spans="1:18" ht="28.8" x14ac:dyDescent="0.3">
      <c r="A557" t="s">
        <v>3</v>
      </c>
      <c r="B557" s="3" t="s">
        <v>281</v>
      </c>
      <c r="C557" s="2">
        <v>43224</v>
      </c>
      <c r="D557" s="9">
        <v>0.67083333333333328</v>
      </c>
      <c r="E557" s="3">
        <f t="shared" ca="1" si="8"/>
        <v>845596049</v>
      </c>
      <c r="F557" t="s">
        <v>12</v>
      </c>
      <c r="G557" t="s">
        <v>15</v>
      </c>
      <c r="H557" s="1" t="s">
        <v>237</v>
      </c>
      <c r="I557" t="s">
        <v>19</v>
      </c>
      <c r="J557" s="4">
        <v>9.1</v>
      </c>
      <c r="K557" s="4">
        <v>36.369999999999997</v>
      </c>
      <c r="L557" s="4">
        <v>3</v>
      </c>
      <c r="M557" s="4">
        <v>21.97</v>
      </c>
      <c r="N557" s="4">
        <v>123.02119999999999</v>
      </c>
      <c r="O557" s="4">
        <v>112.44</v>
      </c>
      <c r="P557" s="4">
        <v>3.8764546470000001</v>
      </c>
      <c r="Q557" s="4">
        <v>78.27</v>
      </c>
      <c r="R557" s="10"/>
    </row>
    <row r="558" spans="1:18" x14ac:dyDescent="0.3">
      <c r="A558" t="s">
        <v>3</v>
      </c>
      <c r="B558" s="3" t="s">
        <v>281</v>
      </c>
      <c r="C558" s="2">
        <v>42966</v>
      </c>
      <c r="D558" s="9">
        <v>0.89444444444444449</v>
      </c>
      <c r="E558" s="3">
        <f t="shared" ca="1" si="8"/>
        <v>971893289</v>
      </c>
      <c r="F558" t="s">
        <v>11</v>
      </c>
      <c r="G558" t="s">
        <v>14</v>
      </c>
      <c r="H558" s="1" t="s">
        <v>236</v>
      </c>
      <c r="I558" t="s">
        <v>22</v>
      </c>
      <c r="J558" s="4">
        <v>8.6999999999999993</v>
      </c>
      <c r="K558" s="4">
        <v>75.45</v>
      </c>
      <c r="L558" s="4">
        <v>2</v>
      </c>
      <c r="M558" s="4">
        <v>99.87</v>
      </c>
      <c r="N558" s="4">
        <v>154.09030000000001</v>
      </c>
      <c r="O558" s="4">
        <v>144.08000000000001</v>
      </c>
      <c r="P558" s="4">
        <v>3.8764546470000001</v>
      </c>
      <c r="Q558" s="4">
        <v>93.97</v>
      </c>
      <c r="R558" s="10"/>
    </row>
    <row r="559" spans="1:18" x14ac:dyDescent="0.3">
      <c r="A559" t="s">
        <v>2</v>
      </c>
      <c r="B559" s="3" t="s">
        <v>280</v>
      </c>
      <c r="C559" s="2">
        <v>43351</v>
      </c>
      <c r="D559" s="9">
        <v>0.67569444444444449</v>
      </c>
      <c r="E559" s="3">
        <f t="shared" ca="1" si="8"/>
        <v>259810324</v>
      </c>
      <c r="F559" t="s">
        <v>11</v>
      </c>
      <c r="G559" t="s">
        <v>14</v>
      </c>
      <c r="H559" s="1" t="s">
        <v>235</v>
      </c>
      <c r="I559" t="s">
        <v>21</v>
      </c>
      <c r="J559" s="4">
        <v>2.5</v>
      </c>
      <c r="K559" s="4">
        <v>95.82</v>
      </c>
      <c r="L559" s="4">
        <v>10</v>
      </c>
      <c r="M559" s="4">
        <v>89.43</v>
      </c>
      <c r="N559" s="4">
        <v>115.1062</v>
      </c>
      <c r="O559" s="4">
        <v>985.2</v>
      </c>
      <c r="P559" s="4">
        <v>3.8764546470000001</v>
      </c>
      <c r="Q559" s="4">
        <v>42.55</v>
      </c>
      <c r="R559" s="10"/>
    </row>
    <row r="560" spans="1:18" x14ac:dyDescent="0.3">
      <c r="A560" t="s">
        <v>1</v>
      </c>
      <c r="B560" s="3" t="s">
        <v>279</v>
      </c>
      <c r="C560" s="2">
        <v>42901</v>
      </c>
      <c r="D560" s="9">
        <v>0.48125000000000001</v>
      </c>
      <c r="E560" s="3">
        <f t="shared" ca="1" si="8"/>
        <v>226555885</v>
      </c>
      <c r="F560" t="s">
        <v>12</v>
      </c>
      <c r="G560" t="s">
        <v>14</v>
      </c>
      <c r="H560" s="1" t="s">
        <v>235</v>
      </c>
      <c r="I560" t="s">
        <v>21</v>
      </c>
      <c r="J560" s="4">
        <v>4.9000000000000004</v>
      </c>
      <c r="K560" s="4">
        <v>41.08</v>
      </c>
      <c r="L560" s="4">
        <v>6</v>
      </c>
      <c r="M560" s="4">
        <v>39.380000000000003</v>
      </c>
      <c r="N560" s="4">
        <v>127.206</v>
      </c>
      <c r="O560" s="4">
        <v>249.96</v>
      </c>
      <c r="P560" s="4">
        <v>3.8764546470000001</v>
      </c>
      <c r="Q560" s="4">
        <v>32.049999999999997</v>
      </c>
      <c r="R560" s="10"/>
    </row>
    <row r="561" spans="1:18" x14ac:dyDescent="0.3">
      <c r="A561" t="s">
        <v>1</v>
      </c>
      <c r="B561" s="3" t="s">
        <v>279</v>
      </c>
      <c r="C561" s="2">
        <v>43078</v>
      </c>
      <c r="D561" s="9">
        <v>0.46180555555555558</v>
      </c>
      <c r="E561" s="3">
        <f t="shared" ca="1" si="8"/>
        <v>176130016</v>
      </c>
      <c r="F561" t="s">
        <v>11</v>
      </c>
      <c r="G561" t="s">
        <v>14</v>
      </c>
      <c r="H561" s="1" t="s">
        <v>235</v>
      </c>
      <c r="I561" t="s">
        <v>19</v>
      </c>
      <c r="J561" s="4">
        <v>9</v>
      </c>
      <c r="K561" s="4">
        <v>85.34</v>
      </c>
      <c r="L561" s="4">
        <v>3</v>
      </c>
      <c r="M561" s="4">
        <v>53.42</v>
      </c>
      <c r="N561" s="4">
        <v>119.8306</v>
      </c>
      <c r="O561" s="4">
        <v>217.26</v>
      </c>
      <c r="P561" s="4">
        <v>3.8764546470000001</v>
      </c>
      <c r="Q561" s="4">
        <v>81.091999999999999</v>
      </c>
      <c r="R561" s="10"/>
    </row>
    <row r="562" spans="1:18" x14ac:dyDescent="0.3">
      <c r="A562" t="s">
        <v>3</v>
      </c>
      <c r="B562" s="3" t="s">
        <v>281</v>
      </c>
      <c r="C562" s="2">
        <v>43278</v>
      </c>
      <c r="D562" s="9">
        <v>0.82638888888888884</v>
      </c>
      <c r="E562" s="3">
        <f t="shared" ca="1" si="8"/>
        <v>525146260</v>
      </c>
      <c r="F562" t="s">
        <v>12</v>
      </c>
      <c r="G562" t="s">
        <v>15</v>
      </c>
      <c r="H562" s="1" t="s">
        <v>236</v>
      </c>
      <c r="I562" t="s">
        <v>18</v>
      </c>
      <c r="J562" s="4">
        <v>8</v>
      </c>
      <c r="K562" s="4">
        <v>35.01</v>
      </c>
      <c r="L562" s="4">
        <v>9</v>
      </c>
      <c r="M562" s="4">
        <v>100</v>
      </c>
      <c r="N562" s="4">
        <v>178.86490000000001</v>
      </c>
      <c r="O562" s="4">
        <v>194.22</v>
      </c>
      <c r="P562" s="4">
        <v>3.8764546470000001</v>
      </c>
      <c r="Q562" s="4">
        <v>22.975999999999999</v>
      </c>
      <c r="R562" s="10"/>
    </row>
    <row r="563" spans="1:18" ht="28.8" x14ac:dyDescent="0.3">
      <c r="A563" t="s">
        <v>2</v>
      </c>
      <c r="B563" s="3" t="s">
        <v>280</v>
      </c>
      <c r="C563" s="2">
        <v>42853</v>
      </c>
      <c r="D563" s="9">
        <v>0.39861111111111114</v>
      </c>
      <c r="E563" s="3">
        <f t="shared" ca="1" si="8"/>
        <v>267564666</v>
      </c>
      <c r="F563" t="s">
        <v>12</v>
      </c>
      <c r="G563" t="s">
        <v>15</v>
      </c>
      <c r="H563" s="1" t="s">
        <v>237</v>
      </c>
      <c r="I563" t="s">
        <v>21</v>
      </c>
      <c r="J563" s="4">
        <v>9</v>
      </c>
      <c r="K563" s="4">
        <v>68.319999999999993</v>
      </c>
      <c r="L563" s="4">
        <v>10</v>
      </c>
      <c r="M563" s="4">
        <v>68.430000000000007</v>
      </c>
      <c r="N563" s="4">
        <v>147.87729999999999</v>
      </c>
      <c r="O563" s="4">
        <v>892</v>
      </c>
      <c r="P563" s="4">
        <v>3.8764546470000001</v>
      </c>
      <c r="Q563" s="4">
        <v>92.820999999999998</v>
      </c>
      <c r="R563" s="10"/>
    </row>
    <row r="564" spans="1:18" x14ac:dyDescent="0.3">
      <c r="A564" t="s">
        <v>3</v>
      </c>
      <c r="B564" s="3" t="s">
        <v>281</v>
      </c>
      <c r="C564" s="2">
        <v>43094</v>
      </c>
      <c r="D564" s="9">
        <v>0.7729166666666667</v>
      </c>
      <c r="E564" s="3">
        <f t="shared" ca="1" si="8"/>
        <v>266945756</v>
      </c>
      <c r="F564" t="s">
        <v>11</v>
      </c>
      <c r="G564" t="s">
        <v>15</v>
      </c>
      <c r="H564" s="1" t="s">
        <v>235</v>
      </c>
      <c r="I564" t="s">
        <v>18</v>
      </c>
      <c r="J564" s="4">
        <v>2</v>
      </c>
      <c r="K564" s="4">
        <v>19.196000000000002</v>
      </c>
      <c r="L564" s="4">
        <v>8</v>
      </c>
      <c r="M564" s="4">
        <v>72.849999999999994</v>
      </c>
      <c r="N564" s="4">
        <v>133.56219999999999</v>
      </c>
      <c r="O564" s="4">
        <v>339.36</v>
      </c>
      <c r="P564" s="4">
        <v>3.8764546470000001</v>
      </c>
      <c r="Q564" s="4">
        <v>72.456999999999994</v>
      </c>
      <c r="R564" s="10"/>
    </row>
    <row r="565" spans="1:18" x14ac:dyDescent="0.3">
      <c r="A565" t="s">
        <v>1</v>
      </c>
      <c r="B565" s="3" t="s">
        <v>279</v>
      </c>
      <c r="C565" s="2">
        <v>43008</v>
      </c>
      <c r="D565" s="9">
        <v>0.69027777777777777</v>
      </c>
      <c r="E565" s="3">
        <f t="shared" ca="1" si="8"/>
        <v>336958752</v>
      </c>
      <c r="F565" t="s">
        <v>12</v>
      </c>
      <c r="G565" t="s">
        <v>14</v>
      </c>
      <c r="H565" s="1" t="s">
        <v>235</v>
      </c>
      <c r="I565" t="s">
        <v>18</v>
      </c>
      <c r="J565" s="4">
        <v>4</v>
      </c>
      <c r="K565" s="4">
        <v>26.38</v>
      </c>
      <c r="L565" s="4">
        <v>6</v>
      </c>
      <c r="M565" s="4">
        <v>75.58</v>
      </c>
      <c r="N565" s="4">
        <v>114.931</v>
      </c>
      <c r="O565" s="4">
        <v>447.06</v>
      </c>
      <c r="P565" s="4">
        <v>3.8764546470000001</v>
      </c>
      <c r="Q565" s="4">
        <v>25.06</v>
      </c>
      <c r="R565" s="10"/>
    </row>
    <row r="566" spans="1:18" x14ac:dyDescent="0.3">
      <c r="A566" t="s">
        <v>3</v>
      </c>
      <c r="B566" s="3" t="s">
        <v>281</v>
      </c>
      <c r="C566" s="2">
        <v>43419</v>
      </c>
      <c r="D566" s="9">
        <v>0.77777777777777779</v>
      </c>
      <c r="E566" s="3">
        <f t="shared" ca="1" si="8"/>
        <v>656075970</v>
      </c>
      <c r="F566" t="s">
        <v>12</v>
      </c>
      <c r="G566" t="s">
        <v>15</v>
      </c>
      <c r="H566" s="1" t="s">
        <v>236</v>
      </c>
      <c r="I566" t="s">
        <v>22</v>
      </c>
      <c r="J566" s="4">
        <v>1</v>
      </c>
      <c r="K566" s="4">
        <v>68.19</v>
      </c>
      <c r="L566" s="4">
        <v>2</v>
      </c>
      <c r="M566" s="4">
        <v>85.01</v>
      </c>
      <c r="N566" s="4">
        <v>120.2705</v>
      </c>
      <c r="O566" s="4">
        <v>198.5</v>
      </c>
      <c r="P566" s="4">
        <v>3.8764546470000001</v>
      </c>
      <c r="Q566" s="4">
        <v>93.733999999999995</v>
      </c>
      <c r="R566" s="10"/>
    </row>
    <row r="567" spans="1:18" ht="28.8" x14ac:dyDescent="0.3">
      <c r="A567" t="s">
        <v>1</v>
      </c>
      <c r="B567" s="3" t="s">
        <v>279</v>
      </c>
      <c r="C567" s="2">
        <v>43308</v>
      </c>
      <c r="D567" s="9">
        <v>0.14097222222222222</v>
      </c>
      <c r="E567" s="3">
        <f t="shared" ca="1" si="8"/>
        <v>801452216</v>
      </c>
      <c r="F567" t="s">
        <v>11</v>
      </c>
      <c r="G567" t="s">
        <v>15</v>
      </c>
      <c r="H567" s="1" t="s">
        <v>237</v>
      </c>
      <c r="I567" t="s">
        <v>21</v>
      </c>
      <c r="J567" s="4">
        <v>1</v>
      </c>
      <c r="K567" s="4">
        <v>26.33</v>
      </c>
      <c r="L567" s="4">
        <v>10</v>
      </c>
      <c r="M567" s="4">
        <v>57.27</v>
      </c>
      <c r="N567" s="4">
        <v>129.35130000000001</v>
      </c>
      <c r="O567" s="4">
        <v>812.1</v>
      </c>
      <c r="P567" s="4">
        <v>3.8764546470000001</v>
      </c>
      <c r="Q567" s="4">
        <v>89.897999999999996</v>
      </c>
      <c r="R567" s="10"/>
    </row>
    <row r="568" spans="1:18" ht="28.8" x14ac:dyDescent="0.3">
      <c r="A568" t="s">
        <v>2</v>
      </c>
      <c r="B568" s="3" t="s">
        <v>280</v>
      </c>
      <c r="C568" s="2">
        <v>42934</v>
      </c>
      <c r="D568" s="9">
        <v>0.70972222222222225</v>
      </c>
      <c r="E568" s="3">
        <f t="shared" ca="1" si="8"/>
        <v>214978097</v>
      </c>
      <c r="F568" t="s">
        <v>11</v>
      </c>
      <c r="G568" t="s">
        <v>15</v>
      </c>
      <c r="H568" s="1" t="s">
        <v>237</v>
      </c>
      <c r="I568" t="s">
        <v>20</v>
      </c>
      <c r="J568" s="4">
        <v>8.6</v>
      </c>
      <c r="K568" s="4">
        <v>40.47</v>
      </c>
      <c r="L568" s="4">
        <v>10</v>
      </c>
      <c r="M568" s="4">
        <v>73.61</v>
      </c>
      <c r="N568" s="4">
        <v>138.9752</v>
      </c>
      <c r="O568" s="4">
        <v>493.3</v>
      </c>
      <c r="P568" s="4">
        <v>3.8764546470000001</v>
      </c>
      <c r="Q568" s="4">
        <v>31.77</v>
      </c>
      <c r="R568" s="10"/>
    </row>
    <row r="569" spans="1:18" x14ac:dyDescent="0.3">
      <c r="A569" t="s">
        <v>1</v>
      </c>
      <c r="B569" s="3" t="s">
        <v>279</v>
      </c>
      <c r="C569" s="2">
        <v>43252</v>
      </c>
      <c r="D569" s="9">
        <v>0.14097222222222222</v>
      </c>
      <c r="E569" s="3">
        <f t="shared" ca="1" si="8"/>
        <v>337938728</v>
      </c>
      <c r="F569" t="s">
        <v>11</v>
      </c>
      <c r="G569" t="s">
        <v>15</v>
      </c>
      <c r="H569" s="1" t="s">
        <v>236</v>
      </c>
      <c r="I569" t="s">
        <v>22</v>
      </c>
      <c r="J569" s="4">
        <v>6.2</v>
      </c>
      <c r="K569" s="4">
        <v>23.391999999999999</v>
      </c>
      <c r="L569" s="4">
        <v>9</v>
      </c>
      <c r="M569" s="4">
        <v>79.62</v>
      </c>
      <c r="N569" s="4">
        <v>140.64439999999999</v>
      </c>
      <c r="O569" s="4">
        <v>591.66</v>
      </c>
      <c r="P569" s="4">
        <v>3.8764546470000001</v>
      </c>
      <c r="Q569" s="4">
        <v>22.31</v>
      </c>
      <c r="R569" s="10"/>
    </row>
    <row r="570" spans="1:18" ht="28.8" x14ac:dyDescent="0.3">
      <c r="A570" t="s">
        <v>3</v>
      </c>
      <c r="B570" s="3" t="s">
        <v>281</v>
      </c>
      <c r="C570" s="2">
        <v>43465</v>
      </c>
      <c r="D570" s="9">
        <v>0.43263888888888891</v>
      </c>
      <c r="E570" s="3">
        <f t="shared" ca="1" si="8"/>
        <v>762926156</v>
      </c>
      <c r="F570" t="s">
        <v>11</v>
      </c>
      <c r="G570" t="s">
        <v>15</v>
      </c>
      <c r="H570" s="1" t="s">
        <v>237</v>
      </c>
      <c r="I570" t="s">
        <v>22</v>
      </c>
      <c r="J570" s="4">
        <v>1.2</v>
      </c>
      <c r="K570" s="4">
        <v>56.11</v>
      </c>
      <c r="L570" s="4">
        <v>7</v>
      </c>
      <c r="M570" s="4">
        <v>39.869999999999997</v>
      </c>
      <c r="N570" s="4">
        <v>143.34819999999999</v>
      </c>
      <c r="O570" s="4">
        <v>559.02</v>
      </c>
      <c r="P570" s="4">
        <v>3.8764546470000001</v>
      </c>
      <c r="Q570" s="4">
        <v>40.880000000000003</v>
      </c>
      <c r="R570" s="10"/>
    </row>
    <row r="571" spans="1:18" x14ac:dyDescent="0.3">
      <c r="A571" t="s">
        <v>2</v>
      </c>
      <c r="B571" s="3" t="s">
        <v>280</v>
      </c>
      <c r="C571" s="2">
        <v>43322</v>
      </c>
      <c r="D571" s="9">
        <v>0.71944444444444444</v>
      </c>
      <c r="E571" s="3">
        <f t="shared" ca="1" si="8"/>
        <v>613779155</v>
      </c>
      <c r="F571" t="s">
        <v>11</v>
      </c>
      <c r="G571" t="s">
        <v>15</v>
      </c>
      <c r="H571" s="1" t="s">
        <v>235</v>
      </c>
      <c r="I571" t="s">
        <v>20</v>
      </c>
      <c r="J571" s="4">
        <v>9.1999999999999993</v>
      </c>
      <c r="K571" s="4">
        <v>39.817999999999998</v>
      </c>
      <c r="L571" s="4">
        <v>7</v>
      </c>
      <c r="M571" s="4">
        <v>90.97</v>
      </c>
      <c r="N571" s="4">
        <v>136.44499999999999</v>
      </c>
      <c r="O571" s="4">
        <v>517.86</v>
      </c>
      <c r="P571" s="4">
        <v>3.8764546470000001</v>
      </c>
      <c r="Q571" s="4">
        <v>60.06</v>
      </c>
      <c r="R571" s="10"/>
    </row>
    <row r="572" spans="1:18" ht="28.8" x14ac:dyDescent="0.3">
      <c r="A572" t="s">
        <v>3</v>
      </c>
      <c r="B572" s="3" t="s">
        <v>281</v>
      </c>
      <c r="C572" s="2">
        <v>43245</v>
      </c>
      <c r="D572" s="9">
        <v>0.74375000000000002</v>
      </c>
      <c r="E572" s="3">
        <f t="shared" ca="1" si="8"/>
        <v>912739814</v>
      </c>
      <c r="F572" t="s">
        <v>11</v>
      </c>
      <c r="G572" t="s">
        <v>14</v>
      </c>
      <c r="H572" s="1" t="s">
        <v>237</v>
      </c>
      <c r="I572" t="s">
        <v>19</v>
      </c>
      <c r="J572" s="4">
        <v>1.3</v>
      </c>
      <c r="K572" s="4">
        <v>80.61</v>
      </c>
      <c r="L572" s="4">
        <v>5</v>
      </c>
      <c r="M572" s="4">
        <v>52.98</v>
      </c>
      <c r="N572" s="4">
        <v>154.00960000000001</v>
      </c>
      <c r="O572" s="4">
        <v>410.2</v>
      </c>
      <c r="P572" s="4">
        <v>3.8764546470000001</v>
      </c>
      <c r="Q572" s="4">
        <v>45.16</v>
      </c>
      <c r="R572" s="10"/>
    </row>
    <row r="573" spans="1:18" x14ac:dyDescent="0.3">
      <c r="A573" t="s">
        <v>3</v>
      </c>
      <c r="B573" s="3" t="s">
        <v>281</v>
      </c>
      <c r="C573" s="2">
        <v>42964</v>
      </c>
      <c r="D573" s="9">
        <v>0.20902777777777778</v>
      </c>
      <c r="E573" s="3">
        <f t="shared" ca="1" si="8"/>
        <v>100234513</v>
      </c>
      <c r="F573" t="s">
        <v>12</v>
      </c>
      <c r="G573" t="s">
        <v>14</v>
      </c>
      <c r="H573" s="1" t="s">
        <v>236</v>
      </c>
      <c r="I573" t="s">
        <v>20</v>
      </c>
      <c r="J573" s="4">
        <v>4.7</v>
      </c>
      <c r="K573" s="4">
        <v>85.3</v>
      </c>
      <c r="L573" s="4">
        <v>10</v>
      </c>
      <c r="M573" s="4">
        <v>16.84</v>
      </c>
      <c r="N573" s="4">
        <v>121.0536</v>
      </c>
      <c r="O573" s="4">
        <v>266.7</v>
      </c>
      <c r="P573" s="4">
        <v>3.8764546470000001</v>
      </c>
      <c r="Q573" s="4">
        <v>78.947999999999993</v>
      </c>
      <c r="R573" s="10"/>
    </row>
    <row r="574" spans="1:18" x14ac:dyDescent="0.3">
      <c r="A574" t="s">
        <v>1</v>
      </c>
      <c r="B574" s="3" t="s">
        <v>279</v>
      </c>
      <c r="C574" s="2">
        <v>43453</v>
      </c>
      <c r="D574" s="9">
        <v>0.94791666666666663</v>
      </c>
      <c r="E574" s="3">
        <f t="shared" ca="1" si="8"/>
        <v>918130250</v>
      </c>
      <c r="F574" t="s">
        <v>12</v>
      </c>
      <c r="G574" t="s">
        <v>14</v>
      </c>
      <c r="H574" s="1" t="s">
        <v>235</v>
      </c>
      <c r="I574" t="s">
        <v>21</v>
      </c>
      <c r="J574" s="4">
        <v>6</v>
      </c>
      <c r="K574" s="4">
        <v>42.69</v>
      </c>
      <c r="L574" s="4">
        <v>7</v>
      </c>
      <c r="M574" s="4">
        <v>71.72</v>
      </c>
      <c r="N574" s="4">
        <v>148.5266</v>
      </c>
      <c r="O574" s="4">
        <v>70.91</v>
      </c>
      <c r="P574" s="4">
        <v>3.8764546470000001</v>
      </c>
      <c r="Q574" s="4">
        <v>88.424999999999997</v>
      </c>
      <c r="R574" s="10"/>
    </row>
    <row r="575" spans="1:18" ht="28.8" x14ac:dyDescent="0.3">
      <c r="A575" t="s">
        <v>3</v>
      </c>
      <c r="B575" s="3" t="s">
        <v>281</v>
      </c>
      <c r="C575" s="2">
        <v>43440</v>
      </c>
      <c r="D575" s="9">
        <v>0.86041666666666672</v>
      </c>
      <c r="E575" s="3">
        <f t="shared" ca="1" si="8"/>
        <v>690067980</v>
      </c>
      <c r="F575" t="s">
        <v>12</v>
      </c>
      <c r="G575" t="s">
        <v>15</v>
      </c>
      <c r="H575" s="1" t="s">
        <v>237</v>
      </c>
      <c r="I575" t="s">
        <v>21</v>
      </c>
      <c r="J575" s="4">
        <v>4</v>
      </c>
      <c r="K575" s="4">
        <v>30.08</v>
      </c>
      <c r="L575" s="4">
        <v>2</v>
      </c>
      <c r="M575" s="4">
        <v>63.05</v>
      </c>
      <c r="N575" s="4">
        <v>160.76609999999999</v>
      </c>
      <c r="O575" s="4">
        <v>144.78</v>
      </c>
      <c r="P575" s="4">
        <v>3.8764546470000001</v>
      </c>
      <c r="Q575" s="4">
        <v>45.116999999999997</v>
      </c>
      <c r="R575" s="10"/>
    </row>
    <row r="576" spans="1:18" ht="28.8" x14ac:dyDescent="0.3">
      <c r="A576" t="s">
        <v>1</v>
      </c>
      <c r="B576" s="3" t="s">
        <v>279</v>
      </c>
      <c r="C576" s="2">
        <v>43121</v>
      </c>
      <c r="D576" s="9">
        <v>0.5444444444444444</v>
      </c>
      <c r="E576" s="3">
        <f t="shared" ca="1" si="8"/>
        <v>543061264</v>
      </c>
      <c r="F576" t="s">
        <v>12</v>
      </c>
      <c r="G576" t="s">
        <v>15</v>
      </c>
      <c r="H576" s="1" t="s">
        <v>237</v>
      </c>
      <c r="I576" t="s">
        <v>20</v>
      </c>
      <c r="J576" s="4">
        <v>2</v>
      </c>
      <c r="K576" s="4">
        <v>85.73</v>
      </c>
      <c r="L576" s="4">
        <v>5</v>
      </c>
      <c r="M576" s="4">
        <v>74.209999999999994</v>
      </c>
      <c r="N576" s="4">
        <v>111.818</v>
      </c>
      <c r="O576" s="4">
        <v>429.55</v>
      </c>
      <c r="P576" s="4">
        <v>3.8764546470000001</v>
      </c>
      <c r="Q576" s="4">
        <v>91.591999999999999</v>
      </c>
      <c r="R576" s="10"/>
    </row>
    <row r="577" spans="1:18" x14ac:dyDescent="0.3">
      <c r="A577" t="s">
        <v>3</v>
      </c>
      <c r="B577" s="3" t="s">
        <v>281</v>
      </c>
      <c r="C577" s="2">
        <v>43019</v>
      </c>
      <c r="D577" s="9">
        <v>0.64166666666666672</v>
      </c>
      <c r="E577" s="3">
        <f t="shared" ca="1" si="8"/>
        <v>388526659</v>
      </c>
      <c r="F577" t="s">
        <v>12</v>
      </c>
      <c r="G577" t="s">
        <v>14</v>
      </c>
      <c r="H577" s="1" t="s">
        <v>235</v>
      </c>
      <c r="I577" t="s">
        <v>22</v>
      </c>
      <c r="J577" s="4">
        <v>6</v>
      </c>
      <c r="K577" s="4">
        <v>54.82</v>
      </c>
      <c r="L577" s="4">
        <v>7</v>
      </c>
      <c r="M577" s="4">
        <v>56.66</v>
      </c>
      <c r="N577" s="4">
        <v>114.6844</v>
      </c>
      <c r="O577" s="4">
        <v>569.16999999999996</v>
      </c>
      <c r="P577" s="4">
        <v>3.8764546470000001</v>
      </c>
      <c r="Q577" s="4">
        <v>83.388999999999996</v>
      </c>
      <c r="R577" s="10"/>
    </row>
    <row r="578" spans="1:18" x14ac:dyDescent="0.3">
      <c r="A578" t="s">
        <v>3</v>
      </c>
      <c r="B578" s="3" t="s">
        <v>281</v>
      </c>
      <c r="C578" s="2">
        <v>43192</v>
      </c>
      <c r="D578" s="9">
        <v>0.78263888888888888</v>
      </c>
      <c r="E578" s="3">
        <f t="shared" ca="1" si="8"/>
        <v>671936908</v>
      </c>
      <c r="F578" t="s">
        <v>12</v>
      </c>
      <c r="G578" t="s">
        <v>15</v>
      </c>
      <c r="H578" s="1" t="s">
        <v>236</v>
      </c>
      <c r="I578" t="s">
        <v>21</v>
      </c>
      <c r="J578" s="4">
        <v>8</v>
      </c>
      <c r="K578" s="4">
        <v>19.690000000000001</v>
      </c>
      <c r="L578" s="4">
        <v>4</v>
      </c>
      <c r="M578" s="4">
        <v>54.13</v>
      </c>
      <c r="N578" s="4">
        <v>116.1444</v>
      </c>
      <c r="O578" s="4">
        <v>241.2</v>
      </c>
      <c r="P578" s="4">
        <v>3.8764546470000001</v>
      </c>
      <c r="Q578" s="4">
        <v>58.283000000000001</v>
      </c>
      <c r="R578" s="10"/>
    </row>
    <row r="579" spans="1:18" x14ac:dyDescent="0.3">
      <c r="A579" t="s">
        <v>2</v>
      </c>
      <c r="B579" s="3" t="s">
        <v>280</v>
      </c>
      <c r="C579" s="2">
        <v>43160</v>
      </c>
      <c r="D579" s="9">
        <v>0.4909722222222222</v>
      </c>
      <c r="E579" s="3">
        <f t="shared" ref="E579:E642" ca="1" si="9">RANDBETWEEN(10000000,1000000000)</f>
        <v>315680601</v>
      </c>
      <c r="F579" t="s">
        <v>12</v>
      </c>
      <c r="G579" t="s">
        <v>15</v>
      </c>
      <c r="H579" s="1" t="s">
        <v>235</v>
      </c>
      <c r="I579" t="s">
        <v>21</v>
      </c>
      <c r="J579" s="4">
        <v>9</v>
      </c>
      <c r="K579" s="4">
        <v>13.35</v>
      </c>
      <c r="L579" s="4">
        <v>4</v>
      </c>
      <c r="M579" s="4">
        <v>74.599999999999994</v>
      </c>
      <c r="N579" s="4">
        <v>118.4068</v>
      </c>
      <c r="O579" s="4">
        <v>127.08</v>
      </c>
      <c r="P579" s="4">
        <v>3.8764546470000001</v>
      </c>
      <c r="Q579" s="4">
        <v>60.414999999999999</v>
      </c>
      <c r="R579" s="10"/>
    </row>
    <row r="580" spans="1:18" x14ac:dyDescent="0.3">
      <c r="A580" t="s">
        <v>1</v>
      </c>
      <c r="B580" s="3" t="s">
        <v>279</v>
      </c>
      <c r="C580" s="2">
        <v>43388</v>
      </c>
      <c r="D580" s="9">
        <v>0.29652777777777778</v>
      </c>
      <c r="E580" s="3">
        <f t="shared" ca="1" si="9"/>
        <v>885163867</v>
      </c>
      <c r="F580" t="s">
        <v>11</v>
      </c>
      <c r="G580" t="s">
        <v>15</v>
      </c>
      <c r="H580" s="1" t="s">
        <v>236</v>
      </c>
      <c r="I580" t="s">
        <v>17</v>
      </c>
      <c r="J580" s="4">
        <v>6</v>
      </c>
      <c r="K580" s="4">
        <v>62.47</v>
      </c>
      <c r="L580" s="4">
        <v>4</v>
      </c>
      <c r="M580" s="4">
        <v>91.35</v>
      </c>
      <c r="N580" s="4">
        <v>178.81059999999999</v>
      </c>
      <c r="O580" s="4">
        <v>257.08</v>
      </c>
      <c r="P580" s="4">
        <v>3.8764546470000001</v>
      </c>
      <c r="Q580" s="4">
        <v>90.152000000000001</v>
      </c>
      <c r="R580" s="10"/>
    </row>
    <row r="581" spans="1:18" x14ac:dyDescent="0.3">
      <c r="A581" t="s">
        <v>3</v>
      </c>
      <c r="B581" s="3" t="s">
        <v>281</v>
      </c>
      <c r="C581" s="2">
        <v>43424</v>
      </c>
      <c r="D581" s="9">
        <v>0.21875</v>
      </c>
      <c r="E581" s="3">
        <f t="shared" ca="1" si="9"/>
        <v>469296798</v>
      </c>
      <c r="F581" t="s">
        <v>12</v>
      </c>
      <c r="G581" t="s">
        <v>15</v>
      </c>
      <c r="H581" s="1" t="s">
        <v>235</v>
      </c>
      <c r="I581" t="s">
        <v>17</v>
      </c>
      <c r="J581" s="4">
        <v>4.4000000000000004</v>
      </c>
      <c r="K581" s="4">
        <v>13.73</v>
      </c>
      <c r="L581" s="4">
        <v>2</v>
      </c>
      <c r="M581" s="4">
        <v>48.63</v>
      </c>
      <c r="N581" s="4">
        <v>152.27979999999999</v>
      </c>
      <c r="O581" s="4">
        <v>139.02000000000001</v>
      </c>
      <c r="P581" s="4">
        <v>3.8764546470000001</v>
      </c>
      <c r="Q581" s="4">
        <v>78.730999999999995</v>
      </c>
      <c r="R581" s="10"/>
    </row>
    <row r="582" spans="1:18" x14ac:dyDescent="0.3">
      <c r="A582" t="s">
        <v>2</v>
      </c>
      <c r="B582" s="3" t="s">
        <v>280</v>
      </c>
      <c r="C582" s="2">
        <v>43004</v>
      </c>
      <c r="D582" s="9">
        <v>0.35972222222222222</v>
      </c>
      <c r="E582" s="3">
        <f t="shared" ca="1" si="9"/>
        <v>571847341</v>
      </c>
      <c r="F582" t="s">
        <v>12</v>
      </c>
      <c r="G582" t="s">
        <v>15</v>
      </c>
      <c r="H582" s="1" t="s">
        <v>236</v>
      </c>
      <c r="I582" t="s">
        <v>21</v>
      </c>
      <c r="J582" s="4">
        <v>5.7</v>
      </c>
      <c r="K582" s="4">
        <v>82.156999999999996</v>
      </c>
      <c r="L582" s="4">
        <v>3</v>
      </c>
      <c r="M582" s="4">
        <v>61.78</v>
      </c>
      <c r="N582" s="4">
        <v>149.6523</v>
      </c>
      <c r="O582" s="4">
        <v>81.66</v>
      </c>
      <c r="P582" s="4">
        <v>3.8764546470000001</v>
      </c>
      <c r="Q582" s="4">
        <v>36.17</v>
      </c>
      <c r="R582" s="10"/>
    </row>
    <row r="583" spans="1:18" x14ac:dyDescent="0.3">
      <c r="A583" t="s">
        <v>1</v>
      </c>
      <c r="B583" s="3" t="s">
        <v>279</v>
      </c>
      <c r="C583" s="2">
        <v>43120</v>
      </c>
      <c r="D583" s="9">
        <v>0.20902777777777778</v>
      </c>
      <c r="E583" s="3">
        <f t="shared" ca="1" si="9"/>
        <v>346438619</v>
      </c>
      <c r="F583" t="s">
        <v>11</v>
      </c>
      <c r="G583" t="s">
        <v>14</v>
      </c>
      <c r="H583" s="1" t="s">
        <v>236</v>
      </c>
      <c r="I583" t="s">
        <v>17</v>
      </c>
      <c r="J583" s="4">
        <v>2.6</v>
      </c>
      <c r="K583" s="4">
        <v>41.378</v>
      </c>
      <c r="L583" s="4">
        <v>4</v>
      </c>
      <c r="M583" s="4">
        <v>96.46</v>
      </c>
      <c r="N583" s="4">
        <v>136.13999999999999</v>
      </c>
      <c r="O583" s="4">
        <v>310.72000000000003</v>
      </c>
      <c r="P583" s="4">
        <v>3.8764546470000001</v>
      </c>
      <c r="Q583" s="4">
        <v>10.02</v>
      </c>
      <c r="R583" s="10"/>
    </row>
    <row r="584" spans="1:18" ht="28.8" x14ac:dyDescent="0.3">
      <c r="A584" t="s">
        <v>2</v>
      </c>
      <c r="B584" s="3" t="s">
        <v>280</v>
      </c>
      <c r="C584" s="2">
        <v>43389</v>
      </c>
      <c r="D584" s="9">
        <v>0.66597222222222219</v>
      </c>
      <c r="E584" s="3">
        <f t="shared" ca="1" si="9"/>
        <v>250470511</v>
      </c>
      <c r="F584" t="s">
        <v>11</v>
      </c>
      <c r="G584" t="s">
        <v>14</v>
      </c>
      <c r="H584" s="1" t="s">
        <v>237</v>
      </c>
      <c r="I584" t="s">
        <v>22</v>
      </c>
      <c r="J584" s="4">
        <v>3.2</v>
      </c>
      <c r="K584" s="4">
        <v>34.537999999999997</v>
      </c>
      <c r="L584" s="4">
        <v>2</v>
      </c>
      <c r="M584" s="4">
        <v>68.95</v>
      </c>
      <c r="N584" s="4">
        <v>139.6892</v>
      </c>
      <c r="O584" s="4">
        <v>185.96</v>
      </c>
      <c r="P584" s="4">
        <v>3.8764546470000001</v>
      </c>
      <c r="Q584" s="4">
        <v>60.06</v>
      </c>
      <c r="R584" s="10"/>
    </row>
    <row r="585" spans="1:18" ht="28.8" x14ac:dyDescent="0.3">
      <c r="A585" t="s">
        <v>3</v>
      </c>
      <c r="B585" s="3" t="s">
        <v>281</v>
      </c>
      <c r="C585" s="2">
        <v>43008</v>
      </c>
      <c r="D585" s="9">
        <v>4.3749999999999997E-2</v>
      </c>
      <c r="E585" s="3">
        <f t="shared" ca="1" si="9"/>
        <v>924945919</v>
      </c>
      <c r="F585" t="s">
        <v>11</v>
      </c>
      <c r="G585" t="s">
        <v>14</v>
      </c>
      <c r="H585" s="1" t="s">
        <v>237</v>
      </c>
      <c r="I585" t="s">
        <v>22</v>
      </c>
      <c r="J585" s="4">
        <v>1.7</v>
      </c>
      <c r="K585" s="4">
        <v>72.03</v>
      </c>
      <c r="L585" s="4">
        <v>4</v>
      </c>
      <c r="M585" s="4">
        <v>91.44</v>
      </c>
      <c r="N585" s="4">
        <v>148.0264</v>
      </c>
      <c r="O585" s="4">
        <v>72.319999999999993</v>
      </c>
      <c r="P585" s="4">
        <v>3.8764546470000001</v>
      </c>
      <c r="Q585" s="4">
        <v>83.2</v>
      </c>
      <c r="R585" s="10"/>
    </row>
    <row r="586" spans="1:18" x14ac:dyDescent="0.3">
      <c r="A586" t="s">
        <v>3</v>
      </c>
      <c r="B586" s="3" t="s">
        <v>281</v>
      </c>
      <c r="C586" s="2">
        <v>43078</v>
      </c>
      <c r="D586" s="9">
        <v>0.51041666666666663</v>
      </c>
      <c r="E586" s="3">
        <f t="shared" ca="1" si="9"/>
        <v>298111004</v>
      </c>
      <c r="F586" t="s">
        <v>12</v>
      </c>
      <c r="G586" t="s">
        <v>15</v>
      </c>
      <c r="H586" s="1" t="s">
        <v>235</v>
      </c>
      <c r="I586" t="s">
        <v>20</v>
      </c>
      <c r="J586" s="4">
        <v>8.5</v>
      </c>
      <c r="K586" s="4">
        <v>83.76</v>
      </c>
      <c r="L586" s="4">
        <v>3</v>
      </c>
      <c r="M586" s="4">
        <v>38.299999999999997</v>
      </c>
      <c r="N586" s="4">
        <v>155.47669999999999</v>
      </c>
      <c r="O586" s="4">
        <v>189.18</v>
      </c>
      <c r="P586" s="4">
        <v>3.8764546470000001</v>
      </c>
      <c r="Q586" s="4">
        <v>82.75</v>
      </c>
      <c r="R586" s="10"/>
    </row>
    <row r="587" spans="1:18" ht="28.8" x14ac:dyDescent="0.3">
      <c r="A587" t="s">
        <v>1</v>
      </c>
      <c r="B587" s="3" t="s">
        <v>279</v>
      </c>
      <c r="C587" s="2">
        <v>42968</v>
      </c>
      <c r="D587" s="9">
        <v>0.73888888888888893</v>
      </c>
      <c r="E587" s="3">
        <f t="shared" ca="1" si="9"/>
        <v>147204364</v>
      </c>
      <c r="F587" t="s">
        <v>12</v>
      </c>
      <c r="G587" t="s">
        <v>15</v>
      </c>
      <c r="H587" s="1" t="s">
        <v>237</v>
      </c>
      <c r="I587" t="s">
        <v>17</v>
      </c>
      <c r="J587" s="4">
        <v>6</v>
      </c>
      <c r="K587" s="4">
        <v>84.38</v>
      </c>
      <c r="L587" s="4">
        <v>4</v>
      </c>
      <c r="M587" s="4">
        <v>87.25</v>
      </c>
      <c r="N587" s="4">
        <v>107.94199999999999</v>
      </c>
      <c r="O587" s="4">
        <v>206.84</v>
      </c>
      <c r="P587" s="4">
        <v>3.8764546470000001</v>
      </c>
      <c r="Q587" s="4">
        <v>54.96</v>
      </c>
      <c r="R587" s="10"/>
    </row>
    <row r="588" spans="1:18" x14ac:dyDescent="0.3">
      <c r="A588" t="s">
        <v>1</v>
      </c>
      <c r="B588" s="3" t="s">
        <v>279</v>
      </c>
      <c r="C588" s="2">
        <v>43148</v>
      </c>
      <c r="D588" s="9">
        <v>0.15069444444444444</v>
      </c>
      <c r="E588" s="3">
        <f t="shared" ca="1" si="9"/>
        <v>801497461</v>
      </c>
      <c r="F588" t="s">
        <v>11</v>
      </c>
      <c r="G588" t="s">
        <v>15</v>
      </c>
      <c r="H588" s="1" t="s">
        <v>236</v>
      </c>
      <c r="I588" t="s">
        <v>21</v>
      </c>
      <c r="J588" s="4">
        <v>2.8</v>
      </c>
      <c r="K588" s="4">
        <v>29.47</v>
      </c>
      <c r="L588" s="4">
        <v>3</v>
      </c>
      <c r="M588" s="4">
        <v>29.5</v>
      </c>
      <c r="N588" s="4">
        <v>161.44579999999999</v>
      </c>
      <c r="O588" s="4">
        <v>157.02000000000001</v>
      </c>
      <c r="P588" s="4">
        <v>3.8764546470000001</v>
      </c>
      <c r="Q588" s="4">
        <v>69.959999999999994</v>
      </c>
      <c r="R588" s="10"/>
    </row>
    <row r="589" spans="1:18" x14ac:dyDescent="0.3">
      <c r="A589" t="s">
        <v>1</v>
      </c>
      <c r="B589" s="3" t="s">
        <v>279</v>
      </c>
      <c r="C589" s="2">
        <v>43235</v>
      </c>
      <c r="D589" s="9">
        <v>0.81666666666666665</v>
      </c>
      <c r="E589" s="3">
        <f t="shared" ca="1" si="9"/>
        <v>102721571</v>
      </c>
      <c r="F589" t="s">
        <v>11</v>
      </c>
      <c r="G589" t="s">
        <v>15</v>
      </c>
      <c r="H589" s="1" t="s">
        <v>235</v>
      </c>
      <c r="I589" t="s">
        <v>20</v>
      </c>
      <c r="J589" s="4">
        <v>9.9</v>
      </c>
      <c r="K589" s="4">
        <v>93.46</v>
      </c>
      <c r="L589" s="4">
        <v>5</v>
      </c>
      <c r="M589" s="4">
        <v>41.4</v>
      </c>
      <c r="N589" s="4">
        <v>138.9211</v>
      </c>
      <c r="O589" s="4">
        <v>215.3</v>
      </c>
      <c r="P589" s="4">
        <v>3.8764546470000001</v>
      </c>
      <c r="Q589" s="4">
        <v>79.650000000000006</v>
      </c>
      <c r="R589" s="10"/>
    </row>
    <row r="590" spans="1:18" x14ac:dyDescent="0.3">
      <c r="A590" t="s">
        <v>2</v>
      </c>
      <c r="B590" s="3" t="s">
        <v>280</v>
      </c>
      <c r="C590" s="2">
        <v>43179</v>
      </c>
      <c r="D590" s="9">
        <v>0.35972222222222222</v>
      </c>
      <c r="E590" s="3">
        <f t="shared" ca="1" si="9"/>
        <v>153985937</v>
      </c>
      <c r="F590" t="s">
        <v>12</v>
      </c>
      <c r="G590" t="s">
        <v>15</v>
      </c>
      <c r="H590" s="1" t="s">
        <v>236</v>
      </c>
      <c r="I590" t="s">
        <v>22</v>
      </c>
      <c r="J590" s="4">
        <v>1.5</v>
      </c>
      <c r="K590" s="4">
        <v>87.7</v>
      </c>
      <c r="L590" s="4">
        <v>10</v>
      </c>
      <c r="M590" s="4">
        <v>31.54</v>
      </c>
      <c r="N590" s="4">
        <v>175.4847</v>
      </c>
      <c r="O590" s="4">
        <v>596.1</v>
      </c>
      <c r="P590" s="4">
        <v>3.8764546470000001</v>
      </c>
      <c r="Q590" s="4">
        <v>50.311</v>
      </c>
      <c r="R590" s="10"/>
    </row>
    <row r="591" spans="1:18" x14ac:dyDescent="0.3">
      <c r="A591" t="s">
        <v>1</v>
      </c>
      <c r="B591" s="3" t="s">
        <v>279</v>
      </c>
      <c r="C591" s="2">
        <v>43416</v>
      </c>
      <c r="D591" s="9">
        <v>0</v>
      </c>
      <c r="E591" s="3">
        <f t="shared" ca="1" si="9"/>
        <v>180629908</v>
      </c>
      <c r="F591" t="s">
        <v>12</v>
      </c>
      <c r="G591" t="s">
        <v>15</v>
      </c>
      <c r="H591" s="1" t="s">
        <v>236</v>
      </c>
      <c r="I591" t="s">
        <v>17</v>
      </c>
      <c r="J591" s="4">
        <v>1.1000000000000001</v>
      </c>
      <c r="K591" s="4">
        <v>40.92</v>
      </c>
      <c r="L591" s="4">
        <v>5</v>
      </c>
      <c r="M591" s="4">
        <v>96.45</v>
      </c>
      <c r="N591" s="4">
        <v>175.30459999999999</v>
      </c>
      <c r="O591" s="4">
        <v>73.099999999999994</v>
      </c>
      <c r="P591" s="4">
        <v>3.8764546470000001</v>
      </c>
      <c r="Q591" s="4">
        <v>94.864999999999995</v>
      </c>
      <c r="R591" s="10"/>
    </row>
    <row r="592" spans="1:18" ht="28.8" x14ac:dyDescent="0.3">
      <c r="A592" t="s">
        <v>2</v>
      </c>
      <c r="B592" s="3" t="s">
        <v>280</v>
      </c>
      <c r="C592" s="2">
        <v>42964</v>
      </c>
      <c r="D592" s="9">
        <v>0.32083333333333336</v>
      </c>
      <c r="E592" s="3">
        <f t="shared" ca="1" si="9"/>
        <v>170797747</v>
      </c>
      <c r="F592" t="s">
        <v>12</v>
      </c>
      <c r="G592" t="s">
        <v>14</v>
      </c>
      <c r="H592" s="1" t="s">
        <v>237</v>
      </c>
      <c r="I592" t="s">
        <v>17</v>
      </c>
      <c r="J592" s="4">
        <v>7</v>
      </c>
      <c r="K592" s="4">
        <v>28.14</v>
      </c>
      <c r="L592" s="4">
        <v>6</v>
      </c>
      <c r="M592" s="4">
        <v>75.150000000000006</v>
      </c>
      <c r="N592" s="4">
        <v>107.7501</v>
      </c>
      <c r="O592" s="4">
        <v>279.18</v>
      </c>
      <c r="P592" s="4">
        <v>3.8764546470000001</v>
      </c>
      <c r="Q592" s="4">
        <v>53.381999999999998</v>
      </c>
      <c r="R592" s="10"/>
    </row>
    <row r="593" spans="1:18" x14ac:dyDescent="0.3">
      <c r="A593" t="s">
        <v>2</v>
      </c>
      <c r="B593" s="3" t="s">
        <v>280</v>
      </c>
      <c r="C593" s="2">
        <v>43264</v>
      </c>
      <c r="D593" s="9">
        <v>0.79722222222222228</v>
      </c>
      <c r="E593" s="3">
        <f t="shared" ca="1" si="9"/>
        <v>372394990</v>
      </c>
      <c r="F593" t="s">
        <v>11</v>
      </c>
      <c r="G593" t="s">
        <v>14</v>
      </c>
      <c r="H593" s="1" t="s">
        <v>235</v>
      </c>
      <c r="I593" t="s">
        <v>19</v>
      </c>
      <c r="J593" s="4">
        <v>2</v>
      </c>
      <c r="K593" s="4">
        <v>19.23</v>
      </c>
      <c r="L593" s="4">
        <v>7</v>
      </c>
      <c r="M593" s="4">
        <v>74.12</v>
      </c>
      <c r="N593" s="4">
        <v>133.84479999999999</v>
      </c>
      <c r="O593" s="4">
        <v>169.68</v>
      </c>
      <c r="P593" s="4">
        <v>3.8764546470000001</v>
      </c>
      <c r="Q593" s="4">
        <v>53.738999999999997</v>
      </c>
      <c r="R593" s="10"/>
    </row>
    <row r="594" spans="1:18" x14ac:dyDescent="0.3">
      <c r="A594" t="s">
        <v>1</v>
      </c>
      <c r="B594" s="3" t="s">
        <v>279</v>
      </c>
      <c r="C594" s="2">
        <v>43140</v>
      </c>
      <c r="D594" s="9">
        <v>6.3194444444444442E-2</v>
      </c>
      <c r="E594" s="3">
        <f t="shared" ca="1" si="9"/>
        <v>978608548</v>
      </c>
      <c r="F594" t="s">
        <v>11</v>
      </c>
      <c r="G594" t="s">
        <v>14</v>
      </c>
      <c r="H594" s="1" t="s">
        <v>236</v>
      </c>
      <c r="I594" t="s">
        <v>20</v>
      </c>
      <c r="J594" s="4">
        <v>6</v>
      </c>
      <c r="K594" s="4">
        <v>43.97</v>
      </c>
      <c r="L594" s="4">
        <v>1</v>
      </c>
      <c r="M594" s="4">
        <v>45.25</v>
      </c>
      <c r="N594" s="4">
        <v>126.75660000000001</v>
      </c>
      <c r="O594" s="4">
        <v>45.58</v>
      </c>
      <c r="P594" s="4">
        <v>3.8764546470000001</v>
      </c>
      <c r="Q594" s="4">
        <v>96.638000000000005</v>
      </c>
      <c r="R594" s="10"/>
    </row>
    <row r="595" spans="1:18" x14ac:dyDescent="0.3">
      <c r="A595" t="s">
        <v>1</v>
      </c>
      <c r="B595" s="3" t="s">
        <v>279</v>
      </c>
      <c r="C595" s="2">
        <v>43035</v>
      </c>
      <c r="D595" s="9">
        <v>0.28680555555555554</v>
      </c>
      <c r="E595" s="3">
        <f t="shared" ca="1" si="9"/>
        <v>132203688</v>
      </c>
      <c r="F595" t="s">
        <v>11</v>
      </c>
      <c r="G595" t="s">
        <v>14</v>
      </c>
      <c r="H595" s="1" t="s">
        <v>235</v>
      </c>
      <c r="I595" t="s">
        <v>20</v>
      </c>
      <c r="J595" s="4">
        <v>5</v>
      </c>
      <c r="K595" s="4">
        <v>28.96</v>
      </c>
      <c r="L595" s="4">
        <v>3</v>
      </c>
      <c r="M595" s="4">
        <v>39.9</v>
      </c>
      <c r="N595" s="4">
        <v>182.49109999999999</v>
      </c>
      <c r="O595" s="4">
        <v>225.6</v>
      </c>
      <c r="P595" s="4">
        <v>3.8764546470000001</v>
      </c>
      <c r="Q595" s="4">
        <v>41.634999999999998</v>
      </c>
      <c r="R595" s="10"/>
    </row>
    <row r="596" spans="1:18" x14ac:dyDescent="0.3">
      <c r="A596" t="s">
        <v>3</v>
      </c>
      <c r="B596" s="3" t="s">
        <v>281</v>
      </c>
      <c r="C596" s="2">
        <v>43156</v>
      </c>
      <c r="D596" s="9">
        <v>0.36944444444444446</v>
      </c>
      <c r="E596" s="3">
        <f t="shared" ca="1" si="9"/>
        <v>219469896</v>
      </c>
      <c r="F596" t="s">
        <v>12</v>
      </c>
      <c r="G596" t="s">
        <v>14</v>
      </c>
      <c r="H596" s="1" t="s">
        <v>236</v>
      </c>
      <c r="I596" t="s">
        <v>20</v>
      </c>
      <c r="J596" s="4">
        <v>1</v>
      </c>
      <c r="K596" s="4">
        <v>94.421999999999997</v>
      </c>
      <c r="L596" s="4">
        <v>3</v>
      </c>
      <c r="M596" s="4">
        <v>30.67</v>
      </c>
      <c r="N596" s="4">
        <v>130.6146</v>
      </c>
      <c r="O596" s="4">
        <v>290.39999999999998</v>
      </c>
      <c r="P596" s="4">
        <v>3.8764546470000001</v>
      </c>
      <c r="Q596" s="4">
        <v>82.828999999999994</v>
      </c>
      <c r="R596" s="10"/>
    </row>
    <row r="597" spans="1:18" ht="28.8" x14ac:dyDescent="0.3">
      <c r="A597" t="s">
        <v>3</v>
      </c>
      <c r="B597" s="3" t="s">
        <v>281</v>
      </c>
      <c r="C597" s="2">
        <v>42922</v>
      </c>
      <c r="D597" s="9">
        <v>0.47152777777777777</v>
      </c>
      <c r="E597" s="3">
        <f t="shared" ca="1" si="9"/>
        <v>309845466</v>
      </c>
      <c r="F597" t="s">
        <v>12</v>
      </c>
      <c r="G597" t="s">
        <v>15</v>
      </c>
      <c r="H597" s="1" t="s">
        <v>237</v>
      </c>
      <c r="I597" t="s">
        <v>17</v>
      </c>
      <c r="J597" s="4">
        <v>5.9</v>
      </c>
      <c r="K597" s="4">
        <v>47.31</v>
      </c>
      <c r="L597" s="4">
        <v>3</v>
      </c>
      <c r="M597" s="4">
        <v>28</v>
      </c>
      <c r="N597" s="4">
        <v>104.02</v>
      </c>
      <c r="O597" s="4">
        <v>44.46</v>
      </c>
      <c r="P597" s="4">
        <v>3.8764546470000001</v>
      </c>
      <c r="Q597" s="4">
        <v>35.494</v>
      </c>
      <c r="R597" s="10"/>
    </row>
    <row r="598" spans="1:18" ht="28.8" x14ac:dyDescent="0.3">
      <c r="A598" t="s">
        <v>1</v>
      </c>
      <c r="B598" s="3" t="s">
        <v>279</v>
      </c>
      <c r="C598" s="2">
        <v>42889</v>
      </c>
      <c r="D598" s="9">
        <v>0.44236111111111109</v>
      </c>
      <c r="E598" s="3">
        <f t="shared" ca="1" si="9"/>
        <v>88430740</v>
      </c>
      <c r="F598" t="s">
        <v>12</v>
      </c>
      <c r="G598" t="s">
        <v>15</v>
      </c>
      <c r="H598" s="1" t="s">
        <v>237</v>
      </c>
      <c r="I598" t="s">
        <v>21</v>
      </c>
      <c r="J598" s="4">
        <v>7.4</v>
      </c>
      <c r="K598" s="4">
        <v>51.41</v>
      </c>
      <c r="L598" s="4">
        <v>3</v>
      </c>
      <c r="M598" s="4">
        <v>83.99</v>
      </c>
      <c r="N598" s="4">
        <v>110.13379999999999</v>
      </c>
      <c r="O598" s="4">
        <v>156.6</v>
      </c>
      <c r="P598" s="4">
        <v>3.8764546470000001</v>
      </c>
      <c r="Q598" s="4">
        <v>55.14</v>
      </c>
      <c r="R598" s="10"/>
    </row>
    <row r="599" spans="1:18" x14ac:dyDescent="0.3">
      <c r="A599" t="s">
        <v>2</v>
      </c>
      <c r="B599" s="3" t="s">
        <v>280</v>
      </c>
      <c r="C599" s="2">
        <v>43194</v>
      </c>
      <c r="D599" s="9">
        <v>0.2673611111111111</v>
      </c>
      <c r="E599" s="3">
        <f t="shared" ca="1" si="9"/>
        <v>734379454</v>
      </c>
      <c r="F599" t="s">
        <v>11</v>
      </c>
      <c r="G599" t="s">
        <v>15</v>
      </c>
      <c r="H599" s="1" t="s">
        <v>235</v>
      </c>
      <c r="I599" t="s">
        <v>20</v>
      </c>
      <c r="J599" s="4">
        <v>6.3</v>
      </c>
      <c r="K599" s="4">
        <v>62.81</v>
      </c>
      <c r="L599" s="4">
        <v>9</v>
      </c>
      <c r="M599" s="4">
        <v>23.08</v>
      </c>
      <c r="N599" s="4">
        <v>183.35570000000001</v>
      </c>
      <c r="O599" s="4">
        <v>419.94</v>
      </c>
      <c r="P599" s="4">
        <v>3.8764546470000001</v>
      </c>
      <c r="Q599" s="4">
        <v>88.15</v>
      </c>
      <c r="R599" s="10"/>
    </row>
    <row r="600" spans="1:18" x14ac:dyDescent="0.3">
      <c r="A600" t="s">
        <v>2</v>
      </c>
      <c r="B600" s="3" t="s">
        <v>280</v>
      </c>
      <c r="C600" s="2">
        <v>43460</v>
      </c>
      <c r="D600" s="9">
        <v>0.25277777777777777</v>
      </c>
      <c r="E600" s="3">
        <f t="shared" ca="1" si="9"/>
        <v>703522365</v>
      </c>
      <c r="F600" t="s">
        <v>11</v>
      </c>
      <c r="G600" t="s">
        <v>15</v>
      </c>
      <c r="H600" s="1" t="s">
        <v>236</v>
      </c>
      <c r="I600" t="s">
        <v>22</v>
      </c>
      <c r="J600" s="4">
        <v>8.4</v>
      </c>
      <c r="K600" s="4">
        <v>18.46</v>
      </c>
      <c r="L600" s="4">
        <v>5</v>
      </c>
      <c r="M600" s="4">
        <v>13.48</v>
      </c>
      <c r="N600" s="4">
        <v>134.47739999999999</v>
      </c>
      <c r="O600" s="4">
        <v>184.25</v>
      </c>
      <c r="P600" s="4">
        <v>3.8764546470000001</v>
      </c>
      <c r="Q600" s="4">
        <v>40.451000000000001</v>
      </c>
      <c r="R600" s="10"/>
    </row>
    <row r="601" spans="1:18" x14ac:dyDescent="0.3">
      <c r="A601" t="s">
        <v>1</v>
      </c>
      <c r="B601" s="3" t="s">
        <v>279</v>
      </c>
      <c r="C601" s="2">
        <v>43255</v>
      </c>
      <c r="D601" s="9">
        <v>9.7222222222222224E-2</v>
      </c>
      <c r="E601" s="3">
        <f t="shared" ca="1" si="9"/>
        <v>270051668</v>
      </c>
      <c r="F601" t="s">
        <v>11</v>
      </c>
      <c r="G601" t="s">
        <v>14</v>
      </c>
      <c r="H601" s="1" t="s">
        <v>235</v>
      </c>
      <c r="I601" t="s">
        <v>19</v>
      </c>
      <c r="J601" s="4">
        <v>2.9</v>
      </c>
      <c r="K601" s="4">
        <v>13.9</v>
      </c>
      <c r="L601" s="4">
        <v>2</v>
      </c>
      <c r="M601" s="4">
        <v>89.11</v>
      </c>
      <c r="N601" s="4">
        <v>103.2863</v>
      </c>
      <c r="O601" s="4">
        <v>140.63999999999999</v>
      </c>
      <c r="P601" s="4">
        <v>3.8764546470000001</v>
      </c>
      <c r="Q601" s="4">
        <v>56.637</v>
      </c>
      <c r="R601" s="10"/>
    </row>
    <row r="602" spans="1:18" x14ac:dyDescent="0.3">
      <c r="A602" t="s">
        <v>2</v>
      </c>
      <c r="B602" s="3" t="s">
        <v>280</v>
      </c>
      <c r="C602" s="2">
        <v>42923</v>
      </c>
      <c r="D602" s="9">
        <v>0.57361111111111107</v>
      </c>
      <c r="E602" s="3">
        <f t="shared" ca="1" si="9"/>
        <v>312964018</v>
      </c>
      <c r="F602" t="s">
        <v>12</v>
      </c>
      <c r="G602" t="s">
        <v>15</v>
      </c>
      <c r="H602" s="1" t="s">
        <v>235</v>
      </c>
      <c r="I602" t="s">
        <v>18</v>
      </c>
      <c r="J602" s="4">
        <v>3</v>
      </c>
      <c r="K602" s="4">
        <v>54.59</v>
      </c>
      <c r="L602" s="4">
        <v>1</v>
      </c>
      <c r="M602" s="4">
        <v>65.099999999999994</v>
      </c>
      <c r="N602" s="4">
        <v>150.66300000000001</v>
      </c>
      <c r="O602" s="4">
        <v>83.08</v>
      </c>
      <c r="P602" s="4">
        <v>3.8764546470000001</v>
      </c>
      <c r="Q602" s="4">
        <v>99.68</v>
      </c>
      <c r="R602" s="10"/>
    </row>
    <row r="603" spans="1:18" ht="28.8" x14ac:dyDescent="0.3">
      <c r="A603" t="s">
        <v>2</v>
      </c>
      <c r="B603" s="3" t="s">
        <v>280</v>
      </c>
      <c r="C603" s="2">
        <v>43367</v>
      </c>
      <c r="D603" s="9">
        <v>0.99652777777777779</v>
      </c>
      <c r="E603" s="3">
        <f t="shared" ca="1" si="9"/>
        <v>871472470</v>
      </c>
      <c r="F603" t="s">
        <v>11</v>
      </c>
      <c r="G603" t="s">
        <v>15</v>
      </c>
      <c r="H603" s="1" t="s">
        <v>237</v>
      </c>
      <c r="I603" t="s">
        <v>22</v>
      </c>
      <c r="J603" s="4">
        <v>2</v>
      </c>
      <c r="K603" s="4">
        <v>20.376000000000001</v>
      </c>
      <c r="L603" s="4">
        <v>1</v>
      </c>
      <c r="M603" s="4">
        <v>94.37</v>
      </c>
      <c r="N603" s="4">
        <v>161.66409999999999</v>
      </c>
      <c r="O603" s="4">
        <v>64.989999999999995</v>
      </c>
      <c r="P603" s="4">
        <v>3.8764546470000001</v>
      </c>
      <c r="Q603" s="4">
        <v>73.188000000000002</v>
      </c>
      <c r="R603" s="10"/>
    </row>
    <row r="604" spans="1:18" x14ac:dyDescent="0.3">
      <c r="A604" t="s">
        <v>2</v>
      </c>
      <c r="B604" s="3" t="s">
        <v>280</v>
      </c>
      <c r="C604" s="2">
        <v>42811</v>
      </c>
      <c r="D604" s="9">
        <v>0.65625</v>
      </c>
      <c r="E604" s="3">
        <f t="shared" ca="1" si="9"/>
        <v>739125251</v>
      </c>
      <c r="F604" t="s">
        <v>12</v>
      </c>
      <c r="G604" t="s">
        <v>15</v>
      </c>
      <c r="H604" s="1" t="s">
        <v>235</v>
      </c>
      <c r="I604" t="s">
        <v>21</v>
      </c>
      <c r="J604" s="4">
        <v>3</v>
      </c>
      <c r="K604" s="4">
        <v>92.944999999999993</v>
      </c>
      <c r="L604" s="4">
        <v>10</v>
      </c>
      <c r="M604" s="4">
        <v>45.65</v>
      </c>
      <c r="N604" s="4">
        <v>178.9752</v>
      </c>
      <c r="O604" s="4">
        <v>775.6</v>
      </c>
      <c r="P604" s="4">
        <v>3.8764546470000001</v>
      </c>
      <c r="Q604" s="4">
        <v>27.335999999999999</v>
      </c>
      <c r="R604" s="10"/>
    </row>
    <row r="605" spans="1:18" x14ac:dyDescent="0.3">
      <c r="A605" t="s">
        <v>3</v>
      </c>
      <c r="B605" s="3" t="s">
        <v>281</v>
      </c>
      <c r="C605" s="2">
        <v>43092</v>
      </c>
      <c r="D605" s="9">
        <v>0.59305555555555556</v>
      </c>
      <c r="E605" s="3">
        <f t="shared" ca="1" si="9"/>
        <v>738568746</v>
      </c>
      <c r="F605" t="s">
        <v>11</v>
      </c>
      <c r="G605" t="s">
        <v>15</v>
      </c>
      <c r="H605" s="1" t="s">
        <v>235</v>
      </c>
      <c r="I605" t="s">
        <v>20</v>
      </c>
      <c r="J605" s="4">
        <v>7.9</v>
      </c>
      <c r="K605" s="4">
        <v>53.997</v>
      </c>
      <c r="L605" s="4">
        <v>6</v>
      </c>
      <c r="M605" s="4">
        <v>70.73</v>
      </c>
      <c r="N605" s="4">
        <v>167.4444</v>
      </c>
      <c r="O605" s="4">
        <v>327.06</v>
      </c>
      <c r="P605" s="4">
        <v>3.8764546470000001</v>
      </c>
      <c r="Q605" s="4">
        <v>29.867000000000001</v>
      </c>
      <c r="R605" s="10"/>
    </row>
    <row r="606" spans="1:18" x14ac:dyDescent="0.3">
      <c r="A606" t="s">
        <v>2</v>
      </c>
      <c r="B606" s="3" t="s">
        <v>280</v>
      </c>
      <c r="C606" s="2">
        <v>42831</v>
      </c>
      <c r="D606" s="9">
        <v>0.59791666666666665</v>
      </c>
      <c r="E606" s="3">
        <f t="shared" ca="1" si="9"/>
        <v>666519612</v>
      </c>
      <c r="F606" t="s">
        <v>11</v>
      </c>
      <c r="G606" t="s">
        <v>14</v>
      </c>
      <c r="H606" s="1" t="s">
        <v>236</v>
      </c>
      <c r="I606" t="s">
        <v>22</v>
      </c>
      <c r="J606" s="4">
        <v>7</v>
      </c>
      <c r="K606" s="4">
        <v>81.379000000000005</v>
      </c>
      <c r="L606" s="4">
        <v>7</v>
      </c>
      <c r="M606" s="4">
        <v>57.7</v>
      </c>
      <c r="N606" s="4">
        <v>115.80240000000001</v>
      </c>
      <c r="O606" s="4">
        <v>363.23</v>
      </c>
      <c r="P606" s="4">
        <v>3.8764546470000001</v>
      </c>
      <c r="Q606" s="4">
        <v>27.231999999999999</v>
      </c>
      <c r="R606" s="10"/>
    </row>
    <row r="607" spans="1:18" x14ac:dyDescent="0.3">
      <c r="A607" t="s">
        <v>3</v>
      </c>
      <c r="B607" s="3" t="s">
        <v>281</v>
      </c>
      <c r="C607" s="2">
        <v>43244</v>
      </c>
      <c r="D607" s="9">
        <v>0.58819444444444446</v>
      </c>
      <c r="E607" s="3">
        <f t="shared" ca="1" si="9"/>
        <v>320819404</v>
      </c>
      <c r="F607" t="s">
        <v>12</v>
      </c>
      <c r="G607" t="s">
        <v>15</v>
      </c>
      <c r="H607" s="1" t="s">
        <v>236</v>
      </c>
      <c r="I607" t="s">
        <v>19</v>
      </c>
      <c r="J607" s="4">
        <v>7.1</v>
      </c>
      <c r="K607" s="4">
        <v>61.404000000000003</v>
      </c>
      <c r="L607" s="4">
        <v>4</v>
      </c>
      <c r="M607" s="4">
        <v>29.85</v>
      </c>
      <c r="N607" s="4">
        <v>151.6858</v>
      </c>
      <c r="O607" s="4">
        <v>127</v>
      </c>
      <c r="P607" s="4">
        <v>3.8764546470000001</v>
      </c>
      <c r="Q607" s="4">
        <v>61.423999999999999</v>
      </c>
      <c r="R607" s="10"/>
    </row>
    <row r="608" spans="1:18" x14ac:dyDescent="0.3">
      <c r="A608" t="s">
        <v>1</v>
      </c>
      <c r="B608" s="3" t="s">
        <v>279</v>
      </c>
      <c r="C608" s="2">
        <v>43204</v>
      </c>
      <c r="D608" s="9">
        <v>9.7222222222222224E-2</v>
      </c>
      <c r="E608" s="3">
        <f t="shared" ca="1" si="9"/>
        <v>85502650</v>
      </c>
      <c r="F608" t="s">
        <v>11</v>
      </c>
      <c r="G608" t="s">
        <v>14</v>
      </c>
      <c r="H608" s="1" t="s">
        <v>235</v>
      </c>
      <c r="I608" t="s">
        <v>22</v>
      </c>
      <c r="J608" s="4">
        <v>7.8</v>
      </c>
      <c r="K608" s="4">
        <v>50.18</v>
      </c>
      <c r="L608" s="4">
        <v>7</v>
      </c>
      <c r="M608" s="4">
        <v>10.89</v>
      </c>
      <c r="N608" s="4">
        <v>151.53479999999999</v>
      </c>
      <c r="O608" s="4">
        <v>375.55</v>
      </c>
      <c r="P608" s="4">
        <v>3.8764546470000001</v>
      </c>
      <c r="Q608" s="4">
        <v>55.35</v>
      </c>
      <c r="R608" s="10"/>
    </row>
    <row r="609" spans="1:18" ht="28.8" x14ac:dyDescent="0.3">
      <c r="A609" t="s">
        <v>2</v>
      </c>
      <c r="B609" s="3" t="s">
        <v>280</v>
      </c>
      <c r="C609" s="2">
        <v>43251</v>
      </c>
      <c r="D609" s="9">
        <v>0.68055555555555558</v>
      </c>
      <c r="E609" s="3">
        <f t="shared" ca="1" si="9"/>
        <v>46327401</v>
      </c>
      <c r="F609" t="s">
        <v>11</v>
      </c>
      <c r="G609" t="s">
        <v>14</v>
      </c>
      <c r="H609" s="1" t="s">
        <v>237</v>
      </c>
      <c r="I609" t="s">
        <v>21</v>
      </c>
      <c r="J609" s="4">
        <v>8</v>
      </c>
      <c r="K609" s="4">
        <v>38.85</v>
      </c>
      <c r="L609" s="4">
        <v>4</v>
      </c>
      <c r="M609" s="4">
        <v>59.78</v>
      </c>
      <c r="N609" s="4">
        <v>130.25069999999999</v>
      </c>
      <c r="O609" s="4">
        <v>199.16</v>
      </c>
      <c r="P609" s="4">
        <v>3.8764546470000001</v>
      </c>
      <c r="Q609" s="4">
        <v>65.569999999999993</v>
      </c>
      <c r="R609" s="10"/>
    </row>
    <row r="610" spans="1:18" x14ac:dyDescent="0.3">
      <c r="A610" t="s">
        <v>1</v>
      </c>
      <c r="B610" s="3" t="s">
        <v>279</v>
      </c>
      <c r="C610" s="2">
        <v>43013</v>
      </c>
      <c r="D610" s="9">
        <v>0.93819444444444444</v>
      </c>
      <c r="E610" s="3">
        <f t="shared" ca="1" si="9"/>
        <v>216366614</v>
      </c>
      <c r="F610" t="s">
        <v>12</v>
      </c>
      <c r="G610" t="s">
        <v>15</v>
      </c>
      <c r="H610" s="1" t="s">
        <v>235</v>
      </c>
      <c r="I610" t="s">
        <v>22</v>
      </c>
      <c r="J610" s="4">
        <v>8</v>
      </c>
      <c r="K610" s="4">
        <v>87.49</v>
      </c>
      <c r="L610" s="4">
        <v>1</v>
      </c>
      <c r="M610" s="4">
        <v>91.8</v>
      </c>
      <c r="N610" s="4">
        <v>119.45910000000001</v>
      </c>
      <c r="O610" s="4">
        <v>30.61</v>
      </c>
      <c r="P610" s="4">
        <v>3.8764546470000001</v>
      </c>
      <c r="Q610" s="4">
        <v>59.58</v>
      </c>
      <c r="R610" s="10"/>
    </row>
    <row r="611" spans="1:18" x14ac:dyDescent="0.3">
      <c r="A611" t="s">
        <v>3</v>
      </c>
      <c r="B611" s="3" t="s">
        <v>281</v>
      </c>
      <c r="C611" s="2">
        <v>43311</v>
      </c>
      <c r="D611" s="9">
        <v>0.37916666666666665</v>
      </c>
      <c r="E611" s="3">
        <f t="shared" ca="1" si="9"/>
        <v>441484328</v>
      </c>
      <c r="F611" t="s">
        <v>12</v>
      </c>
      <c r="G611" t="s">
        <v>14</v>
      </c>
      <c r="H611" s="1" t="s">
        <v>235</v>
      </c>
      <c r="I611" t="s">
        <v>21</v>
      </c>
      <c r="J611" s="4">
        <v>9</v>
      </c>
      <c r="K611" s="4">
        <v>10.01</v>
      </c>
      <c r="L611" s="4">
        <v>2</v>
      </c>
      <c r="M611" s="4">
        <v>12.7</v>
      </c>
      <c r="N611" s="4">
        <v>166.26589999999999</v>
      </c>
      <c r="O611" s="4">
        <v>115.78</v>
      </c>
      <c r="P611" s="4">
        <v>3.8764546470000001</v>
      </c>
      <c r="Q611" s="4">
        <v>76.53</v>
      </c>
      <c r="R611" s="10"/>
    </row>
    <row r="612" spans="1:18" ht="28.8" x14ac:dyDescent="0.3">
      <c r="A612" t="s">
        <v>1</v>
      </c>
      <c r="B612" s="3" t="s">
        <v>279</v>
      </c>
      <c r="C612" s="2">
        <v>43267</v>
      </c>
      <c r="D612" s="9">
        <v>0.13125000000000001</v>
      </c>
      <c r="E612" s="3">
        <f t="shared" ca="1" si="9"/>
        <v>323839012</v>
      </c>
      <c r="F612" t="s">
        <v>11</v>
      </c>
      <c r="G612" t="s">
        <v>15</v>
      </c>
      <c r="H612" s="1" t="s">
        <v>237</v>
      </c>
      <c r="I612" t="s">
        <v>18</v>
      </c>
      <c r="J612" s="4">
        <v>8.3000000000000007</v>
      </c>
      <c r="K612" s="4">
        <v>88.11</v>
      </c>
      <c r="L612" s="4">
        <v>1</v>
      </c>
      <c r="M612" s="4">
        <v>85.45</v>
      </c>
      <c r="N612" s="4">
        <v>112.4396</v>
      </c>
      <c r="O612" s="4">
        <v>28.96</v>
      </c>
      <c r="P612" s="4">
        <v>3.8764546470000001</v>
      </c>
      <c r="Q612" s="4">
        <v>95.298000000000002</v>
      </c>
      <c r="R612" s="10"/>
    </row>
    <row r="613" spans="1:18" x14ac:dyDescent="0.3">
      <c r="A613" t="s">
        <v>2</v>
      </c>
      <c r="B613" s="3" t="s">
        <v>280</v>
      </c>
      <c r="C613" s="2">
        <v>42985</v>
      </c>
      <c r="D613" s="9">
        <v>0.96736111111111112</v>
      </c>
      <c r="E613" s="3">
        <f t="shared" ca="1" si="9"/>
        <v>929638209</v>
      </c>
      <c r="F613" t="s">
        <v>11</v>
      </c>
      <c r="G613" t="s">
        <v>14</v>
      </c>
      <c r="H613" s="1" t="s">
        <v>236</v>
      </c>
      <c r="I613" t="s">
        <v>21</v>
      </c>
      <c r="J613" s="4">
        <v>5.5</v>
      </c>
      <c r="K613" s="4">
        <v>40.700000000000003</v>
      </c>
      <c r="L613" s="4">
        <v>9</v>
      </c>
      <c r="M613" s="4">
        <v>10.76</v>
      </c>
      <c r="N613" s="4">
        <v>125.4205</v>
      </c>
      <c r="O613" s="4">
        <v>890.73</v>
      </c>
      <c r="P613" s="4">
        <v>3.8764546470000001</v>
      </c>
      <c r="Q613" s="4">
        <v>40.619999999999997</v>
      </c>
      <c r="R613" s="10"/>
    </row>
    <row r="614" spans="1:18" x14ac:dyDescent="0.3">
      <c r="A614" t="s">
        <v>3</v>
      </c>
      <c r="B614" s="3" t="s">
        <v>281</v>
      </c>
      <c r="C614" s="2">
        <v>42914</v>
      </c>
      <c r="D614" s="9">
        <v>0.48125000000000001</v>
      </c>
      <c r="E614" s="3">
        <f t="shared" ca="1" si="9"/>
        <v>887301364</v>
      </c>
      <c r="F614" t="s">
        <v>12</v>
      </c>
      <c r="G614" t="s">
        <v>14</v>
      </c>
      <c r="H614" s="1" t="s">
        <v>236</v>
      </c>
      <c r="I614" t="s">
        <v>22</v>
      </c>
      <c r="J614" s="4">
        <v>1.6</v>
      </c>
      <c r="K614" s="4">
        <v>73.09</v>
      </c>
      <c r="L614" s="4">
        <v>3</v>
      </c>
      <c r="M614" s="4">
        <v>97.06</v>
      </c>
      <c r="N614" s="4">
        <v>176.73939999999999</v>
      </c>
      <c r="O614" s="4">
        <v>279.66000000000003</v>
      </c>
      <c r="P614" s="4">
        <v>3.8764546470000001</v>
      </c>
      <c r="Q614" s="4">
        <v>14.045999999999999</v>
      </c>
      <c r="R614" s="10"/>
    </row>
    <row r="615" spans="1:18" ht="28.8" x14ac:dyDescent="0.3">
      <c r="A615" t="s">
        <v>2</v>
      </c>
      <c r="B615" s="3" t="s">
        <v>280</v>
      </c>
      <c r="C615" s="2">
        <v>43278</v>
      </c>
      <c r="D615" s="9">
        <v>1.4583333333333334E-2</v>
      </c>
      <c r="E615" s="3">
        <f t="shared" ca="1" si="9"/>
        <v>162361108</v>
      </c>
      <c r="F615" t="s">
        <v>12</v>
      </c>
      <c r="G615" t="s">
        <v>14</v>
      </c>
      <c r="H615" s="1" t="s">
        <v>237</v>
      </c>
      <c r="I615" t="s">
        <v>20</v>
      </c>
      <c r="J615" s="4">
        <v>4.4000000000000004</v>
      </c>
      <c r="K615" s="4">
        <v>50.933</v>
      </c>
      <c r="L615" s="4">
        <v>1</v>
      </c>
      <c r="M615" s="4">
        <v>37.299999999999997</v>
      </c>
      <c r="N615" s="4">
        <v>100.53660000000001</v>
      </c>
      <c r="O615" s="4">
        <v>80.930000000000007</v>
      </c>
      <c r="P615" s="4">
        <v>3.8764546470000001</v>
      </c>
      <c r="Q615" s="4">
        <v>99.813000000000002</v>
      </c>
      <c r="R615" s="10"/>
    </row>
    <row r="616" spans="1:18" x14ac:dyDescent="0.3">
      <c r="A616" t="s">
        <v>1</v>
      </c>
      <c r="B616" s="3" t="s">
        <v>279</v>
      </c>
      <c r="C616" s="2">
        <v>42907</v>
      </c>
      <c r="D616" s="9">
        <v>0.93333333333333335</v>
      </c>
      <c r="E616" s="3">
        <f t="shared" ca="1" si="9"/>
        <v>425722292</v>
      </c>
      <c r="F616" t="s">
        <v>12</v>
      </c>
      <c r="G616" t="s">
        <v>14</v>
      </c>
      <c r="H616" s="1" t="s">
        <v>235</v>
      </c>
      <c r="I616" t="s">
        <v>21</v>
      </c>
      <c r="J616" s="4">
        <v>3.1</v>
      </c>
      <c r="K616" s="4">
        <v>48.972999999999999</v>
      </c>
      <c r="L616" s="4">
        <v>10</v>
      </c>
      <c r="M616" s="4">
        <v>45.65</v>
      </c>
      <c r="N616" s="4">
        <v>171.09010000000001</v>
      </c>
      <c r="O616" s="4">
        <v>674.5</v>
      </c>
      <c r="P616" s="4">
        <v>3.8764546470000001</v>
      </c>
      <c r="Q616" s="4">
        <v>18.3</v>
      </c>
      <c r="R616" s="10"/>
    </row>
    <row r="617" spans="1:18" x14ac:dyDescent="0.3">
      <c r="A617" t="s">
        <v>1</v>
      </c>
      <c r="B617" s="3" t="s">
        <v>279</v>
      </c>
      <c r="C617" s="2">
        <v>43291</v>
      </c>
      <c r="D617" s="9">
        <v>1.4583333333333334E-2</v>
      </c>
      <c r="E617" s="3">
        <f t="shared" ca="1" si="9"/>
        <v>772831717</v>
      </c>
      <c r="F617" t="s">
        <v>11</v>
      </c>
      <c r="G617" t="s">
        <v>14</v>
      </c>
      <c r="H617" s="1" t="s">
        <v>235</v>
      </c>
      <c r="I617" t="s">
        <v>20</v>
      </c>
      <c r="J617" s="4">
        <v>3.9</v>
      </c>
      <c r="K617" s="4">
        <v>26.103000000000002</v>
      </c>
      <c r="L617" s="4">
        <v>9</v>
      </c>
      <c r="M617" s="4">
        <v>85.28</v>
      </c>
      <c r="N617" s="4">
        <v>171.02269999999999</v>
      </c>
      <c r="O617" s="4">
        <v>348.48</v>
      </c>
      <c r="P617" s="4">
        <v>3.8764546470000001</v>
      </c>
      <c r="Q617" s="4">
        <v>25.844999999999999</v>
      </c>
      <c r="R617" s="10"/>
    </row>
    <row r="618" spans="1:18" x14ac:dyDescent="0.3">
      <c r="A618" t="s">
        <v>3</v>
      </c>
      <c r="B618" s="3" t="s">
        <v>281</v>
      </c>
      <c r="C618" s="2">
        <v>43192</v>
      </c>
      <c r="D618" s="9">
        <v>0.10208333333333333</v>
      </c>
      <c r="E618" s="3">
        <f t="shared" ca="1" si="9"/>
        <v>127148611</v>
      </c>
      <c r="F618" t="s">
        <v>12</v>
      </c>
      <c r="G618" t="s">
        <v>14</v>
      </c>
      <c r="H618" s="1" t="s">
        <v>236</v>
      </c>
      <c r="I618" t="s">
        <v>20</v>
      </c>
      <c r="J618" s="4">
        <v>2.8</v>
      </c>
      <c r="K618" s="4">
        <v>56.643000000000001</v>
      </c>
      <c r="L618" s="4">
        <v>6</v>
      </c>
      <c r="M618" s="4">
        <v>16.04</v>
      </c>
      <c r="N618" s="4">
        <v>172.2166</v>
      </c>
      <c r="O618" s="4">
        <v>435.6</v>
      </c>
      <c r="P618" s="4">
        <v>3.8764546470000001</v>
      </c>
      <c r="Q618" s="4">
        <v>91.646000000000001</v>
      </c>
      <c r="R618" s="10"/>
    </row>
    <row r="619" spans="1:18" x14ac:dyDescent="0.3">
      <c r="A619" t="s">
        <v>2</v>
      </c>
      <c r="B619" s="3" t="s">
        <v>280</v>
      </c>
      <c r="C619" s="2">
        <v>43139</v>
      </c>
      <c r="D619" s="9">
        <v>0.52013888888888893</v>
      </c>
      <c r="E619" s="3">
        <f t="shared" ca="1" si="9"/>
        <v>465073851</v>
      </c>
      <c r="F619" t="s">
        <v>12</v>
      </c>
      <c r="G619" t="s">
        <v>14</v>
      </c>
      <c r="H619" s="1" t="s">
        <v>235</v>
      </c>
      <c r="I619" t="s">
        <v>18</v>
      </c>
      <c r="J619" s="4">
        <v>1.7</v>
      </c>
      <c r="K619" s="4">
        <v>48.75</v>
      </c>
      <c r="L619" s="4">
        <v>5</v>
      </c>
      <c r="M619" s="4">
        <v>51.94</v>
      </c>
      <c r="N619" s="4">
        <v>117.3981</v>
      </c>
      <c r="O619" s="4">
        <v>439.55</v>
      </c>
      <c r="P619" s="4">
        <v>3.8764546470000001</v>
      </c>
      <c r="Q619" s="4">
        <v>76.44</v>
      </c>
      <c r="R619" s="10"/>
    </row>
    <row r="620" spans="1:18" ht="28.8" x14ac:dyDescent="0.3">
      <c r="A620" t="s">
        <v>1</v>
      </c>
      <c r="B620" s="3" t="s">
        <v>279</v>
      </c>
      <c r="C620" s="2">
        <v>43175</v>
      </c>
      <c r="D620" s="9">
        <v>0.69027777777777777</v>
      </c>
      <c r="E620" s="3">
        <f t="shared" ca="1" si="9"/>
        <v>236434705</v>
      </c>
      <c r="F620" t="s">
        <v>12</v>
      </c>
      <c r="G620" t="s">
        <v>14</v>
      </c>
      <c r="H620" s="1" t="s">
        <v>237</v>
      </c>
      <c r="I620" t="s">
        <v>21</v>
      </c>
      <c r="J620" s="4">
        <v>4</v>
      </c>
      <c r="K620" s="4">
        <v>88.85</v>
      </c>
      <c r="L620" s="4">
        <v>6</v>
      </c>
      <c r="M620" s="4">
        <v>37.049999999999997</v>
      </c>
      <c r="N620" s="4">
        <v>185.99770000000001</v>
      </c>
      <c r="O620" s="4">
        <v>591.17999999999995</v>
      </c>
      <c r="P620" s="4">
        <v>3.8764546470000001</v>
      </c>
      <c r="Q620" s="4">
        <v>65.814999999999998</v>
      </c>
      <c r="R620" s="10"/>
    </row>
    <row r="621" spans="1:18" x14ac:dyDescent="0.3">
      <c r="A621" t="s">
        <v>2</v>
      </c>
      <c r="B621" s="3" t="s">
        <v>280</v>
      </c>
      <c r="C621" s="2">
        <v>43303</v>
      </c>
      <c r="D621" s="9">
        <v>0.45208333333333334</v>
      </c>
      <c r="E621" s="3">
        <f t="shared" ca="1" si="9"/>
        <v>379014992</v>
      </c>
      <c r="F621" t="s">
        <v>11</v>
      </c>
      <c r="G621" t="s">
        <v>14</v>
      </c>
      <c r="H621" s="1" t="s">
        <v>235</v>
      </c>
      <c r="I621" t="s">
        <v>22</v>
      </c>
      <c r="J621" s="4">
        <v>9</v>
      </c>
      <c r="K621" s="4">
        <v>90.84</v>
      </c>
      <c r="L621" s="4">
        <v>6</v>
      </c>
      <c r="M621" s="4">
        <v>96.68</v>
      </c>
      <c r="N621" s="4">
        <v>120.5324</v>
      </c>
      <c r="O621" s="4">
        <v>260.76</v>
      </c>
      <c r="P621" s="4">
        <v>3.8764546470000001</v>
      </c>
      <c r="Q621" s="4">
        <v>96.941000000000003</v>
      </c>
      <c r="R621" s="10"/>
    </row>
    <row r="622" spans="1:18" ht="28.8" x14ac:dyDescent="0.3">
      <c r="A622" t="s">
        <v>1</v>
      </c>
      <c r="B622" s="3" t="s">
        <v>279</v>
      </c>
      <c r="C622" s="2">
        <v>43055</v>
      </c>
      <c r="D622" s="9">
        <v>0.69513888888888886</v>
      </c>
      <c r="E622" s="3">
        <f t="shared" ca="1" si="9"/>
        <v>292186555</v>
      </c>
      <c r="F622" t="s">
        <v>11</v>
      </c>
      <c r="G622" t="s">
        <v>15</v>
      </c>
      <c r="H622" s="1" t="s">
        <v>237</v>
      </c>
      <c r="I622" t="s">
        <v>21</v>
      </c>
      <c r="J622" s="4">
        <v>4</v>
      </c>
      <c r="K622" s="4">
        <v>42.06</v>
      </c>
      <c r="L622" s="4">
        <v>3</v>
      </c>
      <c r="M622" s="4">
        <v>50.05</v>
      </c>
      <c r="N622" s="4">
        <v>119.82470000000001</v>
      </c>
      <c r="O622" s="4">
        <v>215.04</v>
      </c>
      <c r="P622" s="4">
        <v>3.8764546470000001</v>
      </c>
      <c r="Q622" s="4">
        <v>91.67</v>
      </c>
      <c r="R622" s="10"/>
    </row>
    <row r="623" spans="1:18" x14ac:dyDescent="0.3">
      <c r="A623" t="s">
        <v>1</v>
      </c>
      <c r="B623" s="3" t="s">
        <v>279</v>
      </c>
      <c r="C623" s="2">
        <v>43295</v>
      </c>
      <c r="D623" s="9">
        <v>0</v>
      </c>
      <c r="E623" s="3">
        <f t="shared" ca="1" si="9"/>
        <v>127470265</v>
      </c>
      <c r="F623" t="s">
        <v>11</v>
      </c>
      <c r="G623" t="s">
        <v>14</v>
      </c>
      <c r="H623" s="1" t="s">
        <v>236</v>
      </c>
      <c r="I623" t="s">
        <v>21</v>
      </c>
      <c r="J623" s="4">
        <v>9</v>
      </c>
      <c r="K623" s="4">
        <v>88.18</v>
      </c>
      <c r="L623" s="4">
        <v>1</v>
      </c>
      <c r="M623" s="4">
        <v>71.48</v>
      </c>
      <c r="N623" s="4">
        <v>124.6</v>
      </c>
      <c r="O623" s="4">
        <v>91.61</v>
      </c>
      <c r="P623" s="4">
        <v>3.8764546470000001</v>
      </c>
      <c r="Q623" s="4">
        <v>87.879000000000005</v>
      </c>
      <c r="R623" s="10"/>
    </row>
    <row r="624" spans="1:18" ht="28.8" x14ac:dyDescent="0.3">
      <c r="A624" t="s">
        <v>3</v>
      </c>
      <c r="B624" s="3" t="s">
        <v>281</v>
      </c>
      <c r="C624" s="2">
        <v>42939</v>
      </c>
      <c r="D624" s="9">
        <v>0.89444444444444449</v>
      </c>
      <c r="E624" s="3">
        <f t="shared" ca="1" si="9"/>
        <v>206015578</v>
      </c>
      <c r="F624" t="s">
        <v>11</v>
      </c>
      <c r="G624" t="s">
        <v>14</v>
      </c>
      <c r="H624" s="1" t="s">
        <v>237</v>
      </c>
      <c r="I624" t="s">
        <v>19</v>
      </c>
      <c r="J624" s="4">
        <v>8</v>
      </c>
      <c r="K624" s="4">
        <v>57.24</v>
      </c>
      <c r="L624" s="4">
        <v>7</v>
      </c>
      <c r="M624" s="4">
        <v>50.55</v>
      </c>
      <c r="N624" s="4">
        <v>121.10250000000001</v>
      </c>
      <c r="O624" s="4">
        <v>662.13</v>
      </c>
      <c r="P624" s="4">
        <v>3.8764546470000001</v>
      </c>
      <c r="Q624" s="4">
        <v>79.62</v>
      </c>
      <c r="R624" s="10"/>
    </row>
    <row r="625" spans="1:18" ht="28.8" x14ac:dyDescent="0.3">
      <c r="A625" t="s">
        <v>3</v>
      </c>
      <c r="B625" s="3" t="s">
        <v>281</v>
      </c>
      <c r="C625" s="2">
        <v>43070</v>
      </c>
      <c r="D625" s="9">
        <v>0.59305555555555556</v>
      </c>
      <c r="E625" s="3">
        <f t="shared" ca="1" si="9"/>
        <v>455710121</v>
      </c>
      <c r="F625" t="s">
        <v>11</v>
      </c>
      <c r="G625" t="s">
        <v>15</v>
      </c>
      <c r="H625" s="1" t="s">
        <v>237</v>
      </c>
      <c r="I625" t="s">
        <v>22</v>
      </c>
      <c r="J625" s="4">
        <v>7</v>
      </c>
      <c r="K625" s="4">
        <v>97.29</v>
      </c>
      <c r="L625" s="4">
        <v>10</v>
      </c>
      <c r="M625" s="4">
        <v>27.29</v>
      </c>
      <c r="N625" s="4">
        <v>101.6935</v>
      </c>
      <c r="O625" s="4">
        <v>832.5</v>
      </c>
      <c r="P625" s="4">
        <v>3.8764546470000001</v>
      </c>
      <c r="Q625" s="4">
        <v>22.343</v>
      </c>
      <c r="R625" s="10"/>
    </row>
    <row r="626" spans="1:18" x14ac:dyDescent="0.3">
      <c r="A626" t="s">
        <v>3</v>
      </c>
      <c r="B626" s="3" t="s">
        <v>281</v>
      </c>
      <c r="C626" s="2">
        <v>43387</v>
      </c>
      <c r="D626" s="9">
        <v>0.24305555555555555</v>
      </c>
      <c r="E626" s="3">
        <f t="shared" ca="1" si="9"/>
        <v>319291612</v>
      </c>
      <c r="F626" t="s">
        <v>12</v>
      </c>
      <c r="G626" t="s">
        <v>14</v>
      </c>
      <c r="H626" s="1" t="s">
        <v>236</v>
      </c>
      <c r="I626" t="s">
        <v>22</v>
      </c>
      <c r="J626" s="4">
        <v>7.2</v>
      </c>
      <c r="K626" s="4">
        <v>30.84</v>
      </c>
      <c r="L626" s="4">
        <v>1</v>
      </c>
      <c r="M626" s="4">
        <v>35.26</v>
      </c>
      <c r="N626" s="4">
        <v>131.99340000000001</v>
      </c>
      <c r="O626" s="4">
        <v>91.35</v>
      </c>
      <c r="P626" s="4">
        <v>3.8764546470000001</v>
      </c>
      <c r="Q626" s="4">
        <v>89.628</v>
      </c>
      <c r="R626" s="10"/>
    </row>
    <row r="627" spans="1:18" x14ac:dyDescent="0.3">
      <c r="A627" t="s">
        <v>3</v>
      </c>
      <c r="B627" s="3" t="s">
        <v>281</v>
      </c>
      <c r="C627" s="2">
        <v>42949</v>
      </c>
      <c r="D627" s="9">
        <v>0.44236111111111109</v>
      </c>
      <c r="E627" s="3">
        <f t="shared" ca="1" si="9"/>
        <v>865544620</v>
      </c>
      <c r="F627" t="s">
        <v>11</v>
      </c>
      <c r="G627" t="s">
        <v>14</v>
      </c>
      <c r="H627" s="1" t="s">
        <v>236</v>
      </c>
      <c r="I627" t="s">
        <v>21</v>
      </c>
      <c r="J627" s="4">
        <v>4.5</v>
      </c>
      <c r="K627" s="4">
        <v>46.168999999999997</v>
      </c>
      <c r="L627" s="4">
        <v>2</v>
      </c>
      <c r="M627" s="4">
        <v>92.08</v>
      </c>
      <c r="N627" s="4">
        <v>170.83799999999999</v>
      </c>
      <c r="O627" s="4">
        <v>157.76</v>
      </c>
      <c r="P627" s="4">
        <v>3.8764546470000001</v>
      </c>
      <c r="Q627" s="4">
        <v>40</v>
      </c>
      <c r="R627" s="10"/>
    </row>
    <row r="628" spans="1:18" x14ac:dyDescent="0.3">
      <c r="A628" t="s">
        <v>1</v>
      </c>
      <c r="B628" s="3" t="s">
        <v>279</v>
      </c>
      <c r="C628" s="2">
        <v>43279</v>
      </c>
      <c r="D628" s="9">
        <v>0.91388888888888886</v>
      </c>
      <c r="E628" s="3">
        <f t="shared" ca="1" si="9"/>
        <v>632280931</v>
      </c>
      <c r="F628" t="s">
        <v>12</v>
      </c>
      <c r="G628" t="s">
        <v>15</v>
      </c>
      <c r="H628" s="1" t="s">
        <v>235</v>
      </c>
      <c r="I628" t="s">
        <v>20</v>
      </c>
      <c r="J628" s="4">
        <v>4.2</v>
      </c>
      <c r="K628" s="4">
        <v>23.4</v>
      </c>
      <c r="L628" s="4">
        <v>2</v>
      </c>
      <c r="M628" s="4">
        <v>76.510000000000005</v>
      </c>
      <c r="N628" s="4">
        <v>172.54400000000001</v>
      </c>
      <c r="O628" s="4">
        <v>121.74</v>
      </c>
      <c r="P628" s="4">
        <v>3.8764546470000001</v>
      </c>
      <c r="Q628" s="4">
        <v>89.59</v>
      </c>
      <c r="R628" s="10"/>
    </row>
    <row r="629" spans="1:18" x14ac:dyDescent="0.3">
      <c r="A629" t="s">
        <v>3</v>
      </c>
      <c r="B629" s="3" t="s">
        <v>281</v>
      </c>
      <c r="C629" s="2">
        <v>43318</v>
      </c>
      <c r="D629" s="9">
        <v>0.80208333333333337</v>
      </c>
      <c r="E629" s="3">
        <f t="shared" ca="1" si="9"/>
        <v>590073300</v>
      </c>
      <c r="F629" t="s">
        <v>12</v>
      </c>
      <c r="G629" t="s">
        <v>14</v>
      </c>
      <c r="H629" s="1" t="s">
        <v>236</v>
      </c>
      <c r="I629" t="s">
        <v>17</v>
      </c>
      <c r="J629" s="4">
        <v>9.8000000000000007</v>
      </c>
      <c r="K629" s="4">
        <v>39.26</v>
      </c>
      <c r="L629" s="4">
        <v>10</v>
      </c>
      <c r="M629" s="4">
        <v>32.57</v>
      </c>
      <c r="N629" s="4">
        <v>168.91829999999999</v>
      </c>
      <c r="O629" s="4">
        <v>825.8</v>
      </c>
      <c r="P629" s="4">
        <v>3.8764546470000001</v>
      </c>
      <c r="Q629" s="4">
        <v>77.22</v>
      </c>
      <c r="R629" s="10"/>
    </row>
    <row r="630" spans="1:18" x14ac:dyDescent="0.3">
      <c r="A630" t="s">
        <v>1</v>
      </c>
      <c r="B630" s="3" t="s">
        <v>279</v>
      </c>
      <c r="C630" s="2">
        <v>43232</v>
      </c>
      <c r="D630" s="9">
        <v>0.20416666666666666</v>
      </c>
      <c r="E630" s="3">
        <f t="shared" ca="1" si="9"/>
        <v>284583503</v>
      </c>
      <c r="F630" t="s">
        <v>12</v>
      </c>
      <c r="G630" t="s">
        <v>14</v>
      </c>
      <c r="H630" s="1" t="s">
        <v>235</v>
      </c>
      <c r="I630" t="s">
        <v>19</v>
      </c>
      <c r="J630" s="4">
        <v>9.9</v>
      </c>
      <c r="K630" s="4">
        <v>97.29</v>
      </c>
      <c r="L630" s="4">
        <v>3</v>
      </c>
      <c r="M630" s="4">
        <v>90.61</v>
      </c>
      <c r="N630" s="4">
        <v>154.0095</v>
      </c>
      <c r="O630" s="4">
        <v>159.9</v>
      </c>
      <c r="P630" s="4">
        <v>3.8764546470000001</v>
      </c>
      <c r="Q630" s="4">
        <v>59.8</v>
      </c>
      <c r="R630" s="10"/>
    </row>
    <row r="631" spans="1:18" ht="28.8" x14ac:dyDescent="0.3">
      <c r="A631" t="s">
        <v>1</v>
      </c>
      <c r="B631" s="3" t="s">
        <v>279</v>
      </c>
      <c r="C631" s="2">
        <v>43081</v>
      </c>
      <c r="D631" s="9">
        <v>0.14097222222222222</v>
      </c>
      <c r="E631" s="3">
        <f t="shared" ca="1" si="9"/>
        <v>150232577</v>
      </c>
      <c r="F631" t="s">
        <v>11</v>
      </c>
      <c r="G631" t="s">
        <v>15</v>
      </c>
      <c r="H631" s="1" t="s">
        <v>237</v>
      </c>
      <c r="I631" t="s">
        <v>22</v>
      </c>
      <c r="J631" s="4">
        <v>5.0999999999999996</v>
      </c>
      <c r="K631" s="4">
        <v>98.75</v>
      </c>
      <c r="L631" s="4">
        <v>1</v>
      </c>
      <c r="M631" s="4">
        <v>51.51</v>
      </c>
      <c r="N631" s="4">
        <v>173.93719999999999</v>
      </c>
      <c r="O631" s="4">
        <v>12.09</v>
      </c>
      <c r="P631" s="4">
        <v>3.8764546470000001</v>
      </c>
      <c r="Q631" s="4">
        <v>22.544</v>
      </c>
      <c r="R631" s="10"/>
    </row>
    <row r="632" spans="1:18" ht="28.8" x14ac:dyDescent="0.3">
      <c r="A632" t="s">
        <v>1</v>
      </c>
      <c r="B632" s="3" t="s">
        <v>279</v>
      </c>
      <c r="C632" s="2">
        <v>43015</v>
      </c>
      <c r="D632" s="9">
        <v>0.16041666666666668</v>
      </c>
      <c r="E632" s="3">
        <f t="shared" ca="1" si="9"/>
        <v>740945236</v>
      </c>
      <c r="F632" t="s">
        <v>12</v>
      </c>
      <c r="G632" t="s">
        <v>15</v>
      </c>
      <c r="H632" s="1" t="s">
        <v>237</v>
      </c>
      <c r="I632" t="s">
        <v>20</v>
      </c>
      <c r="J632" s="4">
        <v>9</v>
      </c>
      <c r="K632" s="4">
        <v>90.847999999999999</v>
      </c>
      <c r="L632" s="4">
        <v>10</v>
      </c>
      <c r="M632" s="4">
        <v>75.67</v>
      </c>
      <c r="N632" s="4">
        <v>178.2422</v>
      </c>
      <c r="O632" s="4">
        <v>641.9</v>
      </c>
      <c r="P632" s="4">
        <v>3.8764546470000001</v>
      </c>
      <c r="Q632" s="4">
        <v>52.366</v>
      </c>
      <c r="R632" s="10"/>
    </row>
    <row r="633" spans="1:18" x14ac:dyDescent="0.3">
      <c r="A633" t="s">
        <v>1</v>
      </c>
      <c r="B633" s="3" t="s">
        <v>279</v>
      </c>
      <c r="C633" s="2">
        <v>43281</v>
      </c>
      <c r="D633" s="9">
        <v>9.2361111111111116E-2</v>
      </c>
      <c r="E633" s="3">
        <f t="shared" ca="1" si="9"/>
        <v>141660779</v>
      </c>
      <c r="F633" t="s">
        <v>12</v>
      </c>
      <c r="G633" t="s">
        <v>15</v>
      </c>
      <c r="H633" s="1" t="s">
        <v>235</v>
      </c>
      <c r="I633" t="s">
        <v>18</v>
      </c>
      <c r="J633" s="4">
        <v>1.5</v>
      </c>
      <c r="K633" s="4">
        <v>20.81</v>
      </c>
      <c r="L633" s="4">
        <v>3</v>
      </c>
      <c r="M633" s="4">
        <v>46.67</v>
      </c>
      <c r="N633" s="4">
        <v>142.8143</v>
      </c>
      <c r="O633" s="4">
        <v>234.93</v>
      </c>
      <c r="P633" s="4">
        <v>3.8764546470000001</v>
      </c>
      <c r="Q633" s="4">
        <v>12.18</v>
      </c>
      <c r="R633" s="10"/>
    </row>
    <row r="634" spans="1:18" ht="28.8" x14ac:dyDescent="0.3">
      <c r="A634" t="s">
        <v>1</v>
      </c>
      <c r="B634" s="3" t="s">
        <v>279</v>
      </c>
      <c r="C634" s="2">
        <v>42797</v>
      </c>
      <c r="D634" s="9">
        <v>0.78749999999999998</v>
      </c>
      <c r="E634" s="3">
        <f t="shared" ca="1" si="9"/>
        <v>401177667</v>
      </c>
      <c r="F634" t="s">
        <v>12</v>
      </c>
      <c r="G634" t="s">
        <v>14</v>
      </c>
      <c r="H634" s="1" t="s">
        <v>237</v>
      </c>
      <c r="I634" t="s">
        <v>21</v>
      </c>
      <c r="J634" s="4">
        <v>5</v>
      </c>
      <c r="K634" s="4">
        <v>65.47</v>
      </c>
      <c r="L634" s="4">
        <v>2</v>
      </c>
      <c r="M634" s="4">
        <v>65.400000000000006</v>
      </c>
      <c r="N634" s="4">
        <v>167.32759999999999</v>
      </c>
      <c r="O634" s="4">
        <v>167.54</v>
      </c>
      <c r="P634" s="4">
        <v>3.8764546470000001</v>
      </c>
      <c r="Q634" s="4">
        <v>52.694000000000003</v>
      </c>
      <c r="R634" s="10"/>
    </row>
    <row r="635" spans="1:18" x14ac:dyDescent="0.3">
      <c r="A635" t="s">
        <v>3</v>
      </c>
      <c r="B635" s="3" t="s">
        <v>281</v>
      </c>
      <c r="C635" s="2">
        <v>42938</v>
      </c>
      <c r="D635" s="9">
        <v>0.85555555555555551</v>
      </c>
      <c r="E635" s="3">
        <f t="shared" ca="1" si="9"/>
        <v>644437327</v>
      </c>
      <c r="F635" t="s">
        <v>12</v>
      </c>
      <c r="G635" t="s">
        <v>15</v>
      </c>
      <c r="H635" s="1" t="s">
        <v>235</v>
      </c>
      <c r="I635" t="s">
        <v>19</v>
      </c>
      <c r="J635" s="4">
        <v>3</v>
      </c>
      <c r="K635" s="4">
        <v>64.08</v>
      </c>
      <c r="L635" s="4">
        <v>3</v>
      </c>
      <c r="M635" s="4">
        <v>47.67</v>
      </c>
      <c r="N635" s="4">
        <v>132.66730000000001</v>
      </c>
      <c r="O635" s="4">
        <v>299.10000000000002</v>
      </c>
      <c r="P635" s="4">
        <v>3.8764546470000001</v>
      </c>
      <c r="Q635" s="4">
        <v>63.156999999999996</v>
      </c>
      <c r="R635" s="10"/>
    </row>
    <row r="636" spans="1:18" ht="28.8" x14ac:dyDescent="0.3">
      <c r="A636" t="s">
        <v>3</v>
      </c>
      <c r="B636" s="3" t="s">
        <v>281</v>
      </c>
      <c r="C636" s="2">
        <v>42925</v>
      </c>
      <c r="D636" s="9">
        <v>0.37430555555555556</v>
      </c>
      <c r="E636" s="3">
        <f t="shared" ca="1" si="9"/>
        <v>128240904</v>
      </c>
      <c r="F636" t="s">
        <v>12</v>
      </c>
      <c r="G636" t="s">
        <v>14</v>
      </c>
      <c r="H636" s="1" t="s">
        <v>237</v>
      </c>
      <c r="I636" t="s">
        <v>21</v>
      </c>
      <c r="J636" s="4">
        <v>4</v>
      </c>
      <c r="K636" s="4">
        <v>73.5</v>
      </c>
      <c r="L636" s="4">
        <v>3</v>
      </c>
      <c r="M636" s="4">
        <v>40.72</v>
      </c>
      <c r="N636" s="4">
        <v>172.56180000000001</v>
      </c>
      <c r="O636" s="4">
        <v>239.73</v>
      </c>
      <c r="P636" s="4">
        <v>3.8764546470000001</v>
      </c>
      <c r="Q636" s="4">
        <v>22.463999999999999</v>
      </c>
      <c r="R636" s="10"/>
    </row>
    <row r="637" spans="1:18" ht="28.8" x14ac:dyDescent="0.3">
      <c r="A637" t="s">
        <v>3</v>
      </c>
      <c r="B637" s="3" t="s">
        <v>281</v>
      </c>
      <c r="C637" s="2">
        <v>43135</v>
      </c>
      <c r="D637" s="9">
        <v>4.3749999999999997E-2</v>
      </c>
      <c r="E637" s="3">
        <f t="shared" ca="1" si="9"/>
        <v>338088971</v>
      </c>
      <c r="F637" t="s">
        <v>12</v>
      </c>
      <c r="G637" t="s">
        <v>14</v>
      </c>
      <c r="H637" s="1" t="s">
        <v>237</v>
      </c>
      <c r="I637" t="s">
        <v>17</v>
      </c>
      <c r="J637" s="4">
        <v>6</v>
      </c>
      <c r="K637" s="4">
        <v>87.79</v>
      </c>
      <c r="L637" s="4">
        <v>10</v>
      </c>
      <c r="M637" s="4">
        <v>72.11</v>
      </c>
      <c r="N637" s="4">
        <v>105.5073</v>
      </c>
      <c r="O637" s="4">
        <v>664.7</v>
      </c>
      <c r="P637" s="4">
        <v>3.8764546470000001</v>
      </c>
      <c r="Q637" s="4">
        <v>63.78</v>
      </c>
      <c r="R637" s="10"/>
    </row>
    <row r="638" spans="1:18" ht="28.8" x14ac:dyDescent="0.3">
      <c r="A638" t="s">
        <v>1</v>
      </c>
      <c r="B638" s="3" t="s">
        <v>279</v>
      </c>
      <c r="C638" s="2">
        <v>42838</v>
      </c>
      <c r="D638" s="9">
        <v>0.75347222222222221</v>
      </c>
      <c r="E638" s="3">
        <f t="shared" ca="1" si="9"/>
        <v>53641547</v>
      </c>
      <c r="F638" t="s">
        <v>12</v>
      </c>
      <c r="G638" t="s">
        <v>15</v>
      </c>
      <c r="H638" s="1" t="s">
        <v>237</v>
      </c>
      <c r="I638" t="s">
        <v>17</v>
      </c>
      <c r="J638" s="4">
        <v>8</v>
      </c>
      <c r="K638" s="4">
        <v>84.180999999999997</v>
      </c>
      <c r="L638" s="4">
        <v>7</v>
      </c>
      <c r="M638" s="4">
        <v>35.869999999999997</v>
      </c>
      <c r="N638" s="4">
        <v>124.38979999999999</v>
      </c>
      <c r="O638" s="4">
        <v>202.65</v>
      </c>
      <c r="P638" s="4">
        <v>3.8764546470000001</v>
      </c>
      <c r="Q638" s="4">
        <v>71.099999999999994</v>
      </c>
      <c r="R638" s="10"/>
    </row>
    <row r="639" spans="1:18" x14ac:dyDescent="0.3">
      <c r="A639" t="s">
        <v>2</v>
      </c>
      <c r="B639" s="3" t="s">
        <v>280</v>
      </c>
      <c r="C639" s="2">
        <v>42901</v>
      </c>
      <c r="D639" s="9">
        <v>0.69027777777777777</v>
      </c>
      <c r="E639" s="3">
        <f t="shared" ca="1" si="9"/>
        <v>785962985</v>
      </c>
      <c r="F639" t="s">
        <v>11</v>
      </c>
      <c r="G639" t="s">
        <v>15</v>
      </c>
      <c r="H639" s="1" t="s">
        <v>236</v>
      </c>
      <c r="I639" t="s">
        <v>18</v>
      </c>
      <c r="J639" s="4">
        <v>9</v>
      </c>
      <c r="K639" s="4">
        <v>25.31</v>
      </c>
      <c r="L639" s="4">
        <v>1</v>
      </c>
      <c r="M639" s="4">
        <v>65.680000000000007</v>
      </c>
      <c r="N639" s="4">
        <v>140.53829999999999</v>
      </c>
      <c r="O639" s="4">
        <v>46.2</v>
      </c>
      <c r="P639" s="4">
        <v>3.8764546470000001</v>
      </c>
      <c r="Q639" s="4">
        <v>42.2</v>
      </c>
      <c r="R639" s="10"/>
    </row>
    <row r="640" spans="1:18" x14ac:dyDescent="0.3">
      <c r="A640" t="s">
        <v>3</v>
      </c>
      <c r="B640" s="3" t="s">
        <v>281</v>
      </c>
      <c r="C640" s="2">
        <v>43411</v>
      </c>
      <c r="D640" s="9">
        <v>0.59791666666666665</v>
      </c>
      <c r="E640" s="3">
        <f t="shared" ca="1" si="9"/>
        <v>436439908</v>
      </c>
      <c r="F640" t="s">
        <v>11</v>
      </c>
      <c r="G640" t="s">
        <v>14</v>
      </c>
      <c r="H640" s="1" t="s">
        <v>236</v>
      </c>
      <c r="I640" t="s">
        <v>21</v>
      </c>
      <c r="J640" s="4">
        <v>7</v>
      </c>
      <c r="K640" s="4">
        <v>28.273</v>
      </c>
      <c r="L640" s="4">
        <v>5</v>
      </c>
      <c r="M640" s="4">
        <v>44.16</v>
      </c>
      <c r="N640" s="4">
        <v>154.9941</v>
      </c>
      <c r="O640" s="4">
        <v>88.15</v>
      </c>
      <c r="P640" s="4">
        <v>3.8764546470000001</v>
      </c>
      <c r="Q640" s="4">
        <v>71.869</v>
      </c>
      <c r="R640" s="10"/>
    </row>
    <row r="641" spans="1:18" x14ac:dyDescent="0.3">
      <c r="A641" t="s">
        <v>3</v>
      </c>
      <c r="B641" s="3" t="s">
        <v>281</v>
      </c>
      <c r="C641" s="2">
        <v>42955</v>
      </c>
      <c r="D641" s="9">
        <v>5.347222222222222E-2</v>
      </c>
      <c r="E641" s="3">
        <f t="shared" ca="1" si="9"/>
        <v>688047392</v>
      </c>
      <c r="F641" t="s">
        <v>12</v>
      </c>
      <c r="G641" t="s">
        <v>15</v>
      </c>
      <c r="H641" s="1" t="s">
        <v>235</v>
      </c>
      <c r="I641" t="s">
        <v>22</v>
      </c>
      <c r="J641" s="4">
        <v>9.8000000000000007</v>
      </c>
      <c r="K641" s="4">
        <v>67.966999999999999</v>
      </c>
      <c r="L641" s="4">
        <v>3</v>
      </c>
      <c r="M641" s="4">
        <v>57.12</v>
      </c>
      <c r="N641" s="4">
        <v>188.70650000000001</v>
      </c>
      <c r="O641" s="4">
        <v>157.26</v>
      </c>
      <c r="P641" s="4">
        <v>3.8764546470000001</v>
      </c>
      <c r="Q641" s="4">
        <v>37.17</v>
      </c>
      <c r="R641" s="10"/>
    </row>
    <row r="642" spans="1:18" x14ac:dyDescent="0.3">
      <c r="A642" t="s">
        <v>3</v>
      </c>
      <c r="B642" s="3" t="s">
        <v>281</v>
      </c>
      <c r="C642" s="2">
        <v>43381</v>
      </c>
      <c r="D642" s="9">
        <v>0.42291666666666666</v>
      </c>
      <c r="E642" s="3">
        <f t="shared" ca="1" si="9"/>
        <v>615163579</v>
      </c>
      <c r="F642" t="s">
        <v>11</v>
      </c>
      <c r="G642" t="s">
        <v>14</v>
      </c>
      <c r="H642" s="1" t="s">
        <v>235</v>
      </c>
      <c r="I642" t="s">
        <v>21</v>
      </c>
      <c r="J642" s="4">
        <v>1.8</v>
      </c>
      <c r="K642" s="4">
        <v>23.905000000000001</v>
      </c>
      <c r="L642" s="4">
        <v>3</v>
      </c>
      <c r="M642" s="4">
        <v>23.42</v>
      </c>
      <c r="N642" s="4">
        <v>148.2929</v>
      </c>
      <c r="O642" s="4">
        <v>296.37</v>
      </c>
      <c r="P642" s="4">
        <v>3.8764546470000001</v>
      </c>
      <c r="Q642" s="4">
        <v>36.994</v>
      </c>
      <c r="R642" s="10"/>
    </row>
    <row r="643" spans="1:18" x14ac:dyDescent="0.3">
      <c r="A643" t="s">
        <v>2</v>
      </c>
      <c r="B643" s="3" t="s">
        <v>280</v>
      </c>
      <c r="C643" s="2">
        <v>43341</v>
      </c>
      <c r="D643" s="9">
        <v>0.61736111111111114</v>
      </c>
      <c r="E643" s="3">
        <f t="shared" ref="E643:E706" ca="1" si="10">RANDBETWEEN(10000000,1000000000)</f>
        <v>818388560</v>
      </c>
      <c r="F643" t="s">
        <v>11</v>
      </c>
      <c r="G643" t="s">
        <v>14</v>
      </c>
      <c r="H643" s="1" t="s">
        <v>235</v>
      </c>
      <c r="I643" t="s">
        <v>18</v>
      </c>
      <c r="J643" s="4">
        <v>9.8000000000000007</v>
      </c>
      <c r="K643" s="4">
        <v>66.897999999999996</v>
      </c>
      <c r="L643" s="4">
        <v>8</v>
      </c>
      <c r="M643" s="4">
        <v>38.97</v>
      </c>
      <c r="N643" s="4">
        <v>112.9753</v>
      </c>
      <c r="O643" s="4">
        <v>708.4</v>
      </c>
      <c r="P643" s="4">
        <v>3.8764546470000001</v>
      </c>
      <c r="Q643" s="4">
        <v>26.04</v>
      </c>
      <c r="R643" s="10"/>
    </row>
    <row r="644" spans="1:18" x14ac:dyDescent="0.3">
      <c r="A644" t="s">
        <v>3</v>
      </c>
      <c r="B644" s="3" t="s">
        <v>281</v>
      </c>
      <c r="C644" s="2">
        <v>43001</v>
      </c>
      <c r="D644" s="9">
        <v>0.14097222222222222</v>
      </c>
      <c r="E644" s="3">
        <f t="shared" ca="1" si="10"/>
        <v>888865943</v>
      </c>
      <c r="F644" t="s">
        <v>12</v>
      </c>
      <c r="G644" t="s">
        <v>14</v>
      </c>
      <c r="H644" s="1" t="s">
        <v>235</v>
      </c>
      <c r="I644" t="s">
        <v>18</v>
      </c>
      <c r="J644" s="4">
        <v>9.4</v>
      </c>
      <c r="K644" s="4">
        <v>94.93</v>
      </c>
      <c r="L644" s="4">
        <v>2</v>
      </c>
      <c r="M644" s="4">
        <v>64.22</v>
      </c>
      <c r="N644" s="4">
        <v>157.25450000000001</v>
      </c>
      <c r="O644" s="4">
        <v>111.34</v>
      </c>
      <c r="P644" s="4">
        <v>3.8764546470000001</v>
      </c>
      <c r="Q644" s="4">
        <v>92.361000000000004</v>
      </c>
      <c r="R644" s="10"/>
    </row>
    <row r="645" spans="1:18" ht="28.8" x14ac:dyDescent="0.3">
      <c r="A645" t="s">
        <v>2</v>
      </c>
      <c r="B645" s="3" t="s">
        <v>280</v>
      </c>
      <c r="C645" s="2">
        <v>43376</v>
      </c>
      <c r="D645" s="9">
        <v>0.16041666666666668</v>
      </c>
      <c r="E645" s="3">
        <f t="shared" ca="1" si="10"/>
        <v>237177391</v>
      </c>
      <c r="F645" t="s">
        <v>11</v>
      </c>
      <c r="G645" t="s">
        <v>14</v>
      </c>
      <c r="H645" s="1" t="s">
        <v>237</v>
      </c>
      <c r="I645" t="s">
        <v>21</v>
      </c>
      <c r="J645" s="4">
        <v>7.1</v>
      </c>
      <c r="K645" s="4">
        <v>19.66</v>
      </c>
      <c r="L645" s="4">
        <v>8</v>
      </c>
      <c r="M645" s="4">
        <v>25.85</v>
      </c>
      <c r="N645" s="4">
        <v>100.1407</v>
      </c>
      <c r="O645" s="4">
        <v>580.16</v>
      </c>
      <c r="P645" s="4">
        <v>3.8764546470000001</v>
      </c>
      <c r="Q645" s="4">
        <v>95.819000000000003</v>
      </c>
      <c r="R645" s="10"/>
    </row>
    <row r="646" spans="1:18" x14ac:dyDescent="0.3">
      <c r="A646" t="s">
        <v>2</v>
      </c>
      <c r="B646" s="3" t="s">
        <v>280</v>
      </c>
      <c r="C646" s="2">
        <v>43277</v>
      </c>
      <c r="D646" s="9">
        <v>4.8611111111111112E-2</v>
      </c>
      <c r="E646" s="3">
        <f t="shared" ca="1" si="10"/>
        <v>773055121</v>
      </c>
      <c r="F646" t="s">
        <v>12</v>
      </c>
      <c r="G646" t="s">
        <v>14</v>
      </c>
      <c r="H646" s="1" t="s">
        <v>235</v>
      </c>
      <c r="I646" t="s">
        <v>18</v>
      </c>
      <c r="J646" s="4">
        <v>3.4</v>
      </c>
      <c r="K646" s="4">
        <v>84.37</v>
      </c>
      <c r="L646" s="4">
        <v>5</v>
      </c>
      <c r="M646" s="4">
        <v>67.16</v>
      </c>
      <c r="N646" s="4">
        <v>155.37780000000001</v>
      </c>
      <c r="O646" s="4">
        <v>60.25</v>
      </c>
      <c r="P646" s="4">
        <v>3.8764546470000001</v>
      </c>
      <c r="Q646" s="4">
        <v>54.09</v>
      </c>
      <c r="R646" s="10"/>
    </row>
    <row r="647" spans="1:18" x14ac:dyDescent="0.3">
      <c r="A647" t="s">
        <v>1</v>
      </c>
      <c r="B647" s="3" t="s">
        <v>279</v>
      </c>
      <c r="C647" s="2">
        <v>43451</v>
      </c>
      <c r="D647" s="9">
        <v>0.21875</v>
      </c>
      <c r="E647" s="3">
        <f t="shared" ca="1" si="10"/>
        <v>424298645</v>
      </c>
      <c r="F647" t="s">
        <v>12</v>
      </c>
      <c r="G647" t="s">
        <v>14</v>
      </c>
      <c r="H647" s="1" t="s">
        <v>235</v>
      </c>
      <c r="I647" t="s">
        <v>19</v>
      </c>
      <c r="J647" s="4">
        <v>7.1</v>
      </c>
      <c r="K647" s="4">
        <v>24.417000000000002</v>
      </c>
      <c r="L647" s="4">
        <v>9</v>
      </c>
      <c r="M647" s="4">
        <v>78.680000000000007</v>
      </c>
      <c r="N647" s="4">
        <v>127.8419</v>
      </c>
      <c r="O647" s="4">
        <v>174.24</v>
      </c>
      <c r="P647" s="4">
        <v>3.8764546470000001</v>
      </c>
      <c r="Q647" s="4">
        <v>91.793999999999997</v>
      </c>
      <c r="R647" s="10"/>
    </row>
    <row r="648" spans="1:18" x14ac:dyDescent="0.3">
      <c r="A648" t="s">
        <v>2</v>
      </c>
      <c r="B648" s="3" t="s">
        <v>280</v>
      </c>
      <c r="C648" s="2">
        <v>42929</v>
      </c>
      <c r="D648" s="9">
        <v>0.27708333333333335</v>
      </c>
      <c r="E648" s="3">
        <f t="shared" ca="1" si="10"/>
        <v>551943609</v>
      </c>
      <c r="F648" t="s">
        <v>12</v>
      </c>
      <c r="G648" t="s">
        <v>15</v>
      </c>
      <c r="H648" s="1" t="s">
        <v>236</v>
      </c>
      <c r="I648" t="s">
        <v>17</v>
      </c>
      <c r="J648" s="4">
        <v>1.7</v>
      </c>
      <c r="K648" s="4">
        <v>22.69</v>
      </c>
      <c r="L648" s="4">
        <v>6</v>
      </c>
      <c r="M648" s="4">
        <v>32.57</v>
      </c>
      <c r="N648" s="4">
        <v>159.536</v>
      </c>
      <c r="O648" s="4">
        <v>421.26</v>
      </c>
      <c r="P648" s="4">
        <v>3.8764546470000001</v>
      </c>
      <c r="Q648" s="4">
        <v>49.892000000000003</v>
      </c>
      <c r="R648" s="10"/>
    </row>
    <row r="649" spans="1:18" x14ac:dyDescent="0.3">
      <c r="A649" t="s">
        <v>3</v>
      </c>
      <c r="B649" s="3" t="s">
        <v>281</v>
      </c>
      <c r="C649" s="2">
        <v>43262</v>
      </c>
      <c r="D649" s="9">
        <v>8.2638888888888887E-2</v>
      </c>
      <c r="E649" s="3">
        <f t="shared" ca="1" si="10"/>
        <v>190569008</v>
      </c>
      <c r="F649" t="s">
        <v>12</v>
      </c>
      <c r="G649" t="s">
        <v>14</v>
      </c>
      <c r="H649" s="1" t="s">
        <v>236</v>
      </c>
      <c r="I649" t="s">
        <v>22</v>
      </c>
      <c r="J649" s="4">
        <v>4.2</v>
      </c>
      <c r="K649" s="4">
        <v>65.16</v>
      </c>
      <c r="L649" s="4">
        <v>1</v>
      </c>
      <c r="M649" s="4">
        <v>16.32</v>
      </c>
      <c r="N649" s="4">
        <v>152.4905</v>
      </c>
      <c r="O649" s="4">
        <v>33.630000000000003</v>
      </c>
      <c r="P649" s="4">
        <v>3.8764546470000001</v>
      </c>
      <c r="Q649" s="4">
        <v>35.034999999999997</v>
      </c>
      <c r="R649" s="10"/>
    </row>
    <row r="650" spans="1:18" x14ac:dyDescent="0.3">
      <c r="A650" t="s">
        <v>2</v>
      </c>
      <c r="B650" s="3" t="s">
        <v>280</v>
      </c>
      <c r="C650" s="2">
        <v>42934</v>
      </c>
      <c r="D650" s="9">
        <v>0.20902777777777778</v>
      </c>
      <c r="E650" s="3">
        <f t="shared" ca="1" si="10"/>
        <v>570413939</v>
      </c>
      <c r="F650" t="s">
        <v>11</v>
      </c>
      <c r="G650" t="s">
        <v>14</v>
      </c>
      <c r="H650" s="1" t="s">
        <v>236</v>
      </c>
      <c r="I650" t="s">
        <v>20</v>
      </c>
      <c r="J650" s="4">
        <v>3</v>
      </c>
      <c r="K650" s="4">
        <v>91.9</v>
      </c>
      <c r="L650" s="4">
        <v>2</v>
      </c>
      <c r="M650" s="4">
        <v>37.619999999999997</v>
      </c>
      <c r="N650" s="4">
        <v>178.18</v>
      </c>
      <c r="O650" s="4">
        <v>30.98</v>
      </c>
      <c r="P650" s="4">
        <v>3.8764546470000001</v>
      </c>
      <c r="Q650" s="4">
        <v>24.751000000000001</v>
      </c>
      <c r="R650" s="10"/>
    </row>
    <row r="651" spans="1:18" x14ac:dyDescent="0.3">
      <c r="A651" t="s">
        <v>2</v>
      </c>
      <c r="B651" s="3" t="s">
        <v>280</v>
      </c>
      <c r="C651" s="2">
        <v>43453</v>
      </c>
      <c r="D651" s="9">
        <v>0.35486111111111113</v>
      </c>
      <c r="E651" s="3">
        <f t="shared" ca="1" si="10"/>
        <v>828530882</v>
      </c>
      <c r="F651" t="s">
        <v>12</v>
      </c>
      <c r="G651" t="s">
        <v>15</v>
      </c>
      <c r="H651" s="1" t="s">
        <v>236</v>
      </c>
      <c r="I651" t="s">
        <v>18</v>
      </c>
      <c r="J651" s="4">
        <v>8</v>
      </c>
      <c r="K651" s="4">
        <v>24.28</v>
      </c>
      <c r="L651" s="4">
        <v>10</v>
      </c>
      <c r="M651" s="4">
        <v>92.36</v>
      </c>
      <c r="N651" s="4">
        <v>122.8023</v>
      </c>
      <c r="O651" s="4">
        <v>247.4</v>
      </c>
      <c r="P651" s="4">
        <v>3.8764546470000001</v>
      </c>
      <c r="Q651" s="4">
        <v>21.7</v>
      </c>
      <c r="R651" s="10"/>
    </row>
    <row r="652" spans="1:18" x14ac:dyDescent="0.3">
      <c r="A652" t="s">
        <v>3</v>
      </c>
      <c r="B652" s="3" t="s">
        <v>281</v>
      </c>
      <c r="C652" s="2">
        <v>43117</v>
      </c>
      <c r="D652" s="9">
        <v>0.96250000000000002</v>
      </c>
      <c r="E652" s="3">
        <f t="shared" ca="1" si="10"/>
        <v>592618886</v>
      </c>
      <c r="F652" t="s">
        <v>12</v>
      </c>
      <c r="G652" t="s">
        <v>15</v>
      </c>
      <c r="H652" s="1" t="s">
        <v>235</v>
      </c>
      <c r="I652" t="s">
        <v>18</v>
      </c>
      <c r="J652" s="4">
        <v>3</v>
      </c>
      <c r="K652" s="4">
        <v>56.93</v>
      </c>
      <c r="L652" s="4">
        <v>5</v>
      </c>
      <c r="M652" s="4">
        <v>17.399999999999999</v>
      </c>
      <c r="N652" s="4">
        <v>162.59710000000001</v>
      </c>
      <c r="O652" s="4">
        <v>378.3</v>
      </c>
      <c r="P652" s="4">
        <v>3.8764546470000001</v>
      </c>
      <c r="Q652" s="4">
        <v>30.12</v>
      </c>
      <c r="R652" s="10"/>
    </row>
    <row r="653" spans="1:18" x14ac:dyDescent="0.3">
      <c r="A653" t="s">
        <v>3</v>
      </c>
      <c r="B653" s="3" t="s">
        <v>281</v>
      </c>
      <c r="C653" s="2">
        <v>43452</v>
      </c>
      <c r="D653" s="9">
        <v>0.39861111111111114</v>
      </c>
      <c r="E653" s="3">
        <f t="shared" ca="1" si="10"/>
        <v>140893804</v>
      </c>
      <c r="F653" t="s">
        <v>11</v>
      </c>
      <c r="G653" t="s">
        <v>15</v>
      </c>
      <c r="H653" s="1" t="s">
        <v>236</v>
      </c>
      <c r="I653" t="s">
        <v>17</v>
      </c>
      <c r="J653" s="4">
        <v>5</v>
      </c>
      <c r="K653" s="4">
        <v>36.659999999999997</v>
      </c>
      <c r="L653" s="4">
        <v>6</v>
      </c>
      <c r="M653" s="4">
        <v>10.11</v>
      </c>
      <c r="N653" s="4">
        <v>186.9615</v>
      </c>
      <c r="O653" s="4">
        <v>334.86</v>
      </c>
      <c r="P653" s="4">
        <v>3.8764546470000001</v>
      </c>
      <c r="Q653" s="4">
        <v>95.218999999999994</v>
      </c>
      <c r="R653" s="10"/>
    </row>
    <row r="654" spans="1:18" x14ac:dyDescent="0.3">
      <c r="A654" t="s">
        <v>1</v>
      </c>
      <c r="B654" s="3" t="s">
        <v>279</v>
      </c>
      <c r="C654" s="2">
        <v>43029</v>
      </c>
      <c r="D654" s="9">
        <v>0.87986111111111109</v>
      </c>
      <c r="E654" s="3">
        <f t="shared" ca="1" si="10"/>
        <v>560620604</v>
      </c>
      <c r="F654" t="s">
        <v>12</v>
      </c>
      <c r="G654" t="s">
        <v>14</v>
      </c>
      <c r="H654" s="1" t="s">
        <v>236</v>
      </c>
      <c r="I654" t="s">
        <v>19</v>
      </c>
      <c r="J654" s="4">
        <v>9</v>
      </c>
      <c r="K654" s="4">
        <v>52.357999999999997</v>
      </c>
      <c r="L654" s="4">
        <v>10</v>
      </c>
      <c r="M654" s="4">
        <v>46.55</v>
      </c>
      <c r="N654" s="4">
        <v>184.54849999999999</v>
      </c>
      <c r="O654" s="4">
        <v>727.8</v>
      </c>
      <c r="P654" s="4">
        <v>3.8764546470000001</v>
      </c>
      <c r="Q654" s="4">
        <v>45.918999999999997</v>
      </c>
      <c r="R654" s="10"/>
    </row>
    <row r="655" spans="1:18" x14ac:dyDescent="0.3">
      <c r="A655" t="s">
        <v>3</v>
      </c>
      <c r="B655" s="3" t="s">
        <v>281</v>
      </c>
      <c r="C655" s="2">
        <v>43136</v>
      </c>
      <c r="D655" s="9">
        <v>0.19930555555555557</v>
      </c>
      <c r="E655" s="3">
        <f t="shared" ca="1" si="10"/>
        <v>161292734</v>
      </c>
      <c r="F655" t="s">
        <v>12</v>
      </c>
      <c r="G655" t="s">
        <v>14</v>
      </c>
      <c r="H655" s="1" t="s">
        <v>235</v>
      </c>
      <c r="I655" t="s">
        <v>20</v>
      </c>
      <c r="J655" s="4">
        <v>6.6</v>
      </c>
      <c r="K655" s="4">
        <v>21.986000000000001</v>
      </c>
      <c r="L655" s="4">
        <v>9</v>
      </c>
      <c r="M655" s="4">
        <v>87.52</v>
      </c>
      <c r="N655" s="4">
        <v>133.24160000000001</v>
      </c>
      <c r="O655" s="4">
        <v>335.88</v>
      </c>
      <c r="P655" s="4">
        <v>3.8764546470000001</v>
      </c>
      <c r="Q655" s="4">
        <v>66.641000000000005</v>
      </c>
      <c r="R655" s="10"/>
    </row>
    <row r="656" spans="1:18" ht="28.8" x14ac:dyDescent="0.3">
      <c r="A656" t="s">
        <v>3</v>
      </c>
      <c r="B656" s="3" t="s">
        <v>281</v>
      </c>
      <c r="C656" s="2">
        <v>42832</v>
      </c>
      <c r="D656" s="9">
        <v>0.12152777777777778</v>
      </c>
      <c r="E656" s="3">
        <f t="shared" ca="1" si="10"/>
        <v>50203847</v>
      </c>
      <c r="F656" t="s">
        <v>12</v>
      </c>
      <c r="G656" t="s">
        <v>14</v>
      </c>
      <c r="H656" s="1" t="s">
        <v>237</v>
      </c>
      <c r="I656" t="s">
        <v>22</v>
      </c>
      <c r="J656" s="4">
        <v>2.5</v>
      </c>
      <c r="K656" s="4">
        <v>53.04</v>
      </c>
      <c r="L656" s="4">
        <v>4</v>
      </c>
      <c r="M656" s="4">
        <v>78.349999999999994</v>
      </c>
      <c r="N656" s="4">
        <v>134.20699999999999</v>
      </c>
      <c r="O656" s="4">
        <v>240.72</v>
      </c>
      <c r="P656" s="4">
        <v>3.8764546470000001</v>
      </c>
      <c r="Q656" s="4">
        <v>98.85</v>
      </c>
      <c r="R656" s="10"/>
    </row>
    <row r="657" spans="1:18" ht="28.8" x14ac:dyDescent="0.3">
      <c r="A657" t="s">
        <v>1</v>
      </c>
      <c r="B657" s="3" t="s">
        <v>279</v>
      </c>
      <c r="C657" s="2">
        <v>42960</v>
      </c>
      <c r="D657" s="9">
        <v>0.93333333333333335</v>
      </c>
      <c r="E657" s="3">
        <f t="shared" ca="1" si="10"/>
        <v>192945281</v>
      </c>
      <c r="F657" t="s">
        <v>11</v>
      </c>
      <c r="G657" t="s">
        <v>15</v>
      </c>
      <c r="H657" s="1" t="s">
        <v>237</v>
      </c>
      <c r="I657" t="s">
        <v>18</v>
      </c>
      <c r="J657" s="4">
        <v>3.9</v>
      </c>
      <c r="K657" s="4">
        <v>65.819999999999993</v>
      </c>
      <c r="L657" s="4">
        <v>3</v>
      </c>
      <c r="M657" s="4">
        <v>48.99</v>
      </c>
      <c r="N657" s="4">
        <v>110.7878</v>
      </c>
      <c r="O657" s="4">
        <v>47.07</v>
      </c>
      <c r="P657" s="4">
        <v>3.8764546470000001</v>
      </c>
      <c r="Q657" s="4">
        <v>70.98</v>
      </c>
      <c r="R657" s="10"/>
    </row>
    <row r="658" spans="1:18" ht="28.8" x14ac:dyDescent="0.3">
      <c r="A658" t="s">
        <v>2</v>
      </c>
      <c r="B658" s="3" t="s">
        <v>280</v>
      </c>
      <c r="C658" s="2">
        <v>43324</v>
      </c>
      <c r="D658" s="9">
        <v>0.71944444444444444</v>
      </c>
      <c r="E658" s="3">
        <f t="shared" ca="1" si="10"/>
        <v>937229527</v>
      </c>
      <c r="F658" t="s">
        <v>11</v>
      </c>
      <c r="G658" t="s">
        <v>15</v>
      </c>
      <c r="H658" s="1" t="s">
        <v>237</v>
      </c>
      <c r="I658" t="s">
        <v>18</v>
      </c>
      <c r="J658" s="4">
        <v>4.7</v>
      </c>
      <c r="K658" s="4">
        <v>46.19</v>
      </c>
      <c r="L658" s="4">
        <v>1</v>
      </c>
      <c r="M658" s="4">
        <v>82.11</v>
      </c>
      <c r="N658" s="4">
        <v>175.7885</v>
      </c>
      <c r="O658" s="4">
        <v>99.69</v>
      </c>
      <c r="P658" s="4">
        <v>3.8764546470000001</v>
      </c>
      <c r="Q658" s="4">
        <v>17.059999999999999</v>
      </c>
      <c r="R658" s="10"/>
    </row>
    <row r="659" spans="1:18" x14ac:dyDescent="0.3">
      <c r="A659" t="s">
        <v>1</v>
      </c>
      <c r="B659" s="3" t="s">
        <v>279</v>
      </c>
      <c r="C659" s="2">
        <v>43385</v>
      </c>
      <c r="D659" s="9">
        <v>0.10208333333333333</v>
      </c>
      <c r="E659" s="3">
        <f t="shared" ca="1" si="10"/>
        <v>392509505</v>
      </c>
      <c r="F659" t="s">
        <v>11</v>
      </c>
      <c r="G659" t="s">
        <v>14</v>
      </c>
      <c r="H659" s="1" t="s">
        <v>235</v>
      </c>
      <c r="I659" t="s">
        <v>22</v>
      </c>
      <c r="J659" s="4">
        <v>3</v>
      </c>
      <c r="K659" s="4">
        <v>26.56</v>
      </c>
      <c r="L659" s="4">
        <v>3</v>
      </c>
      <c r="M659" s="4">
        <v>29.89</v>
      </c>
      <c r="N659" s="4">
        <v>178.6045</v>
      </c>
      <c r="O659" s="4">
        <v>264.45</v>
      </c>
      <c r="P659" s="4">
        <v>3.8764546470000001</v>
      </c>
      <c r="Q659" s="4">
        <v>98.24</v>
      </c>
      <c r="R659" s="10"/>
    </row>
    <row r="660" spans="1:18" x14ac:dyDescent="0.3">
      <c r="A660" t="s">
        <v>1</v>
      </c>
      <c r="B660" s="3" t="s">
        <v>279</v>
      </c>
      <c r="C660" s="2">
        <v>43278</v>
      </c>
      <c r="D660" s="9">
        <v>0.9770833333333333</v>
      </c>
      <c r="E660" s="3">
        <f t="shared" ca="1" si="10"/>
        <v>302566728</v>
      </c>
      <c r="F660" t="s">
        <v>11</v>
      </c>
      <c r="G660" t="s">
        <v>14</v>
      </c>
      <c r="H660" s="1" t="s">
        <v>236</v>
      </c>
      <c r="I660" t="s">
        <v>20</v>
      </c>
      <c r="J660" s="4">
        <v>10</v>
      </c>
      <c r="K660" s="4">
        <v>15.65</v>
      </c>
      <c r="L660" s="4">
        <v>5</v>
      </c>
      <c r="M660" s="4">
        <v>86.98</v>
      </c>
      <c r="N660" s="4">
        <v>108.85250000000001</v>
      </c>
      <c r="O660" s="4">
        <v>139.65</v>
      </c>
      <c r="P660" s="4">
        <v>3.8764546470000001</v>
      </c>
      <c r="Q660" s="4">
        <v>34.56</v>
      </c>
      <c r="R660" s="10"/>
    </row>
    <row r="661" spans="1:18" ht="28.8" x14ac:dyDescent="0.3">
      <c r="A661" t="s">
        <v>1</v>
      </c>
      <c r="B661" s="3" t="s">
        <v>279</v>
      </c>
      <c r="C661" s="2">
        <v>43416</v>
      </c>
      <c r="D661" s="9">
        <v>0.9868055555555556</v>
      </c>
      <c r="E661" s="3">
        <f t="shared" ca="1" si="10"/>
        <v>303545877</v>
      </c>
      <c r="F661" t="s">
        <v>12</v>
      </c>
      <c r="G661" t="s">
        <v>14</v>
      </c>
      <c r="H661" s="1" t="s">
        <v>237</v>
      </c>
      <c r="I661" t="s">
        <v>22</v>
      </c>
      <c r="J661" s="4">
        <v>5.5</v>
      </c>
      <c r="K661" s="4">
        <v>23.094000000000001</v>
      </c>
      <c r="L661" s="4">
        <v>1</v>
      </c>
      <c r="M661" s="4">
        <v>12.66</v>
      </c>
      <c r="N661" s="4">
        <v>112.8044</v>
      </c>
      <c r="O661" s="4">
        <v>55.45</v>
      </c>
      <c r="P661" s="4">
        <v>3.8764546470000001</v>
      </c>
      <c r="Q661" s="4">
        <v>25.52</v>
      </c>
      <c r="R661" s="10"/>
    </row>
    <row r="662" spans="1:18" x14ac:dyDescent="0.3">
      <c r="A662" t="s">
        <v>3</v>
      </c>
      <c r="B662" s="3" t="s">
        <v>281</v>
      </c>
      <c r="C662" s="2">
        <v>43277</v>
      </c>
      <c r="D662" s="9">
        <v>0.12638888888888888</v>
      </c>
      <c r="E662" s="3">
        <f t="shared" ca="1" si="10"/>
        <v>719864031</v>
      </c>
      <c r="F662" t="s">
        <v>11</v>
      </c>
      <c r="G662" t="s">
        <v>15</v>
      </c>
      <c r="H662" s="1" t="s">
        <v>236</v>
      </c>
      <c r="I662" t="s">
        <v>20</v>
      </c>
      <c r="J662" s="4">
        <v>8.4</v>
      </c>
      <c r="K662" s="4">
        <v>69.739999999999995</v>
      </c>
      <c r="L662" s="4">
        <v>3</v>
      </c>
      <c r="M662" s="4">
        <v>51.77</v>
      </c>
      <c r="N662" s="4">
        <v>176.68430000000001</v>
      </c>
      <c r="O662" s="4">
        <v>128.91</v>
      </c>
      <c r="P662" s="4">
        <v>3.8764546470000001</v>
      </c>
      <c r="Q662" s="4">
        <v>23.1</v>
      </c>
      <c r="R662" s="10"/>
    </row>
    <row r="663" spans="1:18" ht="28.8" x14ac:dyDescent="0.3">
      <c r="A663" t="s">
        <v>2</v>
      </c>
      <c r="B663" s="3" t="s">
        <v>280</v>
      </c>
      <c r="C663" s="2">
        <v>43440</v>
      </c>
      <c r="D663" s="9">
        <v>0.10208333333333333</v>
      </c>
      <c r="E663" s="3">
        <f t="shared" ca="1" si="10"/>
        <v>572759056</v>
      </c>
      <c r="F663" t="s">
        <v>12</v>
      </c>
      <c r="G663" t="s">
        <v>14</v>
      </c>
      <c r="H663" s="1" t="s">
        <v>237</v>
      </c>
      <c r="I663" t="s">
        <v>20</v>
      </c>
      <c r="J663" s="4">
        <v>9.8000000000000007</v>
      </c>
      <c r="K663" s="4">
        <v>79.19</v>
      </c>
      <c r="L663" s="4">
        <v>7</v>
      </c>
      <c r="M663" s="4">
        <v>48.57</v>
      </c>
      <c r="N663" s="4">
        <v>105.834</v>
      </c>
      <c r="O663" s="4">
        <v>119.98</v>
      </c>
      <c r="P663" s="4">
        <v>3.8764546470000001</v>
      </c>
      <c r="Q663" s="4">
        <v>13.436</v>
      </c>
      <c r="R663" s="10"/>
    </row>
    <row r="664" spans="1:18" ht="28.8" x14ac:dyDescent="0.3">
      <c r="A664" t="s">
        <v>3</v>
      </c>
      <c r="B664" s="3" t="s">
        <v>281</v>
      </c>
      <c r="C664" s="2">
        <v>43240</v>
      </c>
      <c r="D664" s="9">
        <v>0.16041666666666668</v>
      </c>
      <c r="E664" s="3">
        <f t="shared" ca="1" si="10"/>
        <v>360092377</v>
      </c>
      <c r="F664" t="s">
        <v>11</v>
      </c>
      <c r="G664" t="s">
        <v>14</v>
      </c>
      <c r="H664" s="1" t="s">
        <v>237</v>
      </c>
      <c r="I664" t="s">
        <v>22</v>
      </c>
      <c r="J664" s="4">
        <v>8.6999999999999993</v>
      </c>
      <c r="K664" s="4">
        <v>62.44</v>
      </c>
      <c r="L664" s="4">
        <v>6</v>
      </c>
      <c r="M664" s="4">
        <v>22.5</v>
      </c>
      <c r="N664" s="4">
        <v>104.1781</v>
      </c>
      <c r="O664" s="4">
        <v>352.5</v>
      </c>
      <c r="P664" s="4">
        <v>3.8764546470000001</v>
      </c>
      <c r="Q664" s="4">
        <v>18.401</v>
      </c>
      <c r="R664" s="10"/>
    </row>
    <row r="665" spans="1:18" ht="28.8" x14ac:dyDescent="0.3">
      <c r="A665" t="s">
        <v>2</v>
      </c>
      <c r="B665" s="3" t="s">
        <v>280</v>
      </c>
      <c r="C665" s="2">
        <v>43142</v>
      </c>
      <c r="D665" s="9">
        <v>0.14583333333333334</v>
      </c>
      <c r="E665" s="3">
        <f t="shared" ca="1" si="10"/>
        <v>584108028</v>
      </c>
      <c r="F665" t="s">
        <v>11</v>
      </c>
      <c r="G665" t="s">
        <v>14</v>
      </c>
      <c r="H665" s="1" t="s">
        <v>237</v>
      </c>
      <c r="I665" t="s">
        <v>21</v>
      </c>
      <c r="J665" s="4">
        <v>6.5</v>
      </c>
      <c r="K665" s="4">
        <v>16.91</v>
      </c>
      <c r="L665" s="4">
        <v>10</v>
      </c>
      <c r="M665" s="4">
        <v>10.95</v>
      </c>
      <c r="N665" s="4">
        <v>188.44829999999999</v>
      </c>
      <c r="O665" s="4">
        <v>871</v>
      </c>
      <c r="P665" s="4">
        <v>3.8764546470000001</v>
      </c>
      <c r="Q665" s="4">
        <v>62.277999999999999</v>
      </c>
      <c r="R665" s="10"/>
    </row>
    <row r="666" spans="1:18" x14ac:dyDescent="0.3">
      <c r="A666" t="s">
        <v>2</v>
      </c>
      <c r="B666" s="3" t="s">
        <v>280</v>
      </c>
      <c r="C666" s="2">
        <v>43447</v>
      </c>
      <c r="D666" s="9">
        <v>0.35</v>
      </c>
      <c r="E666" s="3">
        <f t="shared" ca="1" si="10"/>
        <v>661584665</v>
      </c>
      <c r="F666" t="s">
        <v>11</v>
      </c>
      <c r="G666" t="s">
        <v>15</v>
      </c>
      <c r="H666" s="1" t="s">
        <v>236</v>
      </c>
      <c r="I666" t="s">
        <v>20</v>
      </c>
      <c r="J666" s="4">
        <v>3</v>
      </c>
      <c r="K666" s="4">
        <v>47.442</v>
      </c>
      <c r="L666" s="4">
        <v>2</v>
      </c>
      <c r="M666" s="4">
        <v>67.63</v>
      </c>
      <c r="N666" s="4">
        <v>110.0992</v>
      </c>
      <c r="O666" s="4">
        <v>197.6</v>
      </c>
      <c r="P666" s="4">
        <v>3.8764546470000001</v>
      </c>
      <c r="Q666" s="4">
        <v>41.628</v>
      </c>
      <c r="R666" s="10"/>
    </row>
    <row r="667" spans="1:18" x14ac:dyDescent="0.3">
      <c r="A667" t="s">
        <v>1</v>
      </c>
      <c r="B667" s="3" t="s">
        <v>279</v>
      </c>
      <c r="C667" s="2">
        <v>43014</v>
      </c>
      <c r="D667" s="9">
        <v>0.96250000000000002</v>
      </c>
      <c r="E667" s="3">
        <f t="shared" ca="1" si="10"/>
        <v>705182334</v>
      </c>
      <c r="F667" t="s">
        <v>11</v>
      </c>
      <c r="G667" t="s">
        <v>15</v>
      </c>
      <c r="H667" s="1" t="s">
        <v>235</v>
      </c>
      <c r="I667" t="s">
        <v>22</v>
      </c>
      <c r="J667" s="4">
        <v>9.9</v>
      </c>
      <c r="K667" s="4">
        <v>95.394000000000005</v>
      </c>
      <c r="L667" s="4">
        <v>4</v>
      </c>
      <c r="M667" s="4">
        <v>55.94</v>
      </c>
      <c r="N667" s="4">
        <v>157.77449999999999</v>
      </c>
      <c r="O667" s="4">
        <v>194.52</v>
      </c>
      <c r="P667" s="4">
        <v>3.8764546470000001</v>
      </c>
      <c r="Q667" s="4">
        <v>82.311000000000007</v>
      </c>
      <c r="R667" s="10"/>
    </row>
    <row r="668" spans="1:18" x14ac:dyDescent="0.3">
      <c r="A668" t="s">
        <v>3</v>
      </c>
      <c r="B668" s="3" t="s">
        <v>281</v>
      </c>
      <c r="C668" s="2">
        <v>43041</v>
      </c>
      <c r="D668" s="9">
        <v>0.65625</v>
      </c>
      <c r="E668" s="3">
        <f t="shared" ca="1" si="10"/>
        <v>633457447</v>
      </c>
      <c r="F668" t="s">
        <v>12</v>
      </c>
      <c r="G668" t="s">
        <v>14</v>
      </c>
      <c r="H668" s="1" t="s">
        <v>235</v>
      </c>
      <c r="I668" t="s">
        <v>21</v>
      </c>
      <c r="J668" s="4">
        <v>3.8</v>
      </c>
      <c r="K668" s="4">
        <v>74.100999999999999</v>
      </c>
      <c r="L668" s="4">
        <v>3</v>
      </c>
      <c r="M668" s="4">
        <v>91.97</v>
      </c>
      <c r="N668" s="4">
        <v>127.3995</v>
      </c>
      <c r="O668" s="4">
        <v>173.22</v>
      </c>
      <c r="P668" s="4">
        <v>3.8764546470000001</v>
      </c>
      <c r="Q668" s="4">
        <v>58.7</v>
      </c>
      <c r="R668" s="10"/>
    </row>
    <row r="669" spans="1:18" x14ac:dyDescent="0.3">
      <c r="A669" t="s">
        <v>3</v>
      </c>
      <c r="B669" s="3" t="s">
        <v>281</v>
      </c>
      <c r="C669" s="2">
        <v>43134</v>
      </c>
      <c r="D669" s="9">
        <v>0.85069444444444442</v>
      </c>
      <c r="E669" s="3">
        <f t="shared" ca="1" si="10"/>
        <v>979049135</v>
      </c>
      <c r="F669" t="s">
        <v>11</v>
      </c>
      <c r="G669" t="s">
        <v>15</v>
      </c>
      <c r="H669" s="1" t="s">
        <v>235</v>
      </c>
      <c r="I669" t="s">
        <v>17</v>
      </c>
      <c r="J669" s="4">
        <v>2.2999999999999998</v>
      </c>
      <c r="K669" s="4">
        <v>61.113999999999997</v>
      </c>
      <c r="L669" s="4">
        <v>4</v>
      </c>
      <c r="M669" s="4">
        <v>63.58</v>
      </c>
      <c r="N669" s="4">
        <v>174.6267</v>
      </c>
      <c r="O669" s="4">
        <v>71.88</v>
      </c>
      <c r="P669" s="4">
        <v>3.8764546470000001</v>
      </c>
      <c r="Q669" s="4">
        <v>32.15</v>
      </c>
      <c r="R669" s="10"/>
    </row>
    <row r="670" spans="1:18" x14ac:dyDescent="0.3">
      <c r="A670" t="s">
        <v>2</v>
      </c>
      <c r="B670" s="3" t="s">
        <v>280</v>
      </c>
      <c r="C670" s="2">
        <v>42991</v>
      </c>
      <c r="D670" s="9">
        <v>0.92361111111111116</v>
      </c>
      <c r="E670" s="3">
        <f t="shared" ca="1" si="10"/>
        <v>107529357</v>
      </c>
      <c r="F670" t="s">
        <v>11</v>
      </c>
      <c r="G670" t="s">
        <v>14</v>
      </c>
      <c r="H670" s="1" t="s">
        <v>235</v>
      </c>
      <c r="I670" t="s">
        <v>17</v>
      </c>
      <c r="J670" s="4">
        <v>1.2</v>
      </c>
      <c r="K670" s="4">
        <v>59.51</v>
      </c>
      <c r="L670" s="4">
        <v>6</v>
      </c>
      <c r="M670" s="4">
        <v>38.79</v>
      </c>
      <c r="N670" s="4">
        <v>122.72709999999999</v>
      </c>
      <c r="O670" s="4">
        <v>286.26</v>
      </c>
      <c r="P670" s="4">
        <v>3.8764546470000001</v>
      </c>
      <c r="Q670" s="4">
        <v>60.33</v>
      </c>
      <c r="R670" s="10"/>
    </row>
    <row r="671" spans="1:18" ht="28.8" x14ac:dyDescent="0.3">
      <c r="A671" t="s">
        <v>3</v>
      </c>
      <c r="B671" s="3" t="s">
        <v>281</v>
      </c>
      <c r="C671" s="2">
        <v>43280</v>
      </c>
      <c r="D671" s="9">
        <v>0.66111111111111109</v>
      </c>
      <c r="E671" s="3">
        <f t="shared" ca="1" si="10"/>
        <v>634444352</v>
      </c>
      <c r="F671" t="s">
        <v>11</v>
      </c>
      <c r="G671" t="s">
        <v>15</v>
      </c>
      <c r="H671" s="1" t="s">
        <v>237</v>
      </c>
      <c r="I671" t="s">
        <v>20</v>
      </c>
      <c r="J671" s="4">
        <v>5</v>
      </c>
      <c r="K671" s="4">
        <v>72.959999999999994</v>
      </c>
      <c r="L671" s="4">
        <v>2</v>
      </c>
      <c r="M671" s="4">
        <v>62.46</v>
      </c>
      <c r="N671" s="4">
        <v>162.90199999999999</v>
      </c>
      <c r="O671" s="4">
        <v>81.239999999999995</v>
      </c>
      <c r="P671" s="4">
        <v>3.8764546470000001</v>
      </c>
      <c r="Q671" s="4">
        <v>30.34</v>
      </c>
      <c r="R671" s="10"/>
    </row>
    <row r="672" spans="1:18" x14ac:dyDescent="0.3">
      <c r="A672" t="s">
        <v>1</v>
      </c>
      <c r="B672" s="3" t="s">
        <v>279</v>
      </c>
      <c r="C672" s="2">
        <v>43459</v>
      </c>
      <c r="D672" s="9">
        <v>0.95277777777777772</v>
      </c>
      <c r="E672" s="3">
        <f t="shared" ca="1" si="10"/>
        <v>882367213</v>
      </c>
      <c r="F672" t="s">
        <v>12</v>
      </c>
      <c r="G672" t="s">
        <v>14</v>
      </c>
      <c r="H672" s="1" t="s">
        <v>235</v>
      </c>
      <c r="I672" t="s">
        <v>22</v>
      </c>
      <c r="J672" s="4">
        <v>3</v>
      </c>
      <c r="K672" s="4">
        <v>39.159999999999997</v>
      </c>
      <c r="L672" s="4">
        <v>10</v>
      </c>
      <c r="M672" s="4">
        <v>17.46</v>
      </c>
      <c r="N672" s="4">
        <v>164.33680000000001</v>
      </c>
      <c r="O672" s="4">
        <v>560.4</v>
      </c>
      <c r="P672" s="4">
        <v>3.8764546470000001</v>
      </c>
      <c r="Q672" s="4">
        <v>40.659999999999997</v>
      </c>
      <c r="R672" s="10"/>
    </row>
    <row r="673" spans="1:18" x14ac:dyDescent="0.3">
      <c r="A673" t="s">
        <v>3</v>
      </c>
      <c r="B673" s="3" t="s">
        <v>281</v>
      </c>
      <c r="C673" s="2">
        <v>43257</v>
      </c>
      <c r="D673" s="9">
        <v>0.20902777777777778</v>
      </c>
      <c r="E673" s="3">
        <f t="shared" ca="1" si="10"/>
        <v>363126924</v>
      </c>
      <c r="F673" t="s">
        <v>12</v>
      </c>
      <c r="G673" t="s">
        <v>14</v>
      </c>
      <c r="H673" s="1" t="s">
        <v>236</v>
      </c>
      <c r="I673" t="s">
        <v>21</v>
      </c>
      <c r="J673" s="4">
        <v>3</v>
      </c>
      <c r="K673" s="4">
        <v>99.686000000000007</v>
      </c>
      <c r="L673" s="4">
        <v>2</v>
      </c>
      <c r="M673" s="4">
        <v>14.74</v>
      </c>
      <c r="N673" s="4">
        <v>177.4</v>
      </c>
      <c r="O673" s="4">
        <v>186.8</v>
      </c>
      <c r="P673" s="4">
        <v>3.8764546470000001</v>
      </c>
      <c r="Q673" s="4">
        <v>99.33</v>
      </c>
      <c r="R673" s="10"/>
    </row>
    <row r="674" spans="1:18" x14ac:dyDescent="0.3">
      <c r="A674" t="s">
        <v>3</v>
      </c>
      <c r="B674" s="3" t="s">
        <v>281</v>
      </c>
      <c r="C674" s="2">
        <v>43147</v>
      </c>
      <c r="D674" s="9">
        <v>0.84097222222222223</v>
      </c>
      <c r="E674" s="3">
        <f t="shared" ca="1" si="10"/>
        <v>493235953</v>
      </c>
      <c r="F674" t="s">
        <v>11</v>
      </c>
      <c r="G674" t="s">
        <v>15</v>
      </c>
      <c r="H674" s="1" t="s">
        <v>235</v>
      </c>
      <c r="I674" t="s">
        <v>17</v>
      </c>
      <c r="J674" s="4">
        <v>2</v>
      </c>
      <c r="K674" s="4">
        <v>21.91</v>
      </c>
      <c r="L674" s="4">
        <v>3</v>
      </c>
      <c r="M674" s="4">
        <v>51.14</v>
      </c>
      <c r="N674" s="4">
        <v>115.7</v>
      </c>
      <c r="O674" s="4">
        <v>220.23</v>
      </c>
      <c r="P674" s="4">
        <v>3.8764546470000001</v>
      </c>
      <c r="Q674" s="4">
        <v>44.35</v>
      </c>
      <c r="R674" s="10"/>
    </row>
    <row r="675" spans="1:18" ht="28.8" x14ac:dyDescent="0.3">
      <c r="A675" t="s">
        <v>2</v>
      </c>
      <c r="B675" s="3" t="s">
        <v>280</v>
      </c>
      <c r="C675" s="2">
        <v>43421</v>
      </c>
      <c r="D675" s="9">
        <v>0.21388888888888888</v>
      </c>
      <c r="E675" s="3">
        <f t="shared" ca="1" si="10"/>
        <v>970794080</v>
      </c>
      <c r="F675" t="s">
        <v>12</v>
      </c>
      <c r="G675" t="s">
        <v>15</v>
      </c>
      <c r="H675" s="1" t="s">
        <v>237</v>
      </c>
      <c r="I675" t="s">
        <v>17</v>
      </c>
      <c r="J675" s="4">
        <v>6</v>
      </c>
      <c r="K675" s="4">
        <v>35.085000000000001</v>
      </c>
      <c r="L675" s="4">
        <v>8</v>
      </c>
      <c r="M675" s="4">
        <v>28.95</v>
      </c>
      <c r="N675" s="4">
        <v>176</v>
      </c>
      <c r="O675" s="4">
        <v>269.12</v>
      </c>
      <c r="P675" s="4">
        <v>3.8764546470000001</v>
      </c>
      <c r="Q675" s="4">
        <v>13.76</v>
      </c>
      <c r="R675" s="10"/>
    </row>
    <row r="676" spans="1:18" ht="28.8" x14ac:dyDescent="0.3">
      <c r="A676" t="s">
        <v>1</v>
      </c>
      <c r="B676" s="3" t="s">
        <v>279</v>
      </c>
      <c r="C676" s="2">
        <v>43396</v>
      </c>
      <c r="D676" s="9">
        <v>0.87013888888888891</v>
      </c>
      <c r="E676" s="3">
        <f t="shared" ca="1" si="10"/>
        <v>943988427</v>
      </c>
      <c r="F676" t="s">
        <v>11</v>
      </c>
      <c r="G676" t="s">
        <v>15</v>
      </c>
      <c r="H676" s="1" t="s">
        <v>237</v>
      </c>
      <c r="I676" t="s">
        <v>18</v>
      </c>
      <c r="J676" s="4">
        <v>3.5</v>
      </c>
      <c r="K676" s="4">
        <v>35.14</v>
      </c>
      <c r="L676" s="4">
        <v>10</v>
      </c>
      <c r="M676" s="4">
        <v>40.94</v>
      </c>
      <c r="N676" s="4">
        <v>174.9</v>
      </c>
      <c r="O676" s="4">
        <v>454.8</v>
      </c>
      <c r="P676" s="4">
        <v>3.8764546470000001</v>
      </c>
      <c r="Q676" s="4">
        <v>14.2</v>
      </c>
      <c r="R676" s="10"/>
    </row>
    <row r="677" spans="1:18" x14ac:dyDescent="0.3">
      <c r="A677" t="s">
        <v>3</v>
      </c>
      <c r="B677" s="3" t="s">
        <v>281</v>
      </c>
      <c r="C677" s="2">
        <v>42846</v>
      </c>
      <c r="D677" s="9">
        <v>0.60763888888888884</v>
      </c>
      <c r="E677" s="3">
        <f t="shared" ca="1" si="10"/>
        <v>225067769</v>
      </c>
      <c r="F677" t="s">
        <v>12</v>
      </c>
      <c r="G677" t="s">
        <v>14</v>
      </c>
      <c r="H677" s="1" t="s">
        <v>236</v>
      </c>
      <c r="I677" t="s">
        <v>22</v>
      </c>
      <c r="J677" s="4">
        <v>5.5</v>
      </c>
      <c r="K677" s="4">
        <v>23.602</v>
      </c>
      <c r="L677" s="4">
        <v>2</v>
      </c>
      <c r="M677" s="4">
        <v>23.14</v>
      </c>
      <c r="N677" s="4">
        <v>176.0566</v>
      </c>
      <c r="O677" s="4">
        <v>167.54</v>
      </c>
      <c r="P677" s="4">
        <v>3.8764546470000001</v>
      </c>
      <c r="Q677" s="4">
        <v>90.457999999999998</v>
      </c>
      <c r="R677" s="10"/>
    </row>
    <row r="678" spans="1:18" ht="28.8" x14ac:dyDescent="0.3">
      <c r="A678" t="s">
        <v>3</v>
      </c>
      <c r="B678" s="3" t="s">
        <v>281</v>
      </c>
      <c r="C678" s="2">
        <v>42961</v>
      </c>
      <c r="D678" s="9">
        <v>0.95277777777777772</v>
      </c>
      <c r="E678" s="3">
        <f t="shared" ca="1" si="10"/>
        <v>623215201</v>
      </c>
      <c r="F678" t="s">
        <v>11</v>
      </c>
      <c r="G678" t="s">
        <v>14</v>
      </c>
      <c r="H678" s="1" t="s">
        <v>237</v>
      </c>
      <c r="I678" t="s">
        <v>20</v>
      </c>
      <c r="J678" s="4">
        <v>4.8</v>
      </c>
      <c r="K678" s="4">
        <v>68.08</v>
      </c>
      <c r="L678" s="4">
        <v>7</v>
      </c>
      <c r="M678" s="4">
        <v>56.71</v>
      </c>
      <c r="N678" s="4">
        <v>147.3074</v>
      </c>
      <c r="O678" s="4">
        <v>448.56</v>
      </c>
      <c r="P678" s="4">
        <v>3.8764546470000001</v>
      </c>
      <c r="Q678" s="4">
        <v>50.274000000000001</v>
      </c>
      <c r="R678" s="10"/>
    </row>
    <row r="679" spans="1:18" x14ac:dyDescent="0.3">
      <c r="A679" t="s">
        <v>1</v>
      </c>
      <c r="B679" s="3" t="s">
        <v>279</v>
      </c>
      <c r="C679" s="2">
        <v>43438</v>
      </c>
      <c r="D679" s="9">
        <v>6.805555555555555E-2</v>
      </c>
      <c r="E679" s="3">
        <f t="shared" ca="1" si="10"/>
        <v>352869353</v>
      </c>
      <c r="F679" t="s">
        <v>11</v>
      </c>
      <c r="G679" t="s">
        <v>14</v>
      </c>
      <c r="H679" s="1" t="s">
        <v>236</v>
      </c>
      <c r="I679" t="s">
        <v>21</v>
      </c>
      <c r="J679" s="4">
        <v>10</v>
      </c>
      <c r="K679" s="4">
        <v>40.404000000000003</v>
      </c>
      <c r="L679" s="4">
        <v>4</v>
      </c>
      <c r="M679" s="4">
        <v>29.27</v>
      </c>
      <c r="N679" s="4">
        <v>113.1639</v>
      </c>
      <c r="O679" s="4">
        <v>293.88</v>
      </c>
      <c r="P679" s="4">
        <v>3.8764546470000001</v>
      </c>
      <c r="Q679" s="4">
        <v>26.952999999999999</v>
      </c>
      <c r="R679" s="10"/>
    </row>
    <row r="680" spans="1:18" x14ac:dyDescent="0.3">
      <c r="A680" t="s">
        <v>2</v>
      </c>
      <c r="B680" s="3" t="s">
        <v>280</v>
      </c>
      <c r="C680" s="2">
        <v>42822</v>
      </c>
      <c r="D680" s="9">
        <v>0.70486111111111116</v>
      </c>
      <c r="E680" s="3">
        <f t="shared" ca="1" si="10"/>
        <v>978399855</v>
      </c>
      <c r="F680" t="s">
        <v>12</v>
      </c>
      <c r="G680" t="s">
        <v>15</v>
      </c>
      <c r="H680" s="1" t="s">
        <v>235</v>
      </c>
      <c r="I680" t="s">
        <v>17</v>
      </c>
      <c r="J680" s="4">
        <v>5</v>
      </c>
      <c r="K680" s="4">
        <v>37.270000000000003</v>
      </c>
      <c r="L680" s="4">
        <v>10</v>
      </c>
      <c r="M680" s="4">
        <v>46.52</v>
      </c>
      <c r="N680" s="4">
        <v>110.4372</v>
      </c>
      <c r="O680" s="4">
        <v>589.5</v>
      </c>
      <c r="P680" s="4">
        <v>3.8764546470000001</v>
      </c>
      <c r="Q680" s="4">
        <v>30.210999999999999</v>
      </c>
      <c r="R680" s="10"/>
    </row>
    <row r="681" spans="1:18" x14ac:dyDescent="0.3">
      <c r="A681" t="s">
        <v>1</v>
      </c>
      <c r="B681" s="3" t="s">
        <v>279</v>
      </c>
      <c r="C681" s="2">
        <v>42871</v>
      </c>
      <c r="D681" s="9">
        <v>0.41805555555555557</v>
      </c>
      <c r="E681" s="3">
        <f t="shared" ca="1" si="10"/>
        <v>561363067</v>
      </c>
      <c r="F681" t="s">
        <v>12</v>
      </c>
      <c r="G681" t="s">
        <v>14</v>
      </c>
      <c r="H681" s="1" t="s">
        <v>235</v>
      </c>
      <c r="I681" t="s">
        <v>21</v>
      </c>
      <c r="J681" s="4">
        <v>6</v>
      </c>
      <c r="K681" s="4">
        <v>92.14</v>
      </c>
      <c r="L681" s="4">
        <v>6</v>
      </c>
      <c r="M681" s="4">
        <v>83.3</v>
      </c>
      <c r="N681" s="4">
        <v>165.28630000000001</v>
      </c>
      <c r="O681" s="4">
        <v>291</v>
      </c>
      <c r="P681" s="4">
        <v>3.8764546470000001</v>
      </c>
      <c r="Q681" s="4">
        <v>38.953000000000003</v>
      </c>
      <c r="R681" s="10"/>
    </row>
    <row r="682" spans="1:18" x14ac:dyDescent="0.3">
      <c r="A682" t="s">
        <v>3</v>
      </c>
      <c r="B682" s="3" t="s">
        <v>281</v>
      </c>
      <c r="C682" s="2">
        <v>43360</v>
      </c>
      <c r="D682" s="9">
        <v>0.87986111111111109</v>
      </c>
      <c r="E682" s="3">
        <f t="shared" ca="1" si="10"/>
        <v>21843812</v>
      </c>
      <c r="F682" t="s">
        <v>11</v>
      </c>
      <c r="G682" t="s">
        <v>14</v>
      </c>
      <c r="H682" s="1" t="s">
        <v>236</v>
      </c>
      <c r="I682" t="s">
        <v>18</v>
      </c>
      <c r="J682" s="4">
        <v>9</v>
      </c>
      <c r="K682" s="4">
        <v>12.529</v>
      </c>
      <c r="L682" s="4">
        <v>1</v>
      </c>
      <c r="M682" s="4">
        <v>98.72</v>
      </c>
      <c r="N682" s="4">
        <v>151.79480000000001</v>
      </c>
      <c r="O682" s="4">
        <v>39.479999999999997</v>
      </c>
      <c r="P682" s="4">
        <v>3.8764546470000001</v>
      </c>
      <c r="Q682" s="4">
        <v>61.256999999999998</v>
      </c>
      <c r="R682" s="10"/>
    </row>
    <row r="683" spans="1:18" ht="28.8" x14ac:dyDescent="0.3">
      <c r="A683" t="s">
        <v>3</v>
      </c>
      <c r="B683" s="3" t="s">
        <v>281</v>
      </c>
      <c r="C683" s="2">
        <v>43027</v>
      </c>
      <c r="D683" s="9">
        <v>0.97222222222222221</v>
      </c>
      <c r="E683" s="3">
        <f t="shared" ca="1" si="10"/>
        <v>236516814</v>
      </c>
      <c r="F683" t="s">
        <v>11</v>
      </c>
      <c r="G683" t="s">
        <v>15</v>
      </c>
      <c r="H683" s="1" t="s">
        <v>237</v>
      </c>
      <c r="I683" t="s">
        <v>20</v>
      </c>
      <c r="J683" s="4">
        <v>4</v>
      </c>
      <c r="K683" s="4">
        <v>39.014000000000003</v>
      </c>
      <c r="L683" s="4">
        <v>1</v>
      </c>
      <c r="M683" s="4">
        <v>77.58</v>
      </c>
      <c r="N683" s="4">
        <v>158.0265</v>
      </c>
      <c r="O683" s="4">
        <v>34.81</v>
      </c>
      <c r="P683" s="4">
        <v>3.8764546470000001</v>
      </c>
      <c r="Q683" s="4">
        <v>84.102999999999994</v>
      </c>
      <c r="R683" s="10"/>
    </row>
    <row r="684" spans="1:18" x14ac:dyDescent="0.3">
      <c r="A684" t="s">
        <v>2</v>
      </c>
      <c r="B684" s="3" t="s">
        <v>280</v>
      </c>
      <c r="C684" s="2">
        <v>43443</v>
      </c>
      <c r="D684" s="9">
        <v>0.29166666666666669</v>
      </c>
      <c r="E684" s="3">
        <f t="shared" ca="1" si="10"/>
        <v>204930976</v>
      </c>
      <c r="F684" t="s">
        <v>11</v>
      </c>
      <c r="G684" t="s">
        <v>15</v>
      </c>
      <c r="H684" s="1" t="s">
        <v>235</v>
      </c>
      <c r="I684" t="s">
        <v>22</v>
      </c>
      <c r="J684" s="4">
        <v>7.4</v>
      </c>
      <c r="K684" s="4">
        <v>24.286999999999999</v>
      </c>
      <c r="L684" s="4">
        <v>6</v>
      </c>
      <c r="M684" s="4">
        <v>38.42</v>
      </c>
      <c r="N684" s="4">
        <v>113.2664</v>
      </c>
      <c r="O684" s="4">
        <v>295.92</v>
      </c>
      <c r="P684" s="4">
        <v>3.8764546470000001</v>
      </c>
      <c r="Q684" s="4">
        <v>24.006</v>
      </c>
      <c r="R684" s="10"/>
    </row>
    <row r="685" spans="1:18" x14ac:dyDescent="0.3">
      <c r="A685" t="s">
        <v>1</v>
      </c>
      <c r="B685" s="3" t="s">
        <v>279</v>
      </c>
      <c r="C685" s="2">
        <v>42866</v>
      </c>
      <c r="D685" s="9">
        <v>0.45208333333333334</v>
      </c>
      <c r="E685" s="3">
        <f t="shared" ca="1" si="10"/>
        <v>502708751</v>
      </c>
      <c r="F685" t="s">
        <v>12</v>
      </c>
      <c r="G685" t="s">
        <v>14</v>
      </c>
      <c r="H685" s="1" t="s">
        <v>235</v>
      </c>
      <c r="I685" t="s">
        <v>22</v>
      </c>
      <c r="J685" s="4">
        <v>4.9000000000000004</v>
      </c>
      <c r="K685" s="4">
        <v>96.53</v>
      </c>
      <c r="L685" s="4">
        <v>2</v>
      </c>
      <c r="M685" s="4">
        <v>92.34</v>
      </c>
      <c r="N685" s="4">
        <v>103.13930000000001</v>
      </c>
      <c r="O685" s="4">
        <v>42.96</v>
      </c>
      <c r="P685" s="4">
        <v>3.8764546470000001</v>
      </c>
      <c r="Q685" s="4">
        <v>32.716999999999999</v>
      </c>
      <c r="R685" s="10"/>
    </row>
    <row r="686" spans="1:18" x14ac:dyDescent="0.3">
      <c r="A686" t="s">
        <v>3</v>
      </c>
      <c r="B686" s="3" t="s">
        <v>281</v>
      </c>
      <c r="C686" s="2">
        <v>43126</v>
      </c>
      <c r="D686" s="9">
        <v>0.43263888888888891</v>
      </c>
      <c r="E686" s="3">
        <f t="shared" ca="1" si="10"/>
        <v>963798661</v>
      </c>
      <c r="F686" t="s">
        <v>11</v>
      </c>
      <c r="G686" t="s">
        <v>14</v>
      </c>
      <c r="H686" s="1" t="s">
        <v>235</v>
      </c>
      <c r="I686" t="s">
        <v>20</v>
      </c>
      <c r="J686" s="4">
        <v>5</v>
      </c>
      <c r="K686" s="4">
        <v>40.481999999999999</v>
      </c>
      <c r="L686" s="4">
        <v>6</v>
      </c>
      <c r="M686" s="4">
        <v>68.72</v>
      </c>
      <c r="N686" s="4">
        <v>176.17429999999999</v>
      </c>
      <c r="O686" s="4">
        <v>138.47999999999999</v>
      </c>
      <c r="P686" s="4">
        <v>3.8764546470000001</v>
      </c>
      <c r="Q686" s="4">
        <v>50.741999999999997</v>
      </c>
      <c r="R686" s="10"/>
    </row>
    <row r="687" spans="1:18" ht="28.8" x14ac:dyDescent="0.3">
      <c r="A687" t="s">
        <v>3</v>
      </c>
      <c r="B687" s="3" t="s">
        <v>281</v>
      </c>
      <c r="C687" s="2">
        <v>43273</v>
      </c>
      <c r="D687" s="9">
        <v>0.82638888888888884</v>
      </c>
      <c r="E687" s="3">
        <f t="shared" ca="1" si="10"/>
        <v>164263362</v>
      </c>
      <c r="F687" t="s">
        <v>11</v>
      </c>
      <c r="G687" t="s">
        <v>14</v>
      </c>
      <c r="H687" s="1" t="s">
        <v>237</v>
      </c>
      <c r="I687" t="s">
        <v>19</v>
      </c>
      <c r="J687" s="4">
        <v>4</v>
      </c>
      <c r="K687" s="4">
        <v>44.5</v>
      </c>
      <c r="L687" s="4">
        <v>2</v>
      </c>
      <c r="M687" s="4">
        <v>76.66</v>
      </c>
      <c r="N687" s="4">
        <v>184.11850000000001</v>
      </c>
      <c r="O687" s="4">
        <v>98.2</v>
      </c>
      <c r="P687" s="4">
        <v>3.8764546470000001</v>
      </c>
      <c r="Q687" s="4">
        <v>67.834999999999994</v>
      </c>
      <c r="R687" s="10"/>
    </row>
    <row r="688" spans="1:18" ht="28.8" x14ac:dyDescent="0.3">
      <c r="A688" t="s">
        <v>3</v>
      </c>
      <c r="B688" s="3" t="s">
        <v>281</v>
      </c>
      <c r="C688" s="2">
        <v>42874</v>
      </c>
      <c r="D688" s="9">
        <v>0.60277777777777775</v>
      </c>
      <c r="E688" s="3">
        <f t="shared" ca="1" si="10"/>
        <v>95233263</v>
      </c>
      <c r="F688" t="s">
        <v>11</v>
      </c>
      <c r="G688" t="s">
        <v>14</v>
      </c>
      <c r="H688" s="1" t="s">
        <v>237</v>
      </c>
      <c r="I688" t="s">
        <v>20</v>
      </c>
      <c r="J688" s="4">
        <v>1</v>
      </c>
      <c r="K688" s="4">
        <v>35.119999999999997</v>
      </c>
      <c r="L688" s="4">
        <v>2</v>
      </c>
      <c r="M688" s="4">
        <v>29.18</v>
      </c>
      <c r="N688" s="4">
        <v>153.33240000000001</v>
      </c>
      <c r="O688" s="4">
        <v>129.66</v>
      </c>
      <c r="P688" s="4">
        <v>3.8764546470000001</v>
      </c>
      <c r="Q688" s="4">
        <v>23.1</v>
      </c>
      <c r="R688" s="10"/>
    </row>
    <row r="689" spans="1:18" x14ac:dyDescent="0.3">
      <c r="A689" t="s">
        <v>1</v>
      </c>
      <c r="B689" s="3" t="s">
        <v>279</v>
      </c>
      <c r="C689" s="2">
        <v>42893</v>
      </c>
      <c r="D689" s="9">
        <v>0.21388888888888888</v>
      </c>
      <c r="E689" s="3">
        <f t="shared" ca="1" si="10"/>
        <v>97466800</v>
      </c>
      <c r="F689" t="s">
        <v>12</v>
      </c>
      <c r="G689" t="s">
        <v>14</v>
      </c>
      <c r="H689" s="1" t="s">
        <v>236</v>
      </c>
      <c r="I689" t="s">
        <v>19</v>
      </c>
      <c r="J689" s="4">
        <v>4</v>
      </c>
      <c r="K689" s="4">
        <v>65.59</v>
      </c>
      <c r="L689" s="4">
        <v>10</v>
      </c>
      <c r="M689" s="4">
        <v>34.56</v>
      </c>
      <c r="N689" s="4">
        <v>174.38630000000001</v>
      </c>
      <c r="O689" s="4">
        <v>635.6</v>
      </c>
      <c r="P689" s="4">
        <v>3.8764546470000001</v>
      </c>
      <c r="Q689" s="4">
        <v>85.15</v>
      </c>
      <c r="R689" s="10"/>
    </row>
    <row r="690" spans="1:18" x14ac:dyDescent="0.3">
      <c r="A690" t="s">
        <v>2</v>
      </c>
      <c r="B690" s="3" t="s">
        <v>280</v>
      </c>
      <c r="C690" s="2">
        <v>43208</v>
      </c>
      <c r="D690" s="9">
        <v>0.14583333333333334</v>
      </c>
      <c r="E690" s="3">
        <f t="shared" ca="1" si="10"/>
        <v>268218257</v>
      </c>
      <c r="F690" t="s">
        <v>12</v>
      </c>
      <c r="G690" t="s">
        <v>14</v>
      </c>
      <c r="H690" s="1" t="s">
        <v>236</v>
      </c>
      <c r="I690" t="s">
        <v>20</v>
      </c>
      <c r="J690" s="4">
        <v>4</v>
      </c>
      <c r="K690" s="4">
        <v>72.42</v>
      </c>
      <c r="L690" s="4">
        <v>2</v>
      </c>
      <c r="M690" s="4">
        <v>64.25</v>
      </c>
      <c r="N690" s="4">
        <v>114.3686</v>
      </c>
      <c r="O690" s="4">
        <v>145.76</v>
      </c>
      <c r="P690" s="4">
        <v>3.8764546470000001</v>
      </c>
      <c r="Q690" s="4">
        <v>19.420000000000002</v>
      </c>
      <c r="R690" s="10"/>
    </row>
    <row r="691" spans="1:18" x14ac:dyDescent="0.3">
      <c r="A691" t="s">
        <v>1</v>
      </c>
      <c r="B691" s="3" t="s">
        <v>279</v>
      </c>
      <c r="C691" s="2">
        <v>43019</v>
      </c>
      <c r="D691" s="9">
        <v>0.71944444444444444</v>
      </c>
      <c r="E691" s="3">
        <f t="shared" ca="1" si="10"/>
        <v>865511587</v>
      </c>
      <c r="F691" t="s">
        <v>11</v>
      </c>
      <c r="G691" t="s">
        <v>15</v>
      </c>
      <c r="H691" s="1" t="s">
        <v>236</v>
      </c>
      <c r="I691" t="s">
        <v>21</v>
      </c>
      <c r="J691" s="4">
        <v>5.0999999999999996</v>
      </c>
      <c r="K691" s="4">
        <v>72.010000000000005</v>
      </c>
      <c r="L691" s="4">
        <v>3</v>
      </c>
      <c r="M691" s="4">
        <v>89.71</v>
      </c>
      <c r="N691" s="4">
        <v>181.42519999999999</v>
      </c>
      <c r="O691" s="4">
        <v>201.3</v>
      </c>
      <c r="P691" s="4">
        <v>3.8764546470000001</v>
      </c>
      <c r="Q691" s="4">
        <v>48.27</v>
      </c>
      <c r="R691" s="10"/>
    </row>
    <row r="692" spans="1:18" x14ac:dyDescent="0.3">
      <c r="A692" t="s">
        <v>2</v>
      </c>
      <c r="B692" s="3" t="s">
        <v>280</v>
      </c>
      <c r="C692" s="2">
        <v>43446</v>
      </c>
      <c r="D692" s="9">
        <v>0.7</v>
      </c>
      <c r="E692" s="3">
        <f t="shared" ca="1" si="10"/>
        <v>835627050</v>
      </c>
      <c r="F692" t="s">
        <v>11</v>
      </c>
      <c r="G692" t="s">
        <v>14</v>
      </c>
      <c r="H692" s="1" t="s">
        <v>236</v>
      </c>
      <c r="I692" t="s">
        <v>20</v>
      </c>
      <c r="J692" s="4">
        <v>2</v>
      </c>
      <c r="K692" s="4">
        <v>42.82</v>
      </c>
      <c r="L692" s="4">
        <v>9</v>
      </c>
      <c r="M692" s="4">
        <v>63.01</v>
      </c>
      <c r="N692" s="4">
        <v>189.9494</v>
      </c>
      <c r="O692" s="4">
        <v>631.71</v>
      </c>
      <c r="P692" s="4">
        <v>3.8764546470000001</v>
      </c>
      <c r="Q692" s="4">
        <v>42.85</v>
      </c>
      <c r="R692" s="10"/>
    </row>
    <row r="693" spans="1:18" x14ac:dyDescent="0.3">
      <c r="A693" t="s">
        <v>2</v>
      </c>
      <c r="B693" s="3" t="s">
        <v>280</v>
      </c>
      <c r="C693" s="2">
        <v>43317</v>
      </c>
      <c r="D693" s="9">
        <v>0.90416666666666667</v>
      </c>
      <c r="E693" s="3">
        <f t="shared" ca="1" si="10"/>
        <v>192900733</v>
      </c>
      <c r="F693" t="s">
        <v>12</v>
      </c>
      <c r="G693" t="s">
        <v>14</v>
      </c>
      <c r="H693" s="1" t="s">
        <v>235</v>
      </c>
      <c r="I693" t="s">
        <v>21</v>
      </c>
      <c r="J693" s="4">
        <v>7.3</v>
      </c>
      <c r="K693" s="4">
        <v>18.18</v>
      </c>
      <c r="L693" s="4">
        <v>7</v>
      </c>
      <c r="M693" s="4">
        <v>98.01</v>
      </c>
      <c r="N693" s="4">
        <v>164.4</v>
      </c>
      <c r="O693" s="4">
        <v>385.28</v>
      </c>
      <c r="P693" s="4">
        <v>3.8764546470000001</v>
      </c>
      <c r="Q693" s="4">
        <v>62.212000000000003</v>
      </c>
      <c r="R693" s="10"/>
    </row>
    <row r="694" spans="1:18" x14ac:dyDescent="0.3">
      <c r="A694" t="s">
        <v>1</v>
      </c>
      <c r="B694" s="3" t="s">
        <v>279</v>
      </c>
      <c r="C694" s="2">
        <v>43042</v>
      </c>
      <c r="D694" s="9">
        <v>0.86041666666666672</v>
      </c>
      <c r="E694" s="3">
        <f t="shared" ca="1" si="10"/>
        <v>616032045</v>
      </c>
      <c r="F694" t="s">
        <v>12</v>
      </c>
      <c r="G694" t="s">
        <v>14</v>
      </c>
      <c r="H694" s="1" t="s">
        <v>236</v>
      </c>
      <c r="I694" t="s">
        <v>17</v>
      </c>
      <c r="J694" s="4">
        <v>6.1</v>
      </c>
      <c r="K694" s="4">
        <v>21.012</v>
      </c>
      <c r="L694" s="4">
        <v>10</v>
      </c>
      <c r="M694" s="4">
        <v>35</v>
      </c>
      <c r="N694" s="4">
        <v>107</v>
      </c>
      <c r="O694" s="4">
        <v>486.3</v>
      </c>
      <c r="P694" s="4">
        <v>3.8764546470000001</v>
      </c>
      <c r="Q694" s="4">
        <v>49.238</v>
      </c>
      <c r="R694" s="10"/>
    </row>
    <row r="695" spans="1:18" x14ac:dyDescent="0.3">
      <c r="A695" t="s">
        <v>2</v>
      </c>
      <c r="B695" s="3" t="s">
        <v>280</v>
      </c>
      <c r="C695" s="2">
        <v>42978</v>
      </c>
      <c r="D695" s="9">
        <v>0.25277777777777777</v>
      </c>
      <c r="E695" s="3">
        <f t="shared" ca="1" si="10"/>
        <v>901179095</v>
      </c>
      <c r="F695" t="s">
        <v>11</v>
      </c>
      <c r="G695" t="s">
        <v>14</v>
      </c>
      <c r="H695" s="1" t="s">
        <v>236</v>
      </c>
      <c r="I695" t="s">
        <v>22</v>
      </c>
      <c r="J695" s="4">
        <v>3.8</v>
      </c>
      <c r="K695" s="4">
        <v>85.86</v>
      </c>
      <c r="L695" s="4">
        <v>7</v>
      </c>
      <c r="M695" s="4">
        <v>55.21</v>
      </c>
      <c r="N695" s="4">
        <v>180.7577</v>
      </c>
      <c r="O695" s="4">
        <v>513.66</v>
      </c>
      <c r="P695" s="4">
        <v>3.8764546470000001</v>
      </c>
      <c r="Q695" s="4">
        <v>73.06</v>
      </c>
      <c r="R695" s="10"/>
    </row>
    <row r="696" spans="1:18" x14ac:dyDescent="0.3">
      <c r="A696" t="s">
        <v>2</v>
      </c>
      <c r="B696" s="3" t="s">
        <v>280</v>
      </c>
      <c r="C696" s="2">
        <v>42865</v>
      </c>
      <c r="D696" s="9">
        <v>0.64166666666666672</v>
      </c>
      <c r="E696" s="3">
        <f t="shared" ca="1" si="10"/>
        <v>621069076</v>
      </c>
      <c r="F696" t="s">
        <v>11</v>
      </c>
      <c r="G696" t="s">
        <v>15</v>
      </c>
      <c r="H696" s="1" t="s">
        <v>236</v>
      </c>
      <c r="I696" t="s">
        <v>21</v>
      </c>
      <c r="J696" s="4">
        <v>2</v>
      </c>
      <c r="K696" s="4">
        <v>79.709999999999994</v>
      </c>
      <c r="L696" s="4">
        <v>9</v>
      </c>
      <c r="M696" s="4">
        <v>49</v>
      </c>
      <c r="N696" s="4">
        <v>186.61709999999999</v>
      </c>
      <c r="O696" s="4">
        <v>473.4</v>
      </c>
      <c r="P696" s="4">
        <v>3.8764546470000001</v>
      </c>
      <c r="Q696" s="4">
        <v>70.72</v>
      </c>
      <c r="R696" s="10"/>
    </row>
    <row r="697" spans="1:18" x14ac:dyDescent="0.3">
      <c r="A697" t="s">
        <v>1</v>
      </c>
      <c r="B697" s="3" t="s">
        <v>279</v>
      </c>
      <c r="C697" s="2">
        <v>43025</v>
      </c>
      <c r="D697" s="9">
        <v>0.67083333333333328</v>
      </c>
      <c r="E697" s="3">
        <f t="shared" ca="1" si="10"/>
        <v>234892538</v>
      </c>
      <c r="F697" t="s">
        <v>11</v>
      </c>
      <c r="G697" t="s">
        <v>14</v>
      </c>
      <c r="H697" s="1" t="s">
        <v>236</v>
      </c>
      <c r="I697" t="s">
        <v>19</v>
      </c>
      <c r="J697" s="4">
        <v>2</v>
      </c>
      <c r="K697" s="4">
        <v>23.71</v>
      </c>
      <c r="L697" s="4">
        <v>5</v>
      </c>
      <c r="M697" s="4">
        <v>47.6</v>
      </c>
      <c r="N697" s="4">
        <v>107.312</v>
      </c>
      <c r="O697" s="4">
        <v>436.85</v>
      </c>
      <c r="P697" s="4">
        <v>3.8764546470000001</v>
      </c>
      <c r="Q697" s="4">
        <v>51.83</v>
      </c>
      <c r="R697" s="10"/>
    </row>
    <row r="698" spans="1:18" x14ac:dyDescent="0.3">
      <c r="A698" t="s">
        <v>1</v>
      </c>
      <c r="B698" s="3" t="s">
        <v>279</v>
      </c>
      <c r="C698" s="2">
        <v>43192</v>
      </c>
      <c r="D698" s="9">
        <v>7.2916666666666671E-2</v>
      </c>
      <c r="E698" s="3">
        <f t="shared" ca="1" si="10"/>
        <v>130667957</v>
      </c>
      <c r="F698" t="s">
        <v>11</v>
      </c>
      <c r="G698" t="s">
        <v>14</v>
      </c>
      <c r="H698" s="1" t="s">
        <v>235</v>
      </c>
      <c r="I698" t="s">
        <v>20</v>
      </c>
      <c r="J698" s="4">
        <v>2</v>
      </c>
      <c r="K698" s="4">
        <v>78.72</v>
      </c>
      <c r="L698" s="4">
        <v>4</v>
      </c>
      <c r="M698" s="4">
        <v>39.619999999999997</v>
      </c>
      <c r="N698" s="4">
        <v>151.90469999999999</v>
      </c>
      <c r="O698" s="4">
        <v>108.16</v>
      </c>
      <c r="P698" s="4">
        <v>3.8764546470000001</v>
      </c>
      <c r="Q698" s="4">
        <v>65.819999999999993</v>
      </c>
      <c r="R698" s="10"/>
    </row>
    <row r="699" spans="1:18" x14ac:dyDescent="0.3">
      <c r="A699" t="s">
        <v>3</v>
      </c>
      <c r="B699" s="3" t="s">
        <v>281</v>
      </c>
      <c r="C699" s="2">
        <v>43277</v>
      </c>
      <c r="D699" s="9">
        <v>0.85069444444444442</v>
      </c>
      <c r="E699" s="3">
        <f t="shared" ca="1" si="10"/>
        <v>452819203</v>
      </c>
      <c r="F699" t="s">
        <v>12</v>
      </c>
      <c r="G699" t="s">
        <v>15</v>
      </c>
      <c r="H699" s="1" t="s">
        <v>235</v>
      </c>
      <c r="I699" t="s">
        <v>19</v>
      </c>
      <c r="J699" s="4">
        <v>3</v>
      </c>
      <c r="K699" s="4">
        <v>29.475000000000001</v>
      </c>
      <c r="L699" s="4">
        <v>4</v>
      </c>
      <c r="M699" s="4">
        <v>38.25</v>
      </c>
      <c r="N699" s="4">
        <v>103.149</v>
      </c>
      <c r="O699" s="4">
        <v>248.76</v>
      </c>
      <c r="P699" s="4">
        <v>3.8764546470000001</v>
      </c>
      <c r="Q699" s="4">
        <v>36.130000000000003</v>
      </c>
      <c r="R699" s="10"/>
    </row>
    <row r="700" spans="1:18" ht="28.8" x14ac:dyDescent="0.3">
      <c r="A700" t="s">
        <v>1</v>
      </c>
      <c r="B700" s="3" t="s">
        <v>279</v>
      </c>
      <c r="C700" s="2">
        <v>43308</v>
      </c>
      <c r="D700" s="9">
        <v>0.18958333333333333</v>
      </c>
      <c r="E700" s="3">
        <f t="shared" ca="1" si="10"/>
        <v>931879379</v>
      </c>
      <c r="F700" t="s">
        <v>12</v>
      </c>
      <c r="G700" t="s">
        <v>14</v>
      </c>
      <c r="H700" s="1" t="s">
        <v>237</v>
      </c>
      <c r="I700" t="s">
        <v>18</v>
      </c>
      <c r="J700" s="4">
        <v>7</v>
      </c>
      <c r="K700" s="4">
        <v>14.98</v>
      </c>
      <c r="L700" s="4">
        <v>9</v>
      </c>
      <c r="M700" s="4">
        <v>11.79</v>
      </c>
      <c r="N700" s="4">
        <v>186.2372</v>
      </c>
      <c r="O700" s="4">
        <v>626.22</v>
      </c>
      <c r="P700" s="4">
        <v>3.8764546470000001</v>
      </c>
      <c r="Q700" s="4">
        <v>29.44</v>
      </c>
      <c r="R700" s="10"/>
    </row>
    <row r="701" spans="1:18" x14ac:dyDescent="0.3">
      <c r="A701" t="s">
        <v>2</v>
      </c>
      <c r="B701" s="3" t="s">
        <v>280</v>
      </c>
      <c r="C701" s="2">
        <v>43453</v>
      </c>
      <c r="D701" s="9">
        <v>0.5444444444444444</v>
      </c>
      <c r="E701" s="3">
        <f t="shared" ca="1" si="10"/>
        <v>715465251</v>
      </c>
      <c r="F701" t="s">
        <v>12</v>
      </c>
      <c r="G701" t="s">
        <v>15</v>
      </c>
      <c r="H701" s="1" t="s">
        <v>235</v>
      </c>
      <c r="I701" t="s">
        <v>19</v>
      </c>
      <c r="J701" s="4">
        <v>6</v>
      </c>
      <c r="K701" s="4">
        <v>48.7</v>
      </c>
      <c r="L701" s="4">
        <v>10</v>
      </c>
      <c r="M701" s="4">
        <v>52.7</v>
      </c>
      <c r="N701" s="4">
        <v>109.56100000000001</v>
      </c>
      <c r="O701" s="4">
        <v>975</v>
      </c>
      <c r="P701" s="4">
        <v>3.8764546470000001</v>
      </c>
      <c r="Q701" s="4">
        <v>84.3</v>
      </c>
      <c r="R701" s="10"/>
    </row>
    <row r="702" spans="1:18" x14ac:dyDescent="0.3">
      <c r="A702" t="s">
        <v>2</v>
      </c>
      <c r="B702" s="3" t="s">
        <v>280</v>
      </c>
      <c r="C702" s="2">
        <v>43262</v>
      </c>
      <c r="D702" s="9">
        <v>0.4861111111111111</v>
      </c>
      <c r="E702" s="3">
        <f t="shared" ca="1" si="10"/>
        <v>267402260</v>
      </c>
      <c r="F702" t="s">
        <v>11</v>
      </c>
      <c r="G702" t="s">
        <v>15</v>
      </c>
      <c r="H702" s="1" t="s">
        <v>235</v>
      </c>
      <c r="I702" t="s">
        <v>22</v>
      </c>
      <c r="J702" s="4">
        <v>3</v>
      </c>
      <c r="K702" s="4">
        <v>31.38</v>
      </c>
      <c r="L702" s="4">
        <v>8</v>
      </c>
      <c r="M702" s="4">
        <v>49.99</v>
      </c>
      <c r="N702" s="4">
        <v>159.49039999999999</v>
      </c>
      <c r="O702" s="4">
        <v>483.28</v>
      </c>
      <c r="P702" s="4">
        <v>3.8764546470000001</v>
      </c>
      <c r="Q702" s="4">
        <v>65.16</v>
      </c>
      <c r="R702" s="10"/>
    </row>
    <row r="703" spans="1:18" ht="28.8" x14ac:dyDescent="0.3">
      <c r="A703" t="s">
        <v>3</v>
      </c>
      <c r="B703" s="3" t="s">
        <v>281</v>
      </c>
      <c r="C703" s="2">
        <v>43161</v>
      </c>
      <c r="D703" s="9">
        <v>0.28680555555555554</v>
      </c>
      <c r="E703" s="3">
        <f t="shared" ca="1" si="10"/>
        <v>666461918</v>
      </c>
      <c r="F703" t="s">
        <v>12</v>
      </c>
      <c r="G703" t="s">
        <v>15</v>
      </c>
      <c r="H703" s="1" t="s">
        <v>237</v>
      </c>
      <c r="I703" t="s">
        <v>21</v>
      </c>
      <c r="J703" s="4">
        <v>5</v>
      </c>
      <c r="K703" s="4">
        <v>30.082000000000001</v>
      </c>
      <c r="L703" s="4">
        <v>3</v>
      </c>
      <c r="M703" s="4">
        <v>86.04</v>
      </c>
      <c r="N703" s="4">
        <v>153.54769999999999</v>
      </c>
      <c r="O703" s="4">
        <v>96.96</v>
      </c>
      <c r="P703" s="4">
        <v>3.8764546470000001</v>
      </c>
      <c r="Q703" s="4">
        <v>27.16</v>
      </c>
      <c r="R703" s="10"/>
    </row>
    <row r="704" spans="1:18" ht="28.8" x14ac:dyDescent="0.3">
      <c r="A704" t="s">
        <v>3</v>
      </c>
      <c r="B704" s="3" t="s">
        <v>281</v>
      </c>
      <c r="C704" s="2">
        <v>42933</v>
      </c>
      <c r="D704" s="9">
        <v>0.37430555555555556</v>
      </c>
      <c r="E704" s="3">
        <f t="shared" ca="1" si="10"/>
        <v>487497552</v>
      </c>
      <c r="F704" t="s">
        <v>11</v>
      </c>
      <c r="G704" t="s">
        <v>14</v>
      </c>
      <c r="H704" s="1" t="s">
        <v>237</v>
      </c>
      <c r="I704" t="s">
        <v>22</v>
      </c>
      <c r="J704" s="4">
        <v>8.6999999999999993</v>
      </c>
      <c r="K704" s="4">
        <v>22.71</v>
      </c>
      <c r="L704" s="4">
        <v>10</v>
      </c>
      <c r="M704" s="4">
        <v>13.64</v>
      </c>
      <c r="N704" s="4">
        <v>116.6729</v>
      </c>
      <c r="O704" s="4">
        <v>197.7</v>
      </c>
      <c r="P704" s="4">
        <v>3.8764546470000001</v>
      </c>
      <c r="Q704" s="4">
        <v>69.319000000000003</v>
      </c>
      <c r="R704" s="10"/>
    </row>
    <row r="705" spans="1:18" x14ac:dyDescent="0.3">
      <c r="A705" t="s">
        <v>3</v>
      </c>
      <c r="B705" s="3" t="s">
        <v>281</v>
      </c>
      <c r="C705" s="2">
        <v>43241</v>
      </c>
      <c r="D705" s="9">
        <v>0.50069444444444444</v>
      </c>
      <c r="E705" s="3">
        <f t="shared" ca="1" si="10"/>
        <v>813846658</v>
      </c>
      <c r="F705" t="s">
        <v>12</v>
      </c>
      <c r="G705" t="s">
        <v>14</v>
      </c>
      <c r="H705" s="1" t="s">
        <v>236</v>
      </c>
      <c r="I705" t="s">
        <v>17</v>
      </c>
      <c r="J705" s="4">
        <v>9</v>
      </c>
      <c r="K705" s="4">
        <v>41.96</v>
      </c>
      <c r="L705" s="4">
        <v>9</v>
      </c>
      <c r="M705" s="4">
        <v>21.11</v>
      </c>
      <c r="N705" s="4">
        <v>134.76849999999999</v>
      </c>
      <c r="O705" s="4">
        <v>724.23</v>
      </c>
      <c r="P705" s="4">
        <v>3.8764546470000001</v>
      </c>
      <c r="Q705" s="4">
        <v>83.643000000000001</v>
      </c>
      <c r="R705" s="10"/>
    </row>
    <row r="706" spans="1:18" x14ac:dyDescent="0.3">
      <c r="A706" t="s">
        <v>3</v>
      </c>
      <c r="B706" s="3" t="s">
        <v>281</v>
      </c>
      <c r="C706" s="2">
        <v>43342</v>
      </c>
      <c r="D706" s="9">
        <v>0.79236111111111107</v>
      </c>
      <c r="E706" s="3">
        <f t="shared" ca="1" si="10"/>
        <v>444524459</v>
      </c>
      <c r="F706" t="s">
        <v>11</v>
      </c>
      <c r="G706" t="s">
        <v>14</v>
      </c>
      <c r="H706" s="1" t="s">
        <v>236</v>
      </c>
      <c r="I706" t="s">
        <v>19</v>
      </c>
      <c r="J706" s="4">
        <v>4</v>
      </c>
      <c r="K706" s="4">
        <v>75.38</v>
      </c>
      <c r="L706" s="4">
        <v>9</v>
      </c>
      <c r="M706" s="4">
        <v>47.93</v>
      </c>
      <c r="N706" s="4">
        <v>139.50659999999999</v>
      </c>
      <c r="O706" s="4">
        <v>795.51</v>
      </c>
      <c r="P706" s="4">
        <v>3.8764546470000001</v>
      </c>
      <c r="Q706" s="4">
        <v>77.768000000000001</v>
      </c>
      <c r="R706" s="10"/>
    </row>
    <row r="707" spans="1:18" x14ac:dyDescent="0.3">
      <c r="A707" t="s">
        <v>3</v>
      </c>
      <c r="B707" s="3" t="s">
        <v>281</v>
      </c>
      <c r="C707" s="2">
        <v>42911</v>
      </c>
      <c r="D707" s="9">
        <v>0.30138888888888887</v>
      </c>
      <c r="E707" s="3">
        <f t="shared" ref="E707:E770" ca="1" si="11">RANDBETWEEN(10000000,1000000000)</f>
        <v>29185109</v>
      </c>
      <c r="F707" t="s">
        <v>12</v>
      </c>
      <c r="G707" t="s">
        <v>15</v>
      </c>
      <c r="H707" s="1" t="s">
        <v>236</v>
      </c>
      <c r="I707" t="s">
        <v>17</v>
      </c>
      <c r="J707" s="4">
        <v>2.5</v>
      </c>
      <c r="K707" s="4">
        <v>68.474999999999994</v>
      </c>
      <c r="L707" s="4">
        <v>7</v>
      </c>
      <c r="M707" s="4">
        <v>13.97</v>
      </c>
      <c r="N707" s="4">
        <v>126.063</v>
      </c>
      <c r="O707" s="4">
        <v>502.39</v>
      </c>
      <c r="P707" s="4">
        <v>3.8764546470000001</v>
      </c>
      <c r="Q707" s="4">
        <v>31.129000000000001</v>
      </c>
      <c r="R707" s="10"/>
    </row>
    <row r="708" spans="1:18" x14ac:dyDescent="0.3">
      <c r="A708" t="s">
        <v>3</v>
      </c>
      <c r="B708" s="3" t="s">
        <v>281</v>
      </c>
      <c r="C708" s="2">
        <v>43367</v>
      </c>
      <c r="D708" s="9">
        <v>0.65138888888888891</v>
      </c>
      <c r="E708" s="3">
        <f t="shared" ca="1" si="11"/>
        <v>843066018</v>
      </c>
      <c r="F708" t="s">
        <v>11</v>
      </c>
      <c r="G708" t="s">
        <v>15</v>
      </c>
      <c r="H708" s="1" t="s">
        <v>235</v>
      </c>
      <c r="I708" t="s">
        <v>18</v>
      </c>
      <c r="J708" s="4">
        <v>3.6</v>
      </c>
      <c r="K708" s="4">
        <v>41.97</v>
      </c>
      <c r="L708" s="4">
        <v>4</v>
      </c>
      <c r="M708" s="4">
        <v>15.57</v>
      </c>
      <c r="N708" s="4">
        <v>148.28129999999999</v>
      </c>
      <c r="O708" s="4">
        <v>172</v>
      </c>
      <c r="P708" s="4">
        <v>3.8764546470000001</v>
      </c>
      <c r="Q708" s="4">
        <v>62.83</v>
      </c>
      <c r="R708" s="10"/>
    </row>
    <row r="709" spans="1:18" x14ac:dyDescent="0.3">
      <c r="A709" t="s">
        <v>2</v>
      </c>
      <c r="B709" s="3" t="s">
        <v>280</v>
      </c>
      <c r="C709" s="2">
        <v>42999</v>
      </c>
      <c r="D709" s="9">
        <v>0.11666666666666667</v>
      </c>
      <c r="E709" s="3">
        <f t="shared" ca="1" si="11"/>
        <v>214290931</v>
      </c>
      <c r="F709" t="s">
        <v>12</v>
      </c>
      <c r="G709" t="s">
        <v>14</v>
      </c>
      <c r="H709" s="1" t="s">
        <v>236</v>
      </c>
      <c r="I709" t="s">
        <v>21</v>
      </c>
      <c r="J709" s="4">
        <v>3.3</v>
      </c>
      <c r="K709" s="4">
        <v>38.143000000000001</v>
      </c>
      <c r="L709" s="4">
        <v>1</v>
      </c>
      <c r="M709" s="4">
        <v>72.67</v>
      </c>
      <c r="N709" s="4">
        <v>158.60929999999999</v>
      </c>
      <c r="O709" s="4">
        <v>68.98</v>
      </c>
      <c r="P709" s="4">
        <v>3.8764546470000001</v>
      </c>
      <c r="Q709" s="4">
        <v>66.191999999999993</v>
      </c>
      <c r="R709" s="10"/>
    </row>
    <row r="710" spans="1:18" x14ac:dyDescent="0.3">
      <c r="A710" t="s">
        <v>2</v>
      </c>
      <c r="B710" s="3" t="s">
        <v>280</v>
      </c>
      <c r="C710" s="2">
        <v>43008</v>
      </c>
      <c r="D710" s="9">
        <v>0.90416666666666667</v>
      </c>
      <c r="E710" s="3">
        <f t="shared" ca="1" si="11"/>
        <v>971109209</v>
      </c>
      <c r="F710" t="s">
        <v>12</v>
      </c>
      <c r="G710" t="s">
        <v>15</v>
      </c>
      <c r="H710" s="1" t="s">
        <v>235</v>
      </c>
      <c r="I710" t="s">
        <v>22</v>
      </c>
      <c r="J710" s="4">
        <v>4</v>
      </c>
      <c r="K710" s="4">
        <v>49.307000000000002</v>
      </c>
      <c r="L710" s="4">
        <v>8</v>
      </c>
      <c r="M710" s="4">
        <v>37.83</v>
      </c>
      <c r="N710" s="4">
        <v>170.9879</v>
      </c>
      <c r="O710" s="4">
        <v>124.96</v>
      </c>
      <c r="P710" s="4">
        <v>3.8764546470000001</v>
      </c>
      <c r="Q710" s="4">
        <v>62.76</v>
      </c>
      <c r="R710" s="10"/>
    </row>
    <row r="711" spans="1:18" x14ac:dyDescent="0.3">
      <c r="A711" t="s">
        <v>1</v>
      </c>
      <c r="B711" s="3" t="s">
        <v>279</v>
      </c>
      <c r="C711" s="2">
        <v>43151</v>
      </c>
      <c r="D711" s="9">
        <v>0.72430555555555554</v>
      </c>
      <c r="E711" s="3">
        <f t="shared" ca="1" si="11"/>
        <v>895425082</v>
      </c>
      <c r="F711" t="s">
        <v>12</v>
      </c>
      <c r="G711" t="s">
        <v>15</v>
      </c>
      <c r="H711" s="1" t="s">
        <v>235</v>
      </c>
      <c r="I711" t="s">
        <v>20</v>
      </c>
      <c r="J711" s="4">
        <v>4</v>
      </c>
      <c r="K711" s="4">
        <v>42.241</v>
      </c>
      <c r="L711" s="4">
        <v>3</v>
      </c>
      <c r="M711" s="4">
        <v>29.41</v>
      </c>
      <c r="N711" s="4">
        <v>106.7865</v>
      </c>
      <c r="O711" s="4">
        <v>77.099999999999994</v>
      </c>
      <c r="P711" s="4">
        <v>3.8764546470000001</v>
      </c>
      <c r="Q711" s="4">
        <v>28.69</v>
      </c>
      <c r="R711" s="10"/>
    </row>
    <row r="712" spans="1:18" x14ac:dyDescent="0.3">
      <c r="A712" t="s">
        <v>1</v>
      </c>
      <c r="B712" s="3" t="s">
        <v>279</v>
      </c>
      <c r="C712" s="2">
        <v>43335</v>
      </c>
      <c r="D712" s="9">
        <v>0.30625000000000002</v>
      </c>
      <c r="E712" s="3">
        <f t="shared" ca="1" si="11"/>
        <v>349915492</v>
      </c>
      <c r="F712" t="s">
        <v>12</v>
      </c>
      <c r="G712" t="s">
        <v>14</v>
      </c>
      <c r="H712" s="1" t="s">
        <v>236</v>
      </c>
      <c r="I712" t="s">
        <v>21</v>
      </c>
      <c r="J712" s="4">
        <v>1.4</v>
      </c>
      <c r="K712" s="4">
        <v>47.948999999999998</v>
      </c>
      <c r="L712" s="4">
        <v>6</v>
      </c>
      <c r="M712" s="4">
        <v>58.84</v>
      </c>
      <c r="N712" s="4">
        <v>128.52279999999999</v>
      </c>
      <c r="O712" s="4">
        <v>483.72</v>
      </c>
      <c r="P712" s="4">
        <v>3.8764546470000001</v>
      </c>
      <c r="Q712" s="4">
        <v>48.338000000000001</v>
      </c>
      <c r="R712" s="10"/>
    </row>
    <row r="713" spans="1:18" x14ac:dyDescent="0.3">
      <c r="A713" t="s">
        <v>2</v>
      </c>
      <c r="B713" s="3" t="s">
        <v>280</v>
      </c>
      <c r="C713" s="2">
        <v>43304</v>
      </c>
      <c r="D713" s="9">
        <v>0.63194444444444442</v>
      </c>
      <c r="E713" s="3">
        <f t="shared" ca="1" si="11"/>
        <v>83989947</v>
      </c>
      <c r="F713" t="s">
        <v>11</v>
      </c>
      <c r="G713" t="s">
        <v>14</v>
      </c>
      <c r="H713" s="1" t="s">
        <v>235</v>
      </c>
      <c r="I713" t="s">
        <v>19</v>
      </c>
      <c r="J713" s="4">
        <v>1.5</v>
      </c>
      <c r="K713" s="4">
        <v>91.076999999999998</v>
      </c>
      <c r="L713" s="4">
        <v>4</v>
      </c>
      <c r="M713" s="4">
        <v>97.83</v>
      </c>
      <c r="N713" s="4">
        <v>154.73439999999999</v>
      </c>
      <c r="O713" s="4">
        <v>302.12</v>
      </c>
      <c r="P713" s="4">
        <v>3.8764546470000001</v>
      </c>
      <c r="Q713" s="4">
        <v>44.243000000000002</v>
      </c>
      <c r="R713" s="10"/>
    </row>
    <row r="714" spans="1:18" x14ac:dyDescent="0.3">
      <c r="A714" t="s">
        <v>2</v>
      </c>
      <c r="B714" s="3" t="s">
        <v>280</v>
      </c>
      <c r="C714" s="2">
        <v>43363</v>
      </c>
      <c r="D714" s="9">
        <v>0.53472222222222221</v>
      </c>
      <c r="E714" s="3">
        <f t="shared" ca="1" si="11"/>
        <v>171619034</v>
      </c>
      <c r="F714" t="s">
        <v>11</v>
      </c>
      <c r="G714" t="s">
        <v>15</v>
      </c>
      <c r="H714" s="1" t="s">
        <v>235</v>
      </c>
      <c r="I714" t="s">
        <v>18</v>
      </c>
      <c r="J714" s="4">
        <v>6.2</v>
      </c>
      <c r="K714" s="4">
        <v>26.85</v>
      </c>
      <c r="L714" s="4">
        <v>9</v>
      </c>
      <c r="M714" s="4">
        <v>87.98</v>
      </c>
      <c r="N714" s="4">
        <v>188.3937</v>
      </c>
      <c r="O714" s="4">
        <v>698.67</v>
      </c>
      <c r="P714" s="4">
        <v>3.8764546470000001</v>
      </c>
      <c r="Q714" s="4">
        <v>80.412000000000006</v>
      </c>
      <c r="R714" s="10"/>
    </row>
    <row r="715" spans="1:18" x14ac:dyDescent="0.3">
      <c r="A715" t="s">
        <v>2</v>
      </c>
      <c r="B715" s="3" t="s">
        <v>280</v>
      </c>
      <c r="C715" s="2">
        <v>43377</v>
      </c>
      <c r="D715" s="9">
        <v>0.59791666666666665</v>
      </c>
      <c r="E715" s="3">
        <f t="shared" ca="1" si="11"/>
        <v>628265558</v>
      </c>
      <c r="F715" t="s">
        <v>11</v>
      </c>
      <c r="G715" t="s">
        <v>15</v>
      </c>
      <c r="H715" s="1" t="s">
        <v>235</v>
      </c>
      <c r="I715" t="s">
        <v>17</v>
      </c>
      <c r="J715" s="4">
        <v>9.6</v>
      </c>
      <c r="K715" s="4">
        <v>12.8</v>
      </c>
      <c r="L715" s="4">
        <v>9</v>
      </c>
      <c r="M715" s="4">
        <v>59.16</v>
      </c>
      <c r="N715" s="4">
        <v>169.8569</v>
      </c>
      <c r="O715" s="4">
        <v>124.65</v>
      </c>
      <c r="P715" s="4">
        <v>3.8764546470000001</v>
      </c>
      <c r="Q715" s="4">
        <v>53.802</v>
      </c>
      <c r="R715" s="10"/>
    </row>
    <row r="716" spans="1:18" x14ac:dyDescent="0.3">
      <c r="A716" t="s">
        <v>2</v>
      </c>
      <c r="B716" s="3" t="s">
        <v>280</v>
      </c>
      <c r="C716" s="2">
        <v>42950</v>
      </c>
      <c r="D716" s="9">
        <v>0.91388888888888886</v>
      </c>
      <c r="E716" s="3">
        <f t="shared" ca="1" si="11"/>
        <v>768493992</v>
      </c>
      <c r="F716" t="s">
        <v>12</v>
      </c>
      <c r="G716" t="s">
        <v>14</v>
      </c>
      <c r="H716" s="1" t="s">
        <v>235</v>
      </c>
      <c r="I716" t="s">
        <v>22</v>
      </c>
      <c r="J716" s="4">
        <v>3.7</v>
      </c>
      <c r="K716" s="4">
        <v>43.44</v>
      </c>
      <c r="L716" s="4">
        <v>8</v>
      </c>
      <c r="M716" s="4">
        <v>96.42</v>
      </c>
      <c r="N716" s="4">
        <v>120.28660000000001</v>
      </c>
      <c r="O716" s="4">
        <v>789.6</v>
      </c>
      <c r="P716" s="4">
        <v>3.8764546470000001</v>
      </c>
      <c r="Q716" s="4">
        <v>92.96</v>
      </c>
      <c r="R716" s="10"/>
    </row>
    <row r="717" spans="1:18" ht="28.8" x14ac:dyDescent="0.3">
      <c r="A717" t="s">
        <v>1</v>
      </c>
      <c r="B717" s="3" t="s">
        <v>279</v>
      </c>
      <c r="C717" s="2">
        <v>43182</v>
      </c>
      <c r="D717" s="9">
        <v>0.17499999999999999</v>
      </c>
      <c r="E717" s="3">
        <f t="shared" ca="1" si="11"/>
        <v>207432978</v>
      </c>
      <c r="F717" t="s">
        <v>11</v>
      </c>
      <c r="G717" t="s">
        <v>15</v>
      </c>
      <c r="H717" s="1" t="s">
        <v>237</v>
      </c>
      <c r="I717" t="s">
        <v>17</v>
      </c>
      <c r="J717" s="4">
        <v>9</v>
      </c>
      <c r="K717" s="4">
        <v>18.989999999999998</v>
      </c>
      <c r="L717" s="4">
        <v>5</v>
      </c>
      <c r="M717" s="4">
        <v>15.96</v>
      </c>
      <c r="N717" s="4">
        <v>114.4468</v>
      </c>
      <c r="O717" s="4">
        <v>178.4</v>
      </c>
      <c r="P717" s="4">
        <v>3.8764546470000001</v>
      </c>
      <c r="Q717" s="4">
        <v>89.24</v>
      </c>
      <c r="R717" s="10"/>
    </row>
    <row r="718" spans="1:18" x14ac:dyDescent="0.3">
      <c r="A718" t="s">
        <v>1</v>
      </c>
      <c r="B718" s="3" t="s">
        <v>279</v>
      </c>
      <c r="C718" s="2">
        <v>42902</v>
      </c>
      <c r="D718" s="9">
        <v>0.23819444444444443</v>
      </c>
      <c r="E718" s="3">
        <f t="shared" ca="1" si="11"/>
        <v>541794537</v>
      </c>
      <c r="F718" t="s">
        <v>11</v>
      </c>
      <c r="G718" t="s">
        <v>14</v>
      </c>
      <c r="H718" s="1" t="s">
        <v>235</v>
      </c>
      <c r="I718" t="s">
        <v>22</v>
      </c>
      <c r="J718" s="4">
        <v>9.1</v>
      </c>
      <c r="K718" s="4">
        <v>36.75</v>
      </c>
      <c r="L718" s="4">
        <v>7</v>
      </c>
      <c r="M718" s="4">
        <v>26.31</v>
      </c>
      <c r="N718" s="4">
        <v>153.1688</v>
      </c>
      <c r="O718" s="4">
        <v>500.22</v>
      </c>
      <c r="P718" s="4">
        <v>3.8764546470000001</v>
      </c>
      <c r="Q718" s="4">
        <v>10.039999999999999</v>
      </c>
      <c r="R718" s="10"/>
    </row>
    <row r="719" spans="1:18" ht="28.8" x14ac:dyDescent="0.3">
      <c r="A719" t="s">
        <v>1</v>
      </c>
      <c r="B719" s="3" t="s">
        <v>279</v>
      </c>
      <c r="C719" s="2">
        <v>43069</v>
      </c>
      <c r="D719" s="9">
        <v>0.89444444444444449</v>
      </c>
      <c r="E719" s="3">
        <f t="shared" ca="1" si="11"/>
        <v>736507616</v>
      </c>
      <c r="F719" t="s">
        <v>12</v>
      </c>
      <c r="G719" t="s">
        <v>14</v>
      </c>
      <c r="H719" s="1" t="s">
        <v>237</v>
      </c>
      <c r="I719" t="s">
        <v>18</v>
      </c>
      <c r="J719" s="4">
        <v>6.6</v>
      </c>
      <c r="K719" s="4">
        <v>93.75</v>
      </c>
      <c r="L719" s="4">
        <v>3</v>
      </c>
      <c r="M719" s="4">
        <v>38.119999999999997</v>
      </c>
      <c r="N719" s="4">
        <v>150.1968</v>
      </c>
      <c r="O719" s="4">
        <v>35.82</v>
      </c>
      <c r="P719" s="4">
        <v>3.8764546470000001</v>
      </c>
      <c r="Q719" s="4">
        <v>82.71</v>
      </c>
      <c r="R719" s="10"/>
    </row>
    <row r="720" spans="1:18" ht="28.8" x14ac:dyDescent="0.3">
      <c r="A720" t="s">
        <v>1</v>
      </c>
      <c r="B720" s="3" t="s">
        <v>279</v>
      </c>
      <c r="C720" s="2">
        <v>43122</v>
      </c>
      <c r="D720" s="9">
        <v>0.5444444444444444</v>
      </c>
      <c r="E720" s="3">
        <f t="shared" ca="1" si="11"/>
        <v>847601502</v>
      </c>
      <c r="F720" t="s">
        <v>12</v>
      </c>
      <c r="G720" t="s">
        <v>15</v>
      </c>
      <c r="H720" s="1" t="s">
        <v>237</v>
      </c>
      <c r="I720" t="s">
        <v>22</v>
      </c>
      <c r="J720" s="4">
        <v>5.5</v>
      </c>
      <c r="K720" s="4">
        <v>37.4</v>
      </c>
      <c r="L720" s="4">
        <v>3</v>
      </c>
      <c r="M720" s="4">
        <v>17.66</v>
      </c>
      <c r="N720" s="4">
        <v>120.0934</v>
      </c>
      <c r="O720" s="4">
        <v>136.13999999999999</v>
      </c>
      <c r="P720" s="4">
        <v>3.8764546470000001</v>
      </c>
      <c r="Q720" s="4">
        <v>63.19</v>
      </c>
      <c r="R720" s="10"/>
    </row>
    <row r="721" spans="1:18" ht="28.8" x14ac:dyDescent="0.3">
      <c r="A721" t="s">
        <v>3</v>
      </c>
      <c r="B721" s="3" t="s">
        <v>281</v>
      </c>
      <c r="C721" s="2">
        <v>42973</v>
      </c>
      <c r="D721" s="9">
        <v>0.1701388888888889</v>
      </c>
      <c r="E721" s="3">
        <f t="shared" ca="1" si="11"/>
        <v>229958017</v>
      </c>
      <c r="F721" t="s">
        <v>11</v>
      </c>
      <c r="G721" t="s">
        <v>14</v>
      </c>
      <c r="H721" s="1" t="s">
        <v>237</v>
      </c>
      <c r="I721" t="s">
        <v>22</v>
      </c>
      <c r="J721" s="4">
        <v>3</v>
      </c>
      <c r="K721" s="4">
        <v>40.21</v>
      </c>
      <c r="L721" s="4">
        <v>6</v>
      </c>
      <c r="M721" s="4">
        <v>47.03</v>
      </c>
      <c r="N721" s="4">
        <v>144.80000000000001</v>
      </c>
      <c r="O721" s="4">
        <v>104.88</v>
      </c>
      <c r="P721" s="4">
        <v>3.8764546470000001</v>
      </c>
      <c r="Q721" s="4">
        <v>63.47</v>
      </c>
      <c r="R721" s="10"/>
    </row>
    <row r="722" spans="1:18" x14ac:dyDescent="0.3">
      <c r="A722" t="s">
        <v>3</v>
      </c>
      <c r="B722" s="3" t="s">
        <v>281</v>
      </c>
      <c r="C722" s="2">
        <v>43077</v>
      </c>
      <c r="D722" s="9">
        <v>0.45694444444444443</v>
      </c>
      <c r="E722" s="3">
        <f t="shared" ca="1" si="11"/>
        <v>729145954</v>
      </c>
      <c r="F722" t="s">
        <v>11</v>
      </c>
      <c r="G722" t="s">
        <v>15</v>
      </c>
      <c r="H722" s="1" t="s">
        <v>236</v>
      </c>
      <c r="I722" t="s">
        <v>22</v>
      </c>
      <c r="J722" s="4">
        <v>2</v>
      </c>
      <c r="K722" s="4">
        <v>23.884</v>
      </c>
      <c r="L722" s="4">
        <v>7</v>
      </c>
      <c r="M722" s="4">
        <v>80.19</v>
      </c>
      <c r="N722" s="4">
        <v>120.4</v>
      </c>
      <c r="O722" s="4">
        <v>178.92</v>
      </c>
      <c r="P722" s="4">
        <v>3.8764546470000001</v>
      </c>
      <c r="Q722" s="4">
        <v>40.72</v>
      </c>
      <c r="R722" s="10"/>
    </row>
    <row r="723" spans="1:18" x14ac:dyDescent="0.3">
      <c r="A723" t="s">
        <v>2</v>
      </c>
      <c r="B723" s="3" t="s">
        <v>280</v>
      </c>
      <c r="C723" s="2">
        <v>43221</v>
      </c>
      <c r="D723" s="9">
        <v>0.75347222222222221</v>
      </c>
      <c r="E723" s="3">
        <f t="shared" ca="1" si="11"/>
        <v>230143322</v>
      </c>
      <c r="F723" t="s">
        <v>11</v>
      </c>
      <c r="G723" t="s">
        <v>14</v>
      </c>
      <c r="H723" s="1" t="s">
        <v>236</v>
      </c>
      <c r="I723" t="s">
        <v>20</v>
      </c>
      <c r="J723" s="4">
        <v>8</v>
      </c>
      <c r="K723" s="4">
        <v>73.62</v>
      </c>
      <c r="L723" s="4">
        <v>9</v>
      </c>
      <c r="M723" s="4">
        <v>37.08</v>
      </c>
      <c r="N723" s="4">
        <v>185.7</v>
      </c>
      <c r="O723" s="4">
        <v>815.67</v>
      </c>
      <c r="P723" s="4">
        <v>3.8764546470000001</v>
      </c>
      <c r="Q723" s="4">
        <v>46.930999999999997</v>
      </c>
      <c r="R723" s="10"/>
    </row>
    <row r="724" spans="1:18" ht="28.8" x14ac:dyDescent="0.3">
      <c r="A724" t="s">
        <v>3</v>
      </c>
      <c r="B724" s="3" t="s">
        <v>281</v>
      </c>
      <c r="C724" s="2">
        <v>42976</v>
      </c>
      <c r="D724" s="9">
        <v>0.41805555555555557</v>
      </c>
      <c r="E724" s="3">
        <f t="shared" ca="1" si="11"/>
        <v>583252462</v>
      </c>
      <c r="F724" t="s">
        <v>12</v>
      </c>
      <c r="G724" t="s">
        <v>15</v>
      </c>
      <c r="H724" s="1" t="s">
        <v>237</v>
      </c>
      <c r="I724" t="s">
        <v>19</v>
      </c>
      <c r="J724" s="4">
        <v>8</v>
      </c>
      <c r="K724" s="4">
        <v>51.8</v>
      </c>
      <c r="L724" s="4">
        <v>3</v>
      </c>
      <c r="M724" s="4">
        <v>91.62</v>
      </c>
      <c r="N724" s="4">
        <v>118.9</v>
      </c>
      <c r="O724" s="4">
        <v>132.36000000000001</v>
      </c>
      <c r="P724" s="4">
        <v>3.8764546470000001</v>
      </c>
      <c r="Q724" s="4">
        <v>56.259</v>
      </c>
      <c r="R724" s="10"/>
    </row>
    <row r="725" spans="1:18" x14ac:dyDescent="0.3">
      <c r="A725" t="s">
        <v>2</v>
      </c>
      <c r="B725" s="3" t="s">
        <v>280</v>
      </c>
      <c r="C725" s="2">
        <v>43154</v>
      </c>
      <c r="D725" s="9">
        <v>0.86527777777777781</v>
      </c>
      <c r="E725" s="3">
        <f t="shared" ca="1" si="11"/>
        <v>220833445</v>
      </c>
      <c r="F725" t="s">
        <v>11</v>
      </c>
      <c r="G725" t="s">
        <v>14</v>
      </c>
      <c r="H725" s="1" t="s">
        <v>236</v>
      </c>
      <c r="I725" t="s">
        <v>21</v>
      </c>
      <c r="J725" s="4">
        <v>7.4</v>
      </c>
      <c r="K725" s="4">
        <v>95.47</v>
      </c>
      <c r="L725" s="4">
        <v>7</v>
      </c>
      <c r="M725" s="4">
        <v>69.63</v>
      </c>
      <c r="N725" s="4">
        <v>152.5</v>
      </c>
      <c r="O725" s="4">
        <v>257.39</v>
      </c>
      <c r="P725" s="4">
        <v>3.8764546470000001</v>
      </c>
      <c r="Q725" s="4">
        <v>93.484999999999999</v>
      </c>
      <c r="R725" s="10"/>
    </row>
    <row r="726" spans="1:18" x14ac:dyDescent="0.3">
      <c r="A726" t="s">
        <v>3</v>
      </c>
      <c r="B726" s="3" t="s">
        <v>281</v>
      </c>
      <c r="C726" s="2">
        <v>43257</v>
      </c>
      <c r="D726" s="9">
        <v>0.77777777777777779</v>
      </c>
      <c r="E726" s="3">
        <f t="shared" ca="1" si="11"/>
        <v>787061956</v>
      </c>
      <c r="F726" t="s">
        <v>12</v>
      </c>
      <c r="G726" t="s">
        <v>14</v>
      </c>
      <c r="H726" s="1" t="s">
        <v>235</v>
      </c>
      <c r="I726" t="s">
        <v>21</v>
      </c>
      <c r="J726" s="4">
        <v>2.9</v>
      </c>
      <c r="K726" s="4">
        <v>44.2</v>
      </c>
      <c r="L726" s="4">
        <v>4</v>
      </c>
      <c r="M726" s="4">
        <v>20.95</v>
      </c>
      <c r="N726" s="4">
        <v>118.5</v>
      </c>
      <c r="O726" s="4">
        <v>93.36</v>
      </c>
      <c r="P726" s="4">
        <v>3.8764546470000001</v>
      </c>
      <c r="Q726" s="4">
        <v>65.174000000000007</v>
      </c>
      <c r="R726" s="10"/>
    </row>
    <row r="727" spans="1:18" x14ac:dyDescent="0.3">
      <c r="A727" t="s">
        <v>2</v>
      </c>
      <c r="B727" s="3" t="s">
        <v>280</v>
      </c>
      <c r="C727" s="2">
        <v>42892</v>
      </c>
      <c r="D727" s="9">
        <v>0.24791666666666667</v>
      </c>
      <c r="E727" s="3">
        <f t="shared" ca="1" si="11"/>
        <v>519195575</v>
      </c>
      <c r="F727" t="s">
        <v>11</v>
      </c>
      <c r="G727" t="s">
        <v>14</v>
      </c>
      <c r="H727" s="1" t="s">
        <v>236</v>
      </c>
      <c r="I727" t="s">
        <v>17</v>
      </c>
      <c r="J727" s="4">
        <v>4.4000000000000004</v>
      </c>
      <c r="K727" s="4">
        <v>11.3</v>
      </c>
      <c r="L727" s="4">
        <v>8</v>
      </c>
      <c r="M727" s="4">
        <v>12.25</v>
      </c>
      <c r="N727" s="4">
        <v>142.40020000000001</v>
      </c>
      <c r="O727" s="4">
        <v>228</v>
      </c>
      <c r="P727" s="4">
        <v>3.8764546470000001</v>
      </c>
      <c r="Q727" s="4">
        <v>93.409000000000006</v>
      </c>
      <c r="R727" s="10"/>
    </row>
    <row r="728" spans="1:18" ht="28.8" x14ac:dyDescent="0.3">
      <c r="A728" t="s">
        <v>2</v>
      </c>
      <c r="B728" s="3" t="s">
        <v>280</v>
      </c>
      <c r="C728" s="2">
        <v>43268</v>
      </c>
      <c r="D728" s="9">
        <v>1.9444444444444445E-2</v>
      </c>
      <c r="E728" s="3">
        <f t="shared" ca="1" si="11"/>
        <v>990323968</v>
      </c>
      <c r="F728" t="s">
        <v>12</v>
      </c>
      <c r="G728" t="s">
        <v>14</v>
      </c>
      <c r="H728" s="1" t="s">
        <v>237</v>
      </c>
      <c r="I728" t="s">
        <v>19</v>
      </c>
      <c r="J728" s="4">
        <v>8.1</v>
      </c>
      <c r="K728" s="4">
        <v>88.92</v>
      </c>
      <c r="L728" s="4">
        <v>3</v>
      </c>
      <c r="M728" s="4">
        <v>96.53</v>
      </c>
      <c r="N728" s="4">
        <v>173.9539</v>
      </c>
      <c r="O728" s="4">
        <v>166.71</v>
      </c>
      <c r="P728" s="4">
        <v>3.8764546470000001</v>
      </c>
      <c r="Q728" s="4">
        <v>77.8</v>
      </c>
      <c r="R728" s="10"/>
    </row>
    <row r="729" spans="1:18" ht="28.8" x14ac:dyDescent="0.3">
      <c r="A729" t="s">
        <v>3</v>
      </c>
      <c r="B729" s="3" t="s">
        <v>281</v>
      </c>
      <c r="C729" s="2">
        <v>43143</v>
      </c>
      <c r="D729" s="9">
        <v>0.79722222222222228</v>
      </c>
      <c r="E729" s="3">
        <f t="shared" ca="1" si="11"/>
        <v>487040181</v>
      </c>
      <c r="F729" t="s">
        <v>12</v>
      </c>
      <c r="G729" t="s">
        <v>15</v>
      </c>
      <c r="H729" s="1" t="s">
        <v>237</v>
      </c>
      <c r="I729" t="s">
        <v>20</v>
      </c>
      <c r="J729" s="4">
        <v>6.6</v>
      </c>
      <c r="K729" s="4">
        <v>87.27</v>
      </c>
      <c r="L729" s="4">
        <v>10</v>
      </c>
      <c r="M729" s="4">
        <v>99.06</v>
      </c>
      <c r="N729" s="4">
        <v>161.51650000000001</v>
      </c>
      <c r="O729" s="4">
        <v>697.4</v>
      </c>
      <c r="P729" s="4">
        <v>3.8764546470000001</v>
      </c>
      <c r="Q729" s="4">
        <v>25.710999999999999</v>
      </c>
      <c r="R729" s="10"/>
    </row>
    <row r="730" spans="1:18" x14ac:dyDescent="0.3">
      <c r="A730" t="s">
        <v>2</v>
      </c>
      <c r="B730" s="3" t="s">
        <v>280</v>
      </c>
      <c r="C730" s="2">
        <v>43327</v>
      </c>
      <c r="D730" s="9">
        <v>0.1701388888888889</v>
      </c>
      <c r="E730" s="3">
        <f t="shared" ca="1" si="11"/>
        <v>180210439</v>
      </c>
      <c r="F730" t="s">
        <v>12</v>
      </c>
      <c r="G730" t="s">
        <v>15</v>
      </c>
      <c r="H730" s="1" t="s">
        <v>235</v>
      </c>
      <c r="I730" t="s">
        <v>22</v>
      </c>
      <c r="J730" s="4">
        <v>9.1</v>
      </c>
      <c r="K730" s="4">
        <v>64.180000000000007</v>
      </c>
      <c r="L730" s="4">
        <v>4</v>
      </c>
      <c r="M730" s="4">
        <v>68.540000000000006</v>
      </c>
      <c r="N730" s="4">
        <v>120.1776</v>
      </c>
      <c r="O730" s="4">
        <v>389.04</v>
      </c>
      <c r="P730" s="4">
        <v>3.8764546470000001</v>
      </c>
      <c r="Q730" s="4">
        <v>63.634</v>
      </c>
      <c r="R730" s="10"/>
    </row>
    <row r="731" spans="1:18" x14ac:dyDescent="0.3">
      <c r="A731" t="s">
        <v>3</v>
      </c>
      <c r="B731" s="3" t="s">
        <v>281</v>
      </c>
      <c r="C731" s="2">
        <v>43027</v>
      </c>
      <c r="D731" s="9">
        <v>0.47152777777777777</v>
      </c>
      <c r="E731" s="3">
        <f t="shared" ca="1" si="11"/>
        <v>10270293</v>
      </c>
      <c r="F731" t="s">
        <v>11</v>
      </c>
      <c r="G731" t="s">
        <v>14</v>
      </c>
      <c r="H731" s="1" t="s">
        <v>236</v>
      </c>
      <c r="I731" t="s">
        <v>19</v>
      </c>
      <c r="J731" s="4">
        <v>4.0999999999999996</v>
      </c>
      <c r="K731" s="4">
        <v>73.837999999999994</v>
      </c>
      <c r="L731" s="4">
        <v>7</v>
      </c>
      <c r="M731" s="4">
        <v>82.14</v>
      </c>
      <c r="N731" s="4">
        <v>189.45840000000001</v>
      </c>
      <c r="O731" s="4">
        <v>365.26</v>
      </c>
      <c r="P731" s="4">
        <v>3.8764546470000001</v>
      </c>
      <c r="Q731" s="4">
        <v>98.292000000000002</v>
      </c>
      <c r="R731" s="10"/>
    </row>
    <row r="732" spans="1:18" ht="28.8" x14ac:dyDescent="0.3">
      <c r="A732" t="s">
        <v>1</v>
      </c>
      <c r="B732" s="3" t="s">
        <v>279</v>
      </c>
      <c r="C732" s="2">
        <v>42960</v>
      </c>
      <c r="D732" s="9">
        <v>0.84097222222222223</v>
      </c>
      <c r="E732" s="3">
        <f t="shared" ca="1" si="11"/>
        <v>946744256</v>
      </c>
      <c r="F732" t="s">
        <v>11</v>
      </c>
      <c r="G732" t="s">
        <v>14</v>
      </c>
      <c r="H732" s="1" t="s">
        <v>237</v>
      </c>
      <c r="I732" t="s">
        <v>22</v>
      </c>
      <c r="J732" s="4">
        <v>5.9</v>
      </c>
      <c r="K732" s="4">
        <v>66.14</v>
      </c>
      <c r="L732" s="4">
        <v>4</v>
      </c>
      <c r="M732" s="4">
        <v>40.64</v>
      </c>
      <c r="N732" s="4">
        <v>100.4727</v>
      </c>
      <c r="O732" s="4">
        <v>89.28</v>
      </c>
      <c r="P732" s="4">
        <v>3.8764546470000001</v>
      </c>
      <c r="Q732" s="4">
        <v>28.4</v>
      </c>
      <c r="R732" s="10"/>
    </row>
    <row r="733" spans="1:18" x14ac:dyDescent="0.3">
      <c r="A733" t="s">
        <v>1</v>
      </c>
      <c r="B733" s="3" t="s">
        <v>279</v>
      </c>
      <c r="C733" s="2">
        <v>43067</v>
      </c>
      <c r="D733" s="9">
        <v>1.4583333333333334E-2</v>
      </c>
      <c r="E733" s="3">
        <f t="shared" ca="1" si="11"/>
        <v>442145226</v>
      </c>
      <c r="F733" t="s">
        <v>12</v>
      </c>
      <c r="G733" t="s">
        <v>15</v>
      </c>
      <c r="H733" s="1" t="s">
        <v>235</v>
      </c>
      <c r="I733" t="s">
        <v>17</v>
      </c>
      <c r="J733" s="4">
        <v>6.6</v>
      </c>
      <c r="K733" s="4">
        <v>57.7</v>
      </c>
      <c r="L733" s="4">
        <v>3</v>
      </c>
      <c r="M733" s="4">
        <v>30.59</v>
      </c>
      <c r="N733" s="4">
        <v>111.94159999999999</v>
      </c>
      <c r="O733" s="4">
        <v>168</v>
      </c>
      <c r="P733" s="4">
        <v>3.8764546470000001</v>
      </c>
      <c r="Q733" s="4">
        <v>89.867000000000004</v>
      </c>
      <c r="R733" s="10"/>
    </row>
    <row r="734" spans="1:18" x14ac:dyDescent="0.3">
      <c r="A734" t="s">
        <v>1</v>
      </c>
      <c r="B734" s="3" t="s">
        <v>279</v>
      </c>
      <c r="C734" s="2">
        <v>43105</v>
      </c>
      <c r="D734" s="9">
        <v>0.88958333333333328</v>
      </c>
      <c r="E734" s="3">
        <f t="shared" ca="1" si="11"/>
        <v>727061021</v>
      </c>
      <c r="F734" t="s">
        <v>12</v>
      </c>
      <c r="G734" t="s">
        <v>14</v>
      </c>
      <c r="H734" s="1" t="s">
        <v>235</v>
      </c>
      <c r="I734" t="s">
        <v>22</v>
      </c>
      <c r="J734" s="4">
        <v>2.2999999999999998</v>
      </c>
      <c r="K734" s="4">
        <v>17.850000000000001</v>
      </c>
      <c r="L734" s="4">
        <v>1</v>
      </c>
      <c r="M734" s="4">
        <v>22.83</v>
      </c>
      <c r="N734" s="4">
        <v>150.423</v>
      </c>
      <c r="O734" s="4">
        <v>19.7</v>
      </c>
      <c r="P734" s="4">
        <v>3.8764546470000001</v>
      </c>
      <c r="Q734" s="4">
        <v>88.185000000000002</v>
      </c>
      <c r="R734" s="10"/>
    </row>
    <row r="735" spans="1:18" x14ac:dyDescent="0.3">
      <c r="A735" t="s">
        <v>3</v>
      </c>
      <c r="B735" s="3" t="s">
        <v>281</v>
      </c>
      <c r="C735" s="2">
        <v>43151</v>
      </c>
      <c r="D735" s="9">
        <v>0.16041666666666668</v>
      </c>
      <c r="E735" s="3">
        <f t="shared" ca="1" si="11"/>
        <v>594287482</v>
      </c>
      <c r="F735" t="s">
        <v>12</v>
      </c>
      <c r="G735" t="s">
        <v>15</v>
      </c>
      <c r="H735" s="1" t="s">
        <v>235</v>
      </c>
      <c r="I735" t="s">
        <v>18</v>
      </c>
      <c r="J735" s="4">
        <v>7</v>
      </c>
      <c r="K735" s="4">
        <v>51.49</v>
      </c>
      <c r="L735" s="4">
        <v>7</v>
      </c>
      <c r="M735" s="4">
        <v>87.49</v>
      </c>
      <c r="N735" s="4">
        <v>114.23350000000001</v>
      </c>
      <c r="O735" s="4">
        <v>531.16</v>
      </c>
      <c r="P735" s="4">
        <v>3.8764546470000001</v>
      </c>
      <c r="Q735" s="4">
        <v>54.17</v>
      </c>
      <c r="R735" s="10"/>
    </row>
    <row r="736" spans="1:18" x14ac:dyDescent="0.3">
      <c r="A736" t="s">
        <v>3</v>
      </c>
      <c r="B736" s="3" t="s">
        <v>281</v>
      </c>
      <c r="C736" s="2">
        <v>43248</v>
      </c>
      <c r="D736" s="9">
        <v>1.4583333333333334E-2</v>
      </c>
      <c r="E736" s="3">
        <f t="shared" ca="1" si="11"/>
        <v>998751977</v>
      </c>
      <c r="F736" t="s">
        <v>12</v>
      </c>
      <c r="G736" t="s">
        <v>14</v>
      </c>
      <c r="H736" s="1" t="s">
        <v>235</v>
      </c>
      <c r="I736" t="s">
        <v>21</v>
      </c>
      <c r="J736" s="4">
        <v>9</v>
      </c>
      <c r="K736" s="4">
        <v>76.930000000000007</v>
      </c>
      <c r="L736" s="4">
        <v>1</v>
      </c>
      <c r="M736" s="4">
        <v>51.21</v>
      </c>
      <c r="N736" s="4">
        <v>184.62799999999999</v>
      </c>
      <c r="O736" s="4">
        <v>53.72</v>
      </c>
      <c r="P736" s="4">
        <v>3.8764546470000001</v>
      </c>
      <c r="Q736" s="4">
        <v>99.522999999999996</v>
      </c>
      <c r="R736" s="10"/>
    </row>
    <row r="737" spans="1:18" ht="28.8" x14ac:dyDescent="0.3">
      <c r="A737" t="s">
        <v>2</v>
      </c>
      <c r="B737" s="3" t="s">
        <v>280</v>
      </c>
      <c r="C737" s="2">
        <v>43372</v>
      </c>
      <c r="D737" s="9">
        <v>0.94791666666666663</v>
      </c>
      <c r="E737" s="3">
        <f t="shared" ca="1" si="11"/>
        <v>332580531</v>
      </c>
      <c r="F737" t="s">
        <v>12</v>
      </c>
      <c r="G737" t="s">
        <v>14</v>
      </c>
      <c r="H737" s="1" t="s">
        <v>237</v>
      </c>
      <c r="I737" t="s">
        <v>17</v>
      </c>
      <c r="J737" s="4">
        <v>7</v>
      </c>
      <c r="K737" s="4">
        <v>73.745999999999995</v>
      </c>
      <c r="L737" s="4">
        <v>10</v>
      </c>
      <c r="M737" s="4">
        <v>98.76</v>
      </c>
      <c r="N737" s="4">
        <v>169.28469999999999</v>
      </c>
      <c r="O737" s="4">
        <v>819.5</v>
      </c>
      <c r="P737" s="4">
        <v>3.8764546470000001</v>
      </c>
      <c r="Q737" s="4">
        <v>11.068</v>
      </c>
      <c r="R737" s="10"/>
    </row>
    <row r="738" spans="1:18" ht="28.8" x14ac:dyDescent="0.3">
      <c r="A738" t="s">
        <v>2</v>
      </c>
      <c r="B738" s="3" t="s">
        <v>280</v>
      </c>
      <c r="C738" s="2">
        <v>43247</v>
      </c>
      <c r="D738" s="9">
        <v>0.79236111111111107</v>
      </c>
      <c r="E738" s="3">
        <f t="shared" ca="1" si="11"/>
        <v>193620992</v>
      </c>
      <c r="F738" t="s">
        <v>11</v>
      </c>
      <c r="G738" t="s">
        <v>14</v>
      </c>
      <c r="H738" s="1" t="s">
        <v>237</v>
      </c>
      <c r="I738" t="s">
        <v>19</v>
      </c>
      <c r="J738" s="4">
        <v>4</v>
      </c>
      <c r="K738" s="4">
        <v>67.319999999999993</v>
      </c>
      <c r="L738" s="4">
        <v>7</v>
      </c>
      <c r="M738" s="4">
        <v>80.2</v>
      </c>
      <c r="N738" s="4">
        <v>165.9</v>
      </c>
      <c r="O738" s="4">
        <v>568.4</v>
      </c>
      <c r="P738" s="4">
        <v>3.8764546470000001</v>
      </c>
      <c r="Q738" s="4">
        <v>94.277000000000001</v>
      </c>
      <c r="R738" s="10"/>
    </row>
    <row r="739" spans="1:18" x14ac:dyDescent="0.3">
      <c r="A739" t="s">
        <v>2</v>
      </c>
      <c r="B739" s="3" t="s">
        <v>280</v>
      </c>
      <c r="C739" s="2">
        <v>43283</v>
      </c>
      <c r="D739" s="9">
        <v>0.42777777777777776</v>
      </c>
      <c r="E739" s="3">
        <f t="shared" ca="1" si="11"/>
        <v>345411511</v>
      </c>
      <c r="F739" t="s">
        <v>12</v>
      </c>
      <c r="G739" t="s">
        <v>15</v>
      </c>
      <c r="H739" s="1" t="s">
        <v>235</v>
      </c>
      <c r="I739" t="s">
        <v>18</v>
      </c>
      <c r="J739" s="4">
        <v>5</v>
      </c>
      <c r="K739" s="4">
        <v>96.43</v>
      </c>
      <c r="L739" s="4">
        <v>10</v>
      </c>
      <c r="M739" s="4">
        <v>83.99</v>
      </c>
      <c r="N739" s="4">
        <v>173.1473</v>
      </c>
      <c r="O739" s="4">
        <v>587.6</v>
      </c>
      <c r="P739" s="4">
        <v>3.8764546470000001</v>
      </c>
      <c r="Q739" s="4">
        <v>99.397999999999996</v>
      </c>
      <c r="R739" s="10"/>
    </row>
    <row r="740" spans="1:18" x14ac:dyDescent="0.3">
      <c r="A740" t="s">
        <v>3</v>
      </c>
      <c r="B740" s="3" t="s">
        <v>281</v>
      </c>
      <c r="C740" s="2">
        <v>43033</v>
      </c>
      <c r="D740" s="9">
        <v>0.58333333333333337</v>
      </c>
      <c r="E740" s="3">
        <f t="shared" ca="1" si="11"/>
        <v>171956192</v>
      </c>
      <c r="F740" t="s">
        <v>12</v>
      </c>
      <c r="G740" t="s">
        <v>14</v>
      </c>
      <c r="H740" s="1" t="s">
        <v>235</v>
      </c>
      <c r="I740" t="s">
        <v>18</v>
      </c>
      <c r="J740" s="4">
        <v>9</v>
      </c>
      <c r="K740" s="4">
        <v>18.940000000000001</v>
      </c>
      <c r="L740" s="4">
        <v>8</v>
      </c>
      <c r="M740" s="4">
        <v>51.91</v>
      </c>
      <c r="N740" s="4">
        <v>162.857</v>
      </c>
      <c r="O740" s="4">
        <v>732.48</v>
      </c>
      <c r="P740" s="4">
        <v>3.8764546470000001</v>
      </c>
      <c r="Q740" s="4">
        <v>69.234999999999999</v>
      </c>
      <c r="R740" s="10"/>
    </row>
    <row r="741" spans="1:18" x14ac:dyDescent="0.3">
      <c r="A741" t="s">
        <v>1</v>
      </c>
      <c r="B741" s="3" t="s">
        <v>279</v>
      </c>
      <c r="C741" s="2">
        <v>42825</v>
      </c>
      <c r="D741" s="9">
        <v>0.64166666666666672</v>
      </c>
      <c r="E741" s="3">
        <f t="shared" ca="1" si="11"/>
        <v>338790047</v>
      </c>
      <c r="F741" t="s">
        <v>12</v>
      </c>
      <c r="G741" t="s">
        <v>15</v>
      </c>
      <c r="H741" s="1" t="s">
        <v>236</v>
      </c>
      <c r="I741" t="s">
        <v>19</v>
      </c>
      <c r="J741" s="4">
        <v>5</v>
      </c>
      <c r="K741" s="4">
        <v>49.4</v>
      </c>
      <c r="L741" s="4">
        <v>9</v>
      </c>
      <c r="M741" s="4">
        <v>96.68</v>
      </c>
      <c r="N741" s="4">
        <v>120.7032</v>
      </c>
      <c r="O741" s="4">
        <v>845.64</v>
      </c>
      <c r="P741" s="4">
        <v>3.8764546470000001</v>
      </c>
      <c r="Q741" s="4">
        <v>35.237000000000002</v>
      </c>
      <c r="R741" s="10"/>
    </row>
    <row r="742" spans="1:18" x14ac:dyDescent="0.3">
      <c r="A742" t="s">
        <v>2</v>
      </c>
      <c r="B742" s="3" t="s">
        <v>280</v>
      </c>
      <c r="C742" s="2">
        <v>43199</v>
      </c>
      <c r="D742" s="9">
        <v>0.20416666666666666</v>
      </c>
      <c r="E742" s="3">
        <f t="shared" ca="1" si="11"/>
        <v>708808888</v>
      </c>
      <c r="F742" t="s">
        <v>12</v>
      </c>
      <c r="G742" t="s">
        <v>15</v>
      </c>
      <c r="H742" s="1" t="s">
        <v>236</v>
      </c>
      <c r="I742" t="s">
        <v>19</v>
      </c>
      <c r="J742" s="4">
        <v>4</v>
      </c>
      <c r="K742" s="4">
        <v>57.82</v>
      </c>
      <c r="L742" s="4">
        <v>7</v>
      </c>
      <c r="M742" s="4">
        <v>74.14</v>
      </c>
      <c r="N742" s="4">
        <v>160.5</v>
      </c>
      <c r="O742" s="4">
        <v>389.27</v>
      </c>
      <c r="P742" s="4">
        <v>3.8764546470000001</v>
      </c>
      <c r="Q742" s="4">
        <v>53.39</v>
      </c>
      <c r="R742" s="10"/>
    </row>
    <row r="743" spans="1:18" x14ac:dyDescent="0.3">
      <c r="A743" t="s">
        <v>2</v>
      </c>
      <c r="B743" s="3" t="s">
        <v>280</v>
      </c>
      <c r="C743" s="2">
        <v>42983</v>
      </c>
      <c r="D743" s="9">
        <v>0.21388888888888888</v>
      </c>
      <c r="E743" s="3">
        <f t="shared" ca="1" si="11"/>
        <v>421964485</v>
      </c>
      <c r="F743" t="s">
        <v>12</v>
      </c>
      <c r="G743" t="s">
        <v>15</v>
      </c>
      <c r="H743" s="1" t="s">
        <v>235</v>
      </c>
      <c r="I743" t="s">
        <v>21</v>
      </c>
      <c r="J743" s="4">
        <v>1.2</v>
      </c>
      <c r="K743" s="4">
        <v>11.81</v>
      </c>
      <c r="L743" s="4">
        <v>1</v>
      </c>
      <c r="M743" s="4">
        <v>59.46</v>
      </c>
      <c r="N743" s="4">
        <v>166.6396</v>
      </c>
      <c r="O743" s="4">
        <v>84.83</v>
      </c>
      <c r="P743" s="4">
        <v>3.8764546470000001</v>
      </c>
      <c r="Q743" s="4">
        <v>81.5</v>
      </c>
      <c r="R743" s="10"/>
    </row>
    <row r="744" spans="1:18" x14ac:dyDescent="0.3">
      <c r="A744" t="s">
        <v>1</v>
      </c>
      <c r="B744" s="3" t="s">
        <v>279</v>
      </c>
      <c r="C744" s="2">
        <v>43249</v>
      </c>
      <c r="D744" s="9">
        <v>0.17499999999999999</v>
      </c>
      <c r="E744" s="3">
        <f t="shared" ca="1" si="11"/>
        <v>457323283</v>
      </c>
      <c r="F744" t="s">
        <v>11</v>
      </c>
      <c r="G744" t="s">
        <v>14</v>
      </c>
      <c r="H744" s="1" t="s">
        <v>235</v>
      </c>
      <c r="I744" t="s">
        <v>20</v>
      </c>
      <c r="J744" s="4">
        <v>4.5</v>
      </c>
      <c r="K744" s="4">
        <v>98.8</v>
      </c>
      <c r="L744" s="4">
        <v>2</v>
      </c>
      <c r="M744" s="4">
        <v>31.94</v>
      </c>
      <c r="N744" s="4">
        <v>124.25839999999999</v>
      </c>
      <c r="O744" s="4">
        <v>143.26</v>
      </c>
      <c r="P744" s="4">
        <v>3.8764546470000001</v>
      </c>
      <c r="Q744" s="4">
        <v>56.77</v>
      </c>
      <c r="R744" s="10"/>
    </row>
    <row r="745" spans="1:18" x14ac:dyDescent="0.3">
      <c r="A745" t="s">
        <v>1</v>
      </c>
      <c r="B745" s="3" t="s">
        <v>279</v>
      </c>
      <c r="C745" s="2">
        <v>42817</v>
      </c>
      <c r="D745" s="9">
        <v>0.77777777777777779</v>
      </c>
      <c r="E745" s="3">
        <f t="shared" ca="1" si="11"/>
        <v>362573699</v>
      </c>
      <c r="F745" t="s">
        <v>12</v>
      </c>
      <c r="G745" t="s">
        <v>14</v>
      </c>
      <c r="H745" s="1" t="s">
        <v>235</v>
      </c>
      <c r="I745" t="s">
        <v>19</v>
      </c>
      <c r="J745" s="4">
        <v>3</v>
      </c>
      <c r="K745" s="4">
        <v>25.946999999999999</v>
      </c>
      <c r="L745" s="4">
        <v>2</v>
      </c>
      <c r="M745" s="4">
        <v>84.76</v>
      </c>
      <c r="N745" s="4">
        <v>168.37739999999999</v>
      </c>
      <c r="O745" s="4">
        <v>75.38</v>
      </c>
      <c r="P745" s="4">
        <v>3.8764546470000001</v>
      </c>
      <c r="Q745" s="4">
        <v>89.27</v>
      </c>
      <c r="R745" s="10"/>
    </row>
    <row r="746" spans="1:18" ht="28.8" x14ac:dyDescent="0.3">
      <c r="A746" t="s">
        <v>2</v>
      </c>
      <c r="B746" s="3" t="s">
        <v>280</v>
      </c>
      <c r="C746" s="2">
        <v>43234</v>
      </c>
      <c r="D746" s="9">
        <v>0.79722222222222228</v>
      </c>
      <c r="E746" s="3">
        <f t="shared" ca="1" si="11"/>
        <v>556561362</v>
      </c>
      <c r="F746" t="s">
        <v>11</v>
      </c>
      <c r="G746" t="s">
        <v>14</v>
      </c>
      <c r="H746" s="1" t="s">
        <v>237</v>
      </c>
      <c r="I746" t="s">
        <v>20</v>
      </c>
      <c r="J746" s="4">
        <v>1.3</v>
      </c>
      <c r="K746" s="4">
        <v>95.68</v>
      </c>
      <c r="L746" s="4">
        <v>8</v>
      </c>
      <c r="M746" s="4">
        <v>56.47</v>
      </c>
      <c r="N746" s="4">
        <v>138.49690000000001</v>
      </c>
      <c r="O746" s="4">
        <v>253.36</v>
      </c>
      <c r="P746" s="4">
        <v>3.8764546470000001</v>
      </c>
      <c r="Q746" s="4">
        <v>65.450999999999993</v>
      </c>
      <c r="R746" s="10"/>
    </row>
    <row r="747" spans="1:18" x14ac:dyDescent="0.3">
      <c r="A747" t="s">
        <v>2</v>
      </c>
      <c r="B747" s="3" t="s">
        <v>280</v>
      </c>
      <c r="C747" s="2">
        <v>43225</v>
      </c>
      <c r="D747" s="9">
        <v>0.12152777777777778</v>
      </c>
      <c r="E747" s="3">
        <f t="shared" ca="1" si="11"/>
        <v>621631870</v>
      </c>
      <c r="F747" t="s">
        <v>11</v>
      </c>
      <c r="G747" t="s">
        <v>14</v>
      </c>
      <c r="H747" s="1" t="s">
        <v>236</v>
      </c>
      <c r="I747" t="s">
        <v>21</v>
      </c>
      <c r="J747" s="4">
        <v>9.9</v>
      </c>
      <c r="K747" s="4">
        <v>77.39</v>
      </c>
      <c r="L747" s="4">
        <v>1</v>
      </c>
      <c r="M747" s="4">
        <v>69.84</v>
      </c>
      <c r="N747" s="4">
        <v>118.6514</v>
      </c>
      <c r="O747" s="4">
        <v>38.42</v>
      </c>
      <c r="P747" s="4">
        <v>3.8764546470000001</v>
      </c>
      <c r="Q747" s="4">
        <v>26.132999999999999</v>
      </c>
      <c r="R747" s="10"/>
    </row>
    <row r="748" spans="1:18" ht="28.8" x14ac:dyDescent="0.3">
      <c r="A748" t="s">
        <v>3</v>
      </c>
      <c r="B748" s="3" t="s">
        <v>281</v>
      </c>
      <c r="C748" s="2">
        <v>43100</v>
      </c>
      <c r="D748" s="9">
        <v>0.51041666666666663</v>
      </c>
      <c r="E748" s="3">
        <f t="shared" ca="1" si="11"/>
        <v>843994704</v>
      </c>
      <c r="F748" t="s">
        <v>12</v>
      </c>
      <c r="G748" t="s">
        <v>14</v>
      </c>
      <c r="H748" s="1" t="s">
        <v>237</v>
      </c>
      <c r="I748" t="s">
        <v>22</v>
      </c>
      <c r="J748" s="4">
        <v>1.4</v>
      </c>
      <c r="K748" s="4">
        <v>32.576000000000001</v>
      </c>
      <c r="L748" s="4">
        <v>10</v>
      </c>
      <c r="M748" s="4">
        <v>85.75</v>
      </c>
      <c r="N748" s="4">
        <v>140.31110000000001</v>
      </c>
      <c r="O748" s="4">
        <v>652.29999999999995</v>
      </c>
      <c r="P748" s="4">
        <v>3.8764546470000001</v>
      </c>
      <c r="Q748" s="4">
        <v>92.206999999999994</v>
      </c>
      <c r="R748" s="10"/>
    </row>
    <row r="749" spans="1:18" ht="28.8" x14ac:dyDescent="0.3">
      <c r="A749" t="s">
        <v>2</v>
      </c>
      <c r="B749" s="3" t="s">
        <v>280</v>
      </c>
      <c r="C749" s="2">
        <v>43465</v>
      </c>
      <c r="D749" s="9">
        <v>0.2722222222222222</v>
      </c>
      <c r="E749" s="3">
        <f t="shared" ca="1" si="11"/>
        <v>215741064</v>
      </c>
      <c r="F749" t="s">
        <v>11</v>
      </c>
      <c r="G749" t="s">
        <v>14</v>
      </c>
      <c r="H749" s="1" t="s">
        <v>237</v>
      </c>
      <c r="I749" t="s">
        <v>19</v>
      </c>
      <c r="J749" s="4">
        <v>5.8</v>
      </c>
      <c r="K749" s="4">
        <v>10.6</v>
      </c>
      <c r="L749" s="4">
        <v>5</v>
      </c>
      <c r="M749" s="4">
        <v>22.69</v>
      </c>
      <c r="N749" s="4">
        <v>122.4119</v>
      </c>
      <c r="O749" s="4">
        <v>52.65</v>
      </c>
      <c r="P749" s="4">
        <v>3.8764546470000001</v>
      </c>
      <c r="Q749" s="4">
        <v>47.018000000000001</v>
      </c>
      <c r="R749" s="10"/>
    </row>
    <row r="750" spans="1:18" ht="28.8" x14ac:dyDescent="0.3">
      <c r="A750" t="s">
        <v>3</v>
      </c>
      <c r="B750" s="3" t="s">
        <v>281</v>
      </c>
      <c r="C750" s="2">
        <v>42886</v>
      </c>
      <c r="D750" s="9">
        <v>0.94791666666666663</v>
      </c>
      <c r="E750" s="3">
        <f t="shared" ca="1" si="11"/>
        <v>715957595</v>
      </c>
      <c r="F750" t="s">
        <v>11</v>
      </c>
      <c r="G750" t="s">
        <v>14</v>
      </c>
      <c r="H750" s="1" t="s">
        <v>237</v>
      </c>
      <c r="I750" t="s">
        <v>19</v>
      </c>
      <c r="J750" s="4">
        <v>9.1</v>
      </c>
      <c r="K750" s="4">
        <v>87.2</v>
      </c>
      <c r="L750" s="4">
        <v>9</v>
      </c>
      <c r="M750" s="4">
        <v>44.33</v>
      </c>
      <c r="N750" s="4">
        <v>119.4606</v>
      </c>
      <c r="O750" s="4">
        <v>110.61</v>
      </c>
      <c r="P750" s="4">
        <v>3.8764546470000001</v>
      </c>
      <c r="Q750" s="4">
        <v>39.56</v>
      </c>
      <c r="R750" s="10"/>
    </row>
    <row r="751" spans="1:18" x14ac:dyDescent="0.3">
      <c r="A751" t="s">
        <v>2</v>
      </c>
      <c r="B751" s="3" t="s">
        <v>280</v>
      </c>
      <c r="C751" s="2">
        <v>43014</v>
      </c>
      <c r="D751" s="9">
        <v>0.875</v>
      </c>
      <c r="E751" s="3">
        <f t="shared" ca="1" si="11"/>
        <v>234095434</v>
      </c>
      <c r="F751" t="s">
        <v>12</v>
      </c>
      <c r="G751" t="s">
        <v>14</v>
      </c>
      <c r="H751" s="1" t="s">
        <v>236</v>
      </c>
      <c r="I751" t="s">
        <v>17</v>
      </c>
      <c r="J751" s="4">
        <v>7.3</v>
      </c>
      <c r="K751" s="4">
        <v>17.93</v>
      </c>
      <c r="L751" s="4">
        <v>7</v>
      </c>
      <c r="M751" s="4">
        <v>44.59</v>
      </c>
      <c r="N751" s="4">
        <v>139.88720000000001</v>
      </c>
      <c r="O751" s="4">
        <v>568.61</v>
      </c>
      <c r="P751" s="4">
        <v>3.8764546470000001</v>
      </c>
      <c r="Q751" s="4">
        <v>90.296999999999997</v>
      </c>
      <c r="R751" s="10"/>
    </row>
    <row r="752" spans="1:18" x14ac:dyDescent="0.3">
      <c r="A752" t="s">
        <v>3</v>
      </c>
      <c r="B752" s="3" t="s">
        <v>281</v>
      </c>
      <c r="C752" s="2">
        <v>43392</v>
      </c>
      <c r="D752" s="9">
        <v>0.5444444444444444</v>
      </c>
      <c r="E752" s="3">
        <f t="shared" ca="1" si="11"/>
        <v>448597757</v>
      </c>
      <c r="F752" t="s">
        <v>11</v>
      </c>
      <c r="G752" t="s">
        <v>14</v>
      </c>
      <c r="H752" s="1" t="s">
        <v>235</v>
      </c>
      <c r="I752" t="s">
        <v>22</v>
      </c>
      <c r="J752" s="4">
        <v>2.4</v>
      </c>
      <c r="K752" s="4">
        <v>99.66</v>
      </c>
      <c r="L752" s="4">
        <v>4</v>
      </c>
      <c r="M752" s="4">
        <v>96.9</v>
      </c>
      <c r="N752" s="4">
        <v>135.7396</v>
      </c>
      <c r="O752" s="4">
        <v>89.28</v>
      </c>
      <c r="P752" s="4">
        <v>3.8764546470000001</v>
      </c>
      <c r="Q752" s="4">
        <v>71.239999999999995</v>
      </c>
      <c r="R752" s="10"/>
    </row>
    <row r="753" spans="1:18" ht="28.8" x14ac:dyDescent="0.3">
      <c r="A753" t="s">
        <v>1</v>
      </c>
      <c r="B753" s="3" t="s">
        <v>279</v>
      </c>
      <c r="C753" s="2">
        <v>43104</v>
      </c>
      <c r="D753" s="9">
        <v>0.16041666666666668</v>
      </c>
      <c r="E753" s="3">
        <f t="shared" ca="1" si="11"/>
        <v>482406512</v>
      </c>
      <c r="F753" t="s">
        <v>11</v>
      </c>
      <c r="G753" t="s">
        <v>15</v>
      </c>
      <c r="H753" s="1" t="s">
        <v>237</v>
      </c>
      <c r="I753" t="s">
        <v>21</v>
      </c>
      <c r="J753" s="4">
        <v>6.5</v>
      </c>
      <c r="K753" s="4">
        <v>96.53</v>
      </c>
      <c r="L753" s="4">
        <v>5</v>
      </c>
      <c r="M753" s="4">
        <v>17.559999999999999</v>
      </c>
      <c r="N753" s="4">
        <v>163.36510000000001</v>
      </c>
      <c r="O753" s="4">
        <v>136.4</v>
      </c>
      <c r="P753" s="4">
        <v>3.8764546470000001</v>
      </c>
      <c r="Q753" s="4">
        <v>36.222999999999999</v>
      </c>
      <c r="R753" s="10"/>
    </row>
    <row r="754" spans="1:18" x14ac:dyDescent="0.3">
      <c r="A754" t="s">
        <v>1</v>
      </c>
      <c r="B754" s="3" t="s">
        <v>279</v>
      </c>
      <c r="C754" s="2">
        <v>43140</v>
      </c>
      <c r="D754" s="9">
        <v>0.65138888888888891</v>
      </c>
      <c r="E754" s="3">
        <f t="shared" ca="1" si="11"/>
        <v>592370507</v>
      </c>
      <c r="F754" t="s">
        <v>11</v>
      </c>
      <c r="G754" t="s">
        <v>14</v>
      </c>
      <c r="H754" s="1" t="s">
        <v>235</v>
      </c>
      <c r="I754" t="s">
        <v>18</v>
      </c>
      <c r="J754" s="4">
        <v>2.6</v>
      </c>
      <c r="K754" s="4">
        <v>46.904000000000003</v>
      </c>
      <c r="L754" s="4">
        <v>10</v>
      </c>
      <c r="M754" s="4">
        <v>27.48</v>
      </c>
      <c r="N754" s="4">
        <v>167.56710000000001</v>
      </c>
      <c r="O754" s="4">
        <v>174.2</v>
      </c>
      <c r="P754" s="4">
        <v>3.8764546470000001</v>
      </c>
      <c r="Q754" s="4">
        <v>53.192</v>
      </c>
      <c r="R754" s="10"/>
    </row>
    <row r="755" spans="1:18" x14ac:dyDescent="0.3">
      <c r="A755" t="s">
        <v>3</v>
      </c>
      <c r="B755" s="3" t="s">
        <v>281</v>
      </c>
      <c r="C755" s="2">
        <v>43081</v>
      </c>
      <c r="D755" s="9">
        <v>0.87986111111111109</v>
      </c>
      <c r="E755" s="3">
        <f t="shared" ca="1" si="11"/>
        <v>842381425</v>
      </c>
      <c r="F755" t="s">
        <v>12</v>
      </c>
      <c r="G755" t="s">
        <v>15</v>
      </c>
      <c r="H755" s="1" t="s">
        <v>235</v>
      </c>
      <c r="I755" t="s">
        <v>19</v>
      </c>
      <c r="J755" s="4">
        <v>4.9000000000000004</v>
      </c>
      <c r="K755" s="4">
        <v>30.4</v>
      </c>
      <c r="L755" s="4">
        <v>5</v>
      </c>
      <c r="M755" s="4">
        <v>23.99</v>
      </c>
      <c r="N755" s="4">
        <v>106.3506</v>
      </c>
      <c r="O755" s="4">
        <v>366.4</v>
      </c>
      <c r="P755" s="4">
        <v>3.8764546470000001</v>
      </c>
      <c r="Q755" s="4">
        <v>42.21</v>
      </c>
      <c r="R755" s="10"/>
    </row>
    <row r="756" spans="1:18" x14ac:dyDescent="0.3">
      <c r="A756" t="s">
        <v>2</v>
      </c>
      <c r="B756" s="3" t="s">
        <v>280</v>
      </c>
      <c r="C756" s="2">
        <v>43091</v>
      </c>
      <c r="D756" s="9">
        <v>0.72916666666666663</v>
      </c>
      <c r="E756" s="3">
        <f t="shared" ca="1" si="11"/>
        <v>32981001</v>
      </c>
      <c r="F756" t="s">
        <v>11</v>
      </c>
      <c r="G756" t="s">
        <v>14</v>
      </c>
      <c r="H756" s="1" t="s">
        <v>235</v>
      </c>
      <c r="I756" t="s">
        <v>22</v>
      </c>
      <c r="J756" s="4">
        <v>1.4</v>
      </c>
      <c r="K756" s="4">
        <v>39.32</v>
      </c>
      <c r="L756" s="4">
        <v>3</v>
      </c>
      <c r="M756" s="4">
        <v>87.43</v>
      </c>
      <c r="N756" s="4">
        <v>139.899</v>
      </c>
      <c r="O756" s="4">
        <v>254.61</v>
      </c>
      <c r="P756" s="4">
        <v>3.8764546470000001</v>
      </c>
      <c r="Q756" s="4">
        <v>90.358999999999995</v>
      </c>
      <c r="R756" s="10"/>
    </row>
    <row r="757" spans="1:18" ht="28.8" x14ac:dyDescent="0.3">
      <c r="A757" t="s">
        <v>1</v>
      </c>
      <c r="B757" s="3" t="s">
        <v>279</v>
      </c>
      <c r="C757" s="2">
        <v>43046</v>
      </c>
      <c r="D757" s="9">
        <v>0.58819444444444446</v>
      </c>
      <c r="E757" s="3">
        <f t="shared" ca="1" si="11"/>
        <v>470302553</v>
      </c>
      <c r="F757" t="s">
        <v>11</v>
      </c>
      <c r="G757" t="s">
        <v>15</v>
      </c>
      <c r="H757" s="1" t="s">
        <v>237</v>
      </c>
      <c r="I757" t="s">
        <v>22</v>
      </c>
      <c r="J757" s="4">
        <v>5.0999999999999996</v>
      </c>
      <c r="K757" s="4">
        <v>96.897999999999996</v>
      </c>
      <c r="L757" s="4">
        <v>8</v>
      </c>
      <c r="M757" s="4">
        <v>26.74</v>
      </c>
      <c r="N757" s="4">
        <v>140.4</v>
      </c>
      <c r="O757" s="4">
        <v>778.32</v>
      </c>
      <c r="P757" s="4">
        <v>3.8764546470000001</v>
      </c>
      <c r="Q757" s="4">
        <v>36.893000000000001</v>
      </c>
      <c r="R757" s="10"/>
    </row>
    <row r="758" spans="1:18" x14ac:dyDescent="0.3">
      <c r="A758" t="s">
        <v>3</v>
      </c>
      <c r="B758" s="3" t="s">
        <v>281</v>
      </c>
      <c r="C758" s="2">
        <v>43181</v>
      </c>
      <c r="D758" s="9">
        <v>0.63194444444444442</v>
      </c>
      <c r="E758" s="3">
        <f t="shared" ca="1" si="11"/>
        <v>592613107</v>
      </c>
      <c r="F758" t="s">
        <v>11</v>
      </c>
      <c r="G758" t="s">
        <v>14</v>
      </c>
      <c r="H758" s="1" t="s">
        <v>235</v>
      </c>
      <c r="I758" t="s">
        <v>18</v>
      </c>
      <c r="J758" s="4">
        <v>10</v>
      </c>
      <c r="K758" s="4">
        <v>14.86</v>
      </c>
      <c r="L758" s="4">
        <v>8</v>
      </c>
      <c r="M758" s="4">
        <v>47.56</v>
      </c>
      <c r="N758" s="4">
        <v>149.30000000000001</v>
      </c>
      <c r="O758" s="4">
        <v>285.92</v>
      </c>
      <c r="P758" s="4">
        <v>3.8764546470000001</v>
      </c>
      <c r="Q758" s="4">
        <v>14.343</v>
      </c>
      <c r="R758" s="10"/>
    </row>
    <row r="759" spans="1:18" x14ac:dyDescent="0.3">
      <c r="A759" t="s">
        <v>1</v>
      </c>
      <c r="B759" s="3" t="s">
        <v>279</v>
      </c>
      <c r="C759" s="2">
        <v>42985</v>
      </c>
      <c r="D759" s="9">
        <v>0.74861111111111112</v>
      </c>
      <c r="E759" s="3">
        <f t="shared" ca="1" si="11"/>
        <v>185460674</v>
      </c>
      <c r="F759" t="s">
        <v>11</v>
      </c>
      <c r="G759" t="s">
        <v>15</v>
      </c>
      <c r="H759" s="1" t="s">
        <v>236</v>
      </c>
      <c r="I759" t="s">
        <v>19</v>
      </c>
      <c r="J759" s="4">
        <v>7</v>
      </c>
      <c r="K759" s="4">
        <v>23.84</v>
      </c>
      <c r="L759" s="4">
        <v>6</v>
      </c>
      <c r="M759" s="4">
        <v>39.15</v>
      </c>
      <c r="N759" s="4">
        <v>128.19999999999999</v>
      </c>
      <c r="O759" s="4">
        <v>579.12</v>
      </c>
      <c r="P759" s="4">
        <v>3.8764546470000001</v>
      </c>
      <c r="Q759" s="4">
        <v>54.267000000000003</v>
      </c>
      <c r="R759" s="10"/>
    </row>
    <row r="760" spans="1:18" x14ac:dyDescent="0.3">
      <c r="A760" t="s">
        <v>1</v>
      </c>
      <c r="B760" s="3" t="s">
        <v>279</v>
      </c>
      <c r="C760" s="2">
        <v>43023</v>
      </c>
      <c r="D760" s="9">
        <v>0.96736111111111112</v>
      </c>
      <c r="E760" s="3">
        <f t="shared" ca="1" si="11"/>
        <v>388589967</v>
      </c>
      <c r="F760" t="s">
        <v>12</v>
      </c>
      <c r="G760" t="s">
        <v>14</v>
      </c>
      <c r="H760" s="1" t="s">
        <v>235</v>
      </c>
      <c r="I760" t="s">
        <v>21</v>
      </c>
      <c r="J760" s="4">
        <v>6</v>
      </c>
      <c r="K760" s="4">
        <v>17.193000000000001</v>
      </c>
      <c r="L760" s="4">
        <v>10</v>
      </c>
      <c r="M760" s="4">
        <v>13.78</v>
      </c>
      <c r="N760" s="4">
        <v>113.7</v>
      </c>
      <c r="O760" s="4">
        <v>188.5</v>
      </c>
      <c r="P760" s="4">
        <v>3.8764546470000001</v>
      </c>
      <c r="Q760" s="4">
        <v>83.492999999999995</v>
      </c>
      <c r="R760" s="10"/>
    </row>
    <row r="761" spans="1:18" x14ac:dyDescent="0.3">
      <c r="A761" t="s">
        <v>1</v>
      </c>
      <c r="B761" s="3" t="s">
        <v>279</v>
      </c>
      <c r="C761" s="2">
        <v>43052</v>
      </c>
      <c r="D761" s="9">
        <v>0.70486111111111116</v>
      </c>
      <c r="E761" s="3">
        <f t="shared" ca="1" si="11"/>
        <v>286193442</v>
      </c>
      <c r="F761" t="s">
        <v>11</v>
      </c>
      <c r="G761" t="s">
        <v>15</v>
      </c>
      <c r="H761" s="1" t="s">
        <v>235</v>
      </c>
      <c r="I761" t="s">
        <v>21</v>
      </c>
      <c r="J761" s="4">
        <v>5</v>
      </c>
      <c r="K761" s="4">
        <v>15.83</v>
      </c>
      <c r="L761" s="4">
        <v>4</v>
      </c>
      <c r="M761" s="4">
        <v>91.72</v>
      </c>
      <c r="N761" s="4">
        <v>124.5</v>
      </c>
      <c r="O761" s="4">
        <v>221.56</v>
      </c>
      <c r="P761" s="4">
        <v>3.8764546470000001</v>
      </c>
      <c r="Q761" s="4">
        <v>85.07</v>
      </c>
      <c r="R761" s="10"/>
    </row>
    <row r="762" spans="1:18" ht="28.8" x14ac:dyDescent="0.3">
      <c r="A762" t="s">
        <v>3</v>
      </c>
      <c r="B762" s="3" t="s">
        <v>281</v>
      </c>
      <c r="C762" s="2">
        <v>42946</v>
      </c>
      <c r="D762" s="9">
        <v>0.52986111111111112</v>
      </c>
      <c r="E762" s="3">
        <f t="shared" ca="1" si="11"/>
        <v>238778337</v>
      </c>
      <c r="F762" t="s">
        <v>11</v>
      </c>
      <c r="G762" t="s">
        <v>14</v>
      </c>
      <c r="H762" s="1" t="s">
        <v>237</v>
      </c>
      <c r="I762" t="s">
        <v>21</v>
      </c>
      <c r="J762" s="4">
        <v>9</v>
      </c>
      <c r="K762" s="4">
        <v>50.88</v>
      </c>
      <c r="L762" s="4">
        <v>10</v>
      </c>
      <c r="M762" s="4">
        <v>59.83</v>
      </c>
      <c r="N762" s="4">
        <v>158.1</v>
      </c>
      <c r="O762" s="4">
        <v>772</v>
      </c>
      <c r="P762" s="4">
        <v>3.8764546470000001</v>
      </c>
      <c r="Q762" s="4">
        <v>55.36</v>
      </c>
      <c r="R762" s="10"/>
    </row>
    <row r="763" spans="1:18" ht="28.8" x14ac:dyDescent="0.3">
      <c r="A763" t="s">
        <v>3</v>
      </c>
      <c r="B763" s="3" t="s">
        <v>281</v>
      </c>
      <c r="C763" s="2">
        <v>42902</v>
      </c>
      <c r="D763" s="9">
        <v>3.4027777777777775E-2</v>
      </c>
      <c r="E763" s="3">
        <f t="shared" ca="1" si="11"/>
        <v>300134173</v>
      </c>
      <c r="F763" t="s">
        <v>12</v>
      </c>
      <c r="G763" t="s">
        <v>15</v>
      </c>
      <c r="H763" s="1" t="s">
        <v>237</v>
      </c>
      <c r="I763" t="s">
        <v>18</v>
      </c>
      <c r="J763" s="4">
        <v>6</v>
      </c>
      <c r="K763" s="4">
        <v>20.12</v>
      </c>
      <c r="L763" s="4">
        <v>10</v>
      </c>
      <c r="M763" s="4">
        <v>84.98</v>
      </c>
      <c r="N763" s="4">
        <v>163.6</v>
      </c>
      <c r="O763" s="4">
        <v>721.3</v>
      </c>
      <c r="P763" s="4">
        <v>3.8764546470000001</v>
      </c>
      <c r="Q763" s="4">
        <v>93.52</v>
      </c>
      <c r="R763" s="10"/>
    </row>
    <row r="764" spans="1:18" x14ac:dyDescent="0.3">
      <c r="A764" t="s">
        <v>1</v>
      </c>
      <c r="B764" s="3" t="s">
        <v>279</v>
      </c>
      <c r="C764" s="2">
        <v>43220</v>
      </c>
      <c r="D764" s="9">
        <v>0.27708333333333335</v>
      </c>
      <c r="E764" s="3">
        <f t="shared" ca="1" si="11"/>
        <v>967215698</v>
      </c>
      <c r="F764" t="s">
        <v>11</v>
      </c>
      <c r="G764" t="s">
        <v>14</v>
      </c>
      <c r="H764" s="1" t="s">
        <v>235</v>
      </c>
      <c r="I764" t="s">
        <v>22</v>
      </c>
      <c r="J764" s="4">
        <v>1.7</v>
      </c>
      <c r="K764" s="4">
        <v>18.835999999999999</v>
      </c>
      <c r="L764" s="4">
        <v>8</v>
      </c>
      <c r="M764" s="4">
        <v>61.82</v>
      </c>
      <c r="N764" s="4">
        <v>153.1</v>
      </c>
      <c r="O764" s="4">
        <v>511.04</v>
      </c>
      <c r="P764" s="4">
        <v>3.8764546470000001</v>
      </c>
      <c r="Q764" s="4">
        <v>38.97</v>
      </c>
      <c r="R764" s="10"/>
    </row>
    <row r="765" spans="1:18" x14ac:dyDescent="0.3">
      <c r="A765" t="s">
        <v>1</v>
      </c>
      <c r="B765" s="3" t="s">
        <v>279</v>
      </c>
      <c r="C765" s="2">
        <v>43400</v>
      </c>
      <c r="D765" s="9">
        <v>0.88472222222222219</v>
      </c>
      <c r="E765" s="3">
        <f t="shared" ca="1" si="11"/>
        <v>166338481</v>
      </c>
      <c r="F765" t="s">
        <v>11</v>
      </c>
      <c r="G765" t="s">
        <v>14</v>
      </c>
      <c r="H765" s="1" t="s">
        <v>235</v>
      </c>
      <c r="I765" t="s">
        <v>17</v>
      </c>
      <c r="J765" s="4">
        <v>9.1</v>
      </c>
      <c r="K765" s="4">
        <v>93.78</v>
      </c>
      <c r="L765" s="4">
        <v>5</v>
      </c>
      <c r="M765" s="4">
        <v>57.62</v>
      </c>
      <c r="N765" s="4">
        <v>120.3</v>
      </c>
      <c r="O765" s="4">
        <v>53.45</v>
      </c>
      <c r="P765" s="4">
        <v>3.8764546470000001</v>
      </c>
      <c r="Q765" s="4">
        <v>84.07</v>
      </c>
      <c r="R765" s="10"/>
    </row>
    <row r="766" spans="1:18" ht="28.8" x14ac:dyDescent="0.3">
      <c r="A766" t="s">
        <v>1</v>
      </c>
      <c r="B766" s="3" t="s">
        <v>279</v>
      </c>
      <c r="C766" s="2">
        <v>43018</v>
      </c>
      <c r="D766" s="9">
        <v>0.24305555555555555</v>
      </c>
      <c r="E766" s="3">
        <f t="shared" ca="1" si="11"/>
        <v>976370044</v>
      </c>
      <c r="F766" t="s">
        <v>12</v>
      </c>
      <c r="G766" t="s">
        <v>14</v>
      </c>
      <c r="H766" s="1" t="s">
        <v>237</v>
      </c>
      <c r="I766" t="s">
        <v>17</v>
      </c>
      <c r="J766" s="4">
        <v>4.0999999999999996</v>
      </c>
      <c r="K766" s="4">
        <v>34.82</v>
      </c>
      <c r="L766" s="4">
        <v>4</v>
      </c>
      <c r="M766" s="4">
        <v>15.57</v>
      </c>
      <c r="N766" s="4">
        <v>139</v>
      </c>
      <c r="O766" s="4">
        <v>222</v>
      </c>
      <c r="P766" s="4">
        <v>3.8764546470000001</v>
      </c>
      <c r="Q766" s="4">
        <v>38.527999999999999</v>
      </c>
      <c r="R766" s="10"/>
    </row>
    <row r="767" spans="1:18" x14ac:dyDescent="0.3">
      <c r="A767" t="s">
        <v>3</v>
      </c>
      <c r="B767" s="3" t="s">
        <v>281</v>
      </c>
      <c r="C767" s="2">
        <v>43354</v>
      </c>
      <c r="D767" s="9">
        <v>0.42777777777777776</v>
      </c>
      <c r="E767" s="3">
        <f t="shared" ca="1" si="11"/>
        <v>962745295</v>
      </c>
      <c r="F767" t="s">
        <v>11</v>
      </c>
      <c r="G767" t="s">
        <v>15</v>
      </c>
      <c r="H767" s="1" t="s">
        <v>235</v>
      </c>
      <c r="I767" t="s">
        <v>19</v>
      </c>
      <c r="J767" s="4">
        <v>2.6</v>
      </c>
      <c r="K767" s="4">
        <v>97.016000000000005</v>
      </c>
      <c r="L767" s="4">
        <v>8</v>
      </c>
      <c r="M767" s="4">
        <v>68.37</v>
      </c>
      <c r="N767" s="4">
        <v>125.3</v>
      </c>
      <c r="O767" s="4">
        <v>763.68</v>
      </c>
      <c r="P767" s="4">
        <v>3.8764546470000001</v>
      </c>
      <c r="Q767" s="4">
        <v>66.061999999999998</v>
      </c>
      <c r="R767" s="10"/>
    </row>
    <row r="768" spans="1:18" ht="28.8" x14ac:dyDescent="0.3">
      <c r="A768" t="s">
        <v>2</v>
      </c>
      <c r="B768" s="3" t="s">
        <v>280</v>
      </c>
      <c r="C768" s="2">
        <v>43246</v>
      </c>
      <c r="D768" s="9">
        <v>0.3840277777777778</v>
      </c>
      <c r="E768" s="3">
        <f t="shared" ca="1" si="11"/>
        <v>918488721</v>
      </c>
      <c r="F768" t="s">
        <v>11</v>
      </c>
      <c r="G768" t="s">
        <v>15</v>
      </c>
      <c r="H768" s="1" t="s">
        <v>237</v>
      </c>
      <c r="I768" t="s">
        <v>22</v>
      </c>
      <c r="J768" s="4">
        <v>5</v>
      </c>
      <c r="K768" s="4">
        <v>56.087000000000003</v>
      </c>
      <c r="L768" s="4">
        <v>3</v>
      </c>
      <c r="M768" s="4">
        <v>39.86</v>
      </c>
      <c r="N768" s="4">
        <v>146.80000000000001</v>
      </c>
      <c r="O768" s="4">
        <v>228.18</v>
      </c>
      <c r="P768" s="4">
        <v>3.8764546470000001</v>
      </c>
      <c r="Q768" s="4">
        <v>60.600999999999999</v>
      </c>
      <c r="R768" s="10"/>
    </row>
    <row r="769" spans="1:18" x14ac:dyDescent="0.3">
      <c r="A769" t="s">
        <v>3</v>
      </c>
      <c r="B769" s="3" t="s">
        <v>281</v>
      </c>
      <c r="C769" s="2">
        <v>43255</v>
      </c>
      <c r="D769" s="9">
        <v>0.39861111111111114</v>
      </c>
      <c r="E769" s="3">
        <f t="shared" ca="1" si="11"/>
        <v>519284854</v>
      </c>
      <c r="F769" t="s">
        <v>12</v>
      </c>
      <c r="G769" t="s">
        <v>15</v>
      </c>
      <c r="H769" s="1" t="s">
        <v>236</v>
      </c>
      <c r="I769" t="s">
        <v>20</v>
      </c>
      <c r="J769" s="4">
        <v>6</v>
      </c>
      <c r="K769" s="4">
        <v>10.66</v>
      </c>
      <c r="L769" s="4">
        <v>6</v>
      </c>
      <c r="M769" s="4">
        <v>12.11</v>
      </c>
      <c r="N769" s="4">
        <v>104.8</v>
      </c>
      <c r="O769" s="4">
        <v>82.14</v>
      </c>
      <c r="P769" s="4">
        <v>3.8764546470000001</v>
      </c>
      <c r="Q769" s="4">
        <v>17.616</v>
      </c>
      <c r="R769" s="10"/>
    </row>
    <row r="770" spans="1:18" x14ac:dyDescent="0.3">
      <c r="A770" t="s">
        <v>3</v>
      </c>
      <c r="B770" s="3" t="s">
        <v>281</v>
      </c>
      <c r="C770" s="2">
        <v>43465</v>
      </c>
      <c r="D770" s="9">
        <v>0.87013888888888891</v>
      </c>
      <c r="E770" s="3">
        <f t="shared" ca="1" si="11"/>
        <v>803941302</v>
      </c>
      <c r="F770" t="s">
        <v>11</v>
      </c>
      <c r="G770" t="s">
        <v>15</v>
      </c>
      <c r="H770" s="1" t="s">
        <v>236</v>
      </c>
      <c r="I770" t="s">
        <v>18</v>
      </c>
      <c r="J770" s="4">
        <v>2.1</v>
      </c>
      <c r="K770" s="4">
        <v>63.3</v>
      </c>
      <c r="L770" s="4">
        <v>4</v>
      </c>
      <c r="M770" s="4">
        <v>90.09</v>
      </c>
      <c r="N770" s="4">
        <v>168.55959999999999</v>
      </c>
      <c r="O770" s="4">
        <v>382.56</v>
      </c>
      <c r="P770" s="4">
        <v>3.8764546470000001</v>
      </c>
      <c r="Q770" s="4">
        <v>76.111000000000004</v>
      </c>
      <c r="R770" s="10"/>
    </row>
    <row r="771" spans="1:18" x14ac:dyDescent="0.3">
      <c r="A771" t="s">
        <v>1</v>
      </c>
      <c r="B771" s="3" t="s">
        <v>279</v>
      </c>
      <c r="C771" s="2">
        <v>42961</v>
      </c>
      <c r="D771" s="9">
        <v>0.23819444444444443</v>
      </c>
      <c r="E771" s="3">
        <f t="shared" ref="E771:E834" ca="1" si="12">RANDBETWEEN(10000000,1000000000)</f>
        <v>692595363</v>
      </c>
      <c r="F771" t="s">
        <v>11</v>
      </c>
      <c r="G771" t="s">
        <v>15</v>
      </c>
      <c r="H771" s="1" t="s">
        <v>236</v>
      </c>
      <c r="I771" t="s">
        <v>19</v>
      </c>
      <c r="J771" s="4">
        <v>5.3</v>
      </c>
      <c r="K771" s="4">
        <v>76.302000000000007</v>
      </c>
      <c r="L771" s="4">
        <v>6</v>
      </c>
      <c r="M771" s="4">
        <v>32.99</v>
      </c>
      <c r="N771" s="4">
        <v>109.80159999999999</v>
      </c>
      <c r="O771" s="4">
        <v>68.58</v>
      </c>
      <c r="P771" s="4">
        <v>3.8764546470000001</v>
      </c>
      <c r="Q771" s="4">
        <v>28.63</v>
      </c>
      <c r="R771" s="10"/>
    </row>
    <row r="772" spans="1:18" x14ac:dyDescent="0.3">
      <c r="A772" t="s">
        <v>3</v>
      </c>
      <c r="B772" s="3" t="s">
        <v>281</v>
      </c>
      <c r="C772" s="2">
        <v>43051</v>
      </c>
      <c r="D772" s="9">
        <v>0.49583333333333335</v>
      </c>
      <c r="E772" s="3">
        <f t="shared" ca="1" si="12"/>
        <v>720073235</v>
      </c>
      <c r="F772" t="s">
        <v>11</v>
      </c>
      <c r="G772" t="s">
        <v>14</v>
      </c>
      <c r="H772" s="1" t="s">
        <v>235</v>
      </c>
      <c r="I772" t="s">
        <v>20</v>
      </c>
      <c r="J772" s="4">
        <v>8</v>
      </c>
      <c r="K772" s="4">
        <v>29.47</v>
      </c>
      <c r="L772" s="4">
        <v>4</v>
      </c>
      <c r="M772" s="4">
        <v>64.849999999999994</v>
      </c>
      <c r="N772" s="4">
        <v>150.2004</v>
      </c>
      <c r="O772" s="4">
        <v>382.16</v>
      </c>
      <c r="P772" s="4">
        <v>3.8764546470000001</v>
      </c>
      <c r="Q772" s="4">
        <v>18.09</v>
      </c>
      <c r="R772" s="10"/>
    </row>
    <row r="773" spans="1:18" ht="28.8" x14ac:dyDescent="0.3">
      <c r="A773" t="s">
        <v>2</v>
      </c>
      <c r="B773" s="3" t="s">
        <v>280</v>
      </c>
      <c r="C773" s="2">
        <v>43197</v>
      </c>
      <c r="D773" s="9">
        <v>0.62222222222222223</v>
      </c>
      <c r="E773" s="3">
        <f t="shared" ca="1" si="12"/>
        <v>252786496</v>
      </c>
      <c r="F773" t="s">
        <v>11</v>
      </c>
      <c r="G773" t="s">
        <v>14</v>
      </c>
      <c r="H773" s="1" t="s">
        <v>237</v>
      </c>
      <c r="I773" t="s">
        <v>17</v>
      </c>
      <c r="J773" s="4">
        <v>4.5</v>
      </c>
      <c r="K773" s="4">
        <v>49.366</v>
      </c>
      <c r="L773" s="4">
        <v>7</v>
      </c>
      <c r="M773" s="4">
        <v>60.38</v>
      </c>
      <c r="N773" s="4">
        <v>134.19839999999999</v>
      </c>
      <c r="O773" s="4">
        <v>601.09</v>
      </c>
      <c r="P773" s="4">
        <v>3.8764546470000001</v>
      </c>
      <c r="Q773" s="4">
        <v>35.258000000000003</v>
      </c>
      <c r="R773" s="10"/>
    </row>
    <row r="774" spans="1:18" x14ac:dyDescent="0.3">
      <c r="A774" t="s">
        <v>2</v>
      </c>
      <c r="B774" s="3" t="s">
        <v>280</v>
      </c>
      <c r="C774" s="2">
        <v>43389</v>
      </c>
      <c r="D774" s="9">
        <v>0.93819444444444444</v>
      </c>
      <c r="E774" s="3">
        <f t="shared" ca="1" si="12"/>
        <v>363448675</v>
      </c>
      <c r="F774" t="s">
        <v>11</v>
      </c>
      <c r="G774" t="s">
        <v>14</v>
      </c>
      <c r="H774" s="1" t="s">
        <v>235</v>
      </c>
      <c r="I774" t="s">
        <v>20</v>
      </c>
      <c r="J774" s="4">
        <v>4.2</v>
      </c>
      <c r="K774" s="4">
        <v>97.98</v>
      </c>
      <c r="L774" s="4">
        <v>7</v>
      </c>
      <c r="M774" s="4">
        <v>89.48</v>
      </c>
      <c r="N774" s="4">
        <v>127.1742</v>
      </c>
      <c r="O774" s="4">
        <v>475.93</v>
      </c>
      <c r="P774" s="4">
        <v>3.8764546470000001</v>
      </c>
      <c r="Q774" s="4">
        <v>89.611999999999995</v>
      </c>
      <c r="R774" s="10"/>
    </row>
    <row r="775" spans="1:18" ht="28.8" x14ac:dyDescent="0.3">
      <c r="A775" t="s">
        <v>2</v>
      </c>
      <c r="B775" s="3" t="s">
        <v>280</v>
      </c>
      <c r="C775" s="2">
        <v>42876</v>
      </c>
      <c r="D775" s="9">
        <v>0.69027777777777777</v>
      </c>
      <c r="E775" s="3">
        <f t="shared" ca="1" si="12"/>
        <v>413852775</v>
      </c>
      <c r="F775" t="s">
        <v>11</v>
      </c>
      <c r="G775" t="s">
        <v>15</v>
      </c>
      <c r="H775" s="1" t="s">
        <v>237</v>
      </c>
      <c r="I775" t="s">
        <v>21</v>
      </c>
      <c r="J775" s="4">
        <v>6</v>
      </c>
      <c r="K775" s="4">
        <v>24.23</v>
      </c>
      <c r="L775" s="4">
        <v>1</v>
      </c>
      <c r="M775" s="4">
        <v>94.09</v>
      </c>
      <c r="N775" s="4">
        <v>147.29499999999999</v>
      </c>
      <c r="O775" s="4">
        <v>52.42</v>
      </c>
      <c r="P775" s="4">
        <v>3.8764546470000001</v>
      </c>
      <c r="Q775" s="4">
        <v>11.477</v>
      </c>
      <c r="R775" s="10"/>
    </row>
    <row r="776" spans="1:18" x14ac:dyDescent="0.3">
      <c r="A776" t="s">
        <v>2</v>
      </c>
      <c r="B776" s="3" t="s">
        <v>280</v>
      </c>
      <c r="C776" s="2">
        <v>43334</v>
      </c>
      <c r="D776" s="9">
        <v>0.88472222222222219</v>
      </c>
      <c r="E776" s="3">
        <f t="shared" ca="1" si="12"/>
        <v>599986730</v>
      </c>
      <c r="F776" t="s">
        <v>12</v>
      </c>
      <c r="G776" t="s">
        <v>14</v>
      </c>
      <c r="H776" s="1" t="s">
        <v>236</v>
      </c>
      <c r="I776" t="s">
        <v>21</v>
      </c>
      <c r="J776" s="4">
        <v>1</v>
      </c>
      <c r="K776" s="4">
        <v>51.18</v>
      </c>
      <c r="L776" s="4">
        <v>2</v>
      </c>
      <c r="M776" s="4">
        <v>25.45</v>
      </c>
      <c r="N776" s="4">
        <v>117.4633</v>
      </c>
      <c r="O776" s="4">
        <v>131.30000000000001</v>
      </c>
      <c r="P776" s="4">
        <v>3.8764546470000001</v>
      </c>
      <c r="Q776" s="4">
        <v>90.061000000000007</v>
      </c>
      <c r="R776" s="10"/>
    </row>
    <row r="777" spans="1:18" ht="28.8" x14ac:dyDescent="0.3">
      <c r="A777" t="s">
        <v>3</v>
      </c>
      <c r="B777" s="3" t="s">
        <v>281</v>
      </c>
      <c r="C777" s="2">
        <v>43009</v>
      </c>
      <c r="D777" s="9">
        <v>0.81180555555555556</v>
      </c>
      <c r="E777" s="3">
        <f t="shared" ca="1" si="12"/>
        <v>115250053</v>
      </c>
      <c r="F777" t="s">
        <v>11</v>
      </c>
      <c r="G777" t="s">
        <v>15</v>
      </c>
      <c r="H777" s="1" t="s">
        <v>237</v>
      </c>
      <c r="I777" t="s">
        <v>21</v>
      </c>
      <c r="J777" s="4">
        <v>8</v>
      </c>
      <c r="K777" s="4">
        <v>12.009</v>
      </c>
      <c r="L777" s="4">
        <v>5</v>
      </c>
      <c r="M777" s="4">
        <v>32.31</v>
      </c>
      <c r="N777" s="4">
        <v>135.58080000000001</v>
      </c>
      <c r="O777" s="4">
        <v>144.30000000000001</v>
      </c>
      <c r="P777" s="4">
        <v>3.8764546470000001</v>
      </c>
      <c r="Q777" s="4">
        <v>60.534999999999997</v>
      </c>
      <c r="R777" s="10"/>
    </row>
    <row r="778" spans="1:18" ht="28.8" x14ac:dyDescent="0.3">
      <c r="A778" t="s">
        <v>2</v>
      </c>
      <c r="B778" s="3" t="s">
        <v>280</v>
      </c>
      <c r="C778" s="2">
        <v>42857</v>
      </c>
      <c r="D778" s="9">
        <v>0.44722222222222224</v>
      </c>
      <c r="E778" s="3">
        <f t="shared" ca="1" si="12"/>
        <v>801291531</v>
      </c>
      <c r="F778" t="s">
        <v>12</v>
      </c>
      <c r="G778" t="s">
        <v>14</v>
      </c>
      <c r="H778" s="1" t="s">
        <v>237</v>
      </c>
      <c r="I778" t="s">
        <v>17</v>
      </c>
      <c r="J778" s="4">
        <v>1</v>
      </c>
      <c r="K778" s="4">
        <v>50.44</v>
      </c>
      <c r="L778" s="4">
        <v>7</v>
      </c>
      <c r="M778" s="4">
        <v>84.82</v>
      </c>
      <c r="N778" s="4">
        <v>155.39279999999999</v>
      </c>
      <c r="O778" s="4">
        <v>457.17</v>
      </c>
      <c r="P778" s="4">
        <v>3.8764546470000001</v>
      </c>
      <c r="Q778" s="4">
        <v>44.957999999999998</v>
      </c>
      <c r="R778" s="10"/>
    </row>
    <row r="779" spans="1:18" x14ac:dyDescent="0.3">
      <c r="A779" t="s">
        <v>3</v>
      </c>
      <c r="B779" s="3" t="s">
        <v>281</v>
      </c>
      <c r="C779" s="2">
        <v>43222</v>
      </c>
      <c r="D779" s="9">
        <v>0.17499999999999999</v>
      </c>
      <c r="E779" s="3">
        <f t="shared" ca="1" si="12"/>
        <v>784660215</v>
      </c>
      <c r="F779" t="s">
        <v>12</v>
      </c>
      <c r="G779" t="s">
        <v>15</v>
      </c>
      <c r="H779" s="1" t="s">
        <v>236</v>
      </c>
      <c r="I779" t="s">
        <v>20</v>
      </c>
      <c r="J779" s="4">
        <v>7</v>
      </c>
      <c r="K779" s="4">
        <v>99.32</v>
      </c>
      <c r="L779" s="4">
        <v>1</v>
      </c>
      <c r="M779" s="4">
        <v>35.090000000000003</v>
      </c>
      <c r="N779" s="4">
        <v>162.57640000000001</v>
      </c>
      <c r="O779" s="4">
        <v>93.38</v>
      </c>
      <c r="P779" s="4">
        <v>3.8764546470000001</v>
      </c>
      <c r="Q779" s="4">
        <v>65.489999999999995</v>
      </c>
      <c r="R779" s="10"/>
    </row>
    <row r="780" spans="1:18" x14ac:dyDescent="0.3">
      <c r="A780" t="s">
        <v>2</v>
      </c>
      <c r="B780" s="3" t="s">
        <v>280</v>
      </c>
      <c r="C780" s="2">
        <v>43270</v>
      </c>
      <c r="D780" s="9">
        <v>0.36944444444444446</v>
      </c>
      <c r="E780" s="3">
        <f t="shared" ca="1" si="12"/>
        <v>643607116</v>
      </c>
      <c r="F780" t="s">
        <v>12</v>
      </c>
      <c r="G780" t="s">
        <v>14</v>
      </c>
      <c r="H780" s="1" t="s">
        <v>236</v>
      </c>
      <c r="I780" t="s">
        <v>20</v>
      </c>
      <c r="J780" s="4">
        <v>3</v>
      </c>
      <c r="K780" s="4">
        <v>63.74</v>
      </c>
      <c r="L780" s="4">
        <v>5</v>
      </c>
      <c r="M780" s="4">
        <v>61.13</v>
      </c>
      <c r="N780" s="4">
        <v>167.66720000000001</v>
      </c>
      <c r="O780" s="4">
        <v>126.25</v>
      </c>
      <c r="P780" s="4">
        <v>3.8764546470000001</v>
      </c>
      <c r="Q780" s="4">
        <v>71.819999999999993</v>
      </c>
      <c r="R780" s="10"/>
    </row>
    <row r="781" spans="1:18" x14ac:dyDescent="0.3">
      <c r="A781" t="s">
        <v>3</v>
      </c>
      <c r="B781" s="3" t="s">
        <v>281</v>
      </c>
      <c r="C781" s="2">
        <v>43316</v>
      </c>
      <c r="D781" s="9">
        <v>0.59305555555555556</v>
      </c>
      <c r="E781" s="3">
        <f t="shared" ca="1" si="12"/>
        <v>556246627</v>
      </c>
      <c r="F781" t="s">
        <v>12</v>
      </c>
      <c r="G781" t="s">
        <v>14</v>
      </c>
      <c r="H781" s="1" t="s">
        <v>235</v>
      </c>
      <c r="I781" t="s">
        <v>18</v>
      </c>
      <c r="J781" s="4">
        <v>8.1999999999999993</v>
      </c>
      <c r="K781" s="4">
        <v>70.242000000000004</v>
      </c>
      <c r="L781" s="4">
        <v>9</v>
      </c>
      <c r="M781" s="4">
        <v>74.790000000000006</v>
      </c>
      <c r="N781" s="4">
        <v>172.12020000000001</v>
      </c>
      <c r="O781" s="4">
        <v>790.83</v>
      </c>
      <c r="P781" s="4">
        <v>3.8764546470000001</v>
      </c>
      <c r="Q781" s="4">
        <v>62.36</v>
      </c>
      <c r="R781" s="10"/>
    </row>
    <row r="782" spans="1:18" x14ac:dyDescent="0.3">
      <c r="A782" t="s">
        <v>2</v>
      </c>
      <c r="B782" s="3" t="s">
        <v>280</v>
      </c>
      <c r="C782" s="2">
        <v>42969</v>
      </c>
      <c r="D782" s="9">
        <v>0.5395833333333333</v>
      </c>
      <c r="E782" s="3">
        <f t="shared" ca="1" si="12"/>
        <v>296591101</v>
      </c>
      <c r="F782" t="s">
        <v>12</v>
      </c>
      <c r="G782" t="s">
        <v>15</v>
      </c>
      <c r="H782" s="1" t="s">
        <v>236</v>
      </c>
      <c r="I782" t="s">
        <v>17</v>
      </c>
      <c r="J782" s="4">
        <v>5.4</v>
      </c>
      <c r="K782" s="4">
        <v>31.5</v>
      </c>
      <c r="L782" s="4">
        <v>8</v>
      </c>
      <c r="M782" s="4">
        <v>18.8</v>
      </c>
      <c r="N782" s="4">
        <v>140.5515</v>
      </c>
      <c r="O782" s="4">
        <v>174.4</v>
      </c>
      <c r="P782" s="4">
        <v>3.8764546470000001</v>
      </c>
      <c r="Q782" s="4">
        <v>27.07</v>
      </c>
      <c r="R782" s="10"/>
    </row>
    <row r="783" spans="1:18" x14ac:dyDescent="0.3">
      <c r="A783" t="s">
        <v>1</v>
      </c>
      <c r="B783" s="3" t="s">
        <v>279</v>
      </c>
      <c r="C783" s="2">
        <v>43155</v>
      </c>
      <c r="D783" s="9">
        <v>0.26250000000000001</v>
      </c>
      <c r="E783" s="3">
        <f t="shared" ca="1" si="12"/>
        <v>623060385</v>
      </c>
      <c r="F783" t="s">
        <v>11</v>
      </c>
      <c r="G783" t="s">
        <v>15</v>
      </c>
      <c r="H783" s="1" t="s">
        <v>235</v>
      </c>
      <c r="I783" t="s">
        <v>20</v>
      </c>
      <c r="J783" s="4">
        <v>9.4</v>
      </c>
      <c r="K783" s="4">
        <v>98.01</v>
      </c>
      <c r="L783" s="4">
        <v>4</v>
      </c>
      <c r="M783" s="4">
        <v>31.09</v>
      </c>
      <c r="N783" s="4">
        <v>148.1414</v>
      </c>
      <c r="O783" s="4">
        <v>379.04</v>
      </c>
      <c r="P783" s="4">
        <v>3.8764546470000001</v>
      </c>
      <c r="Q783" s="4">
        <v>58.48</v>
      </c>
      <c r="R783" s="10"/>
    </row>
    <row r="784" spans="1:18" ht="28.8" x14ac:dyDescent="0.3">
      <c r="A784" t="s">
        <v>1</v>
      </c>
      <c r="B784" s="3" t="s">
        <v>279</v>
      </c>
      <c r="C784" s="2">
        <v>43238</v>
      </c>
      <c r="D784" s="9">
        <v>0.92361111111111116</v>
      </c>
      <c r="E784" s="3">
        <f t="shared" ca="1" si="12"/>
        <v>216544625</v>
      </c>
      <c r="F784" t="s">
        <v>11</v>
      </c>
      <c r="G784" t="s">
        <v>14</v>
      </c>
      <c r="H784" s="1" t="s">
        <v>237</v>
      </c>
      <c r="I784" t="s">
        <v>22</v>
      </c>
      <c r="J784" s="4">
        <v>2</v>
      </c>
      <c r="K784" s="4">
        <v>38.369999999999997</v>
      </c>
      <c r="L784" s="4">
        <v>1</v>
      </c>
      <c r="M784" s="4">
        <v>80.06</v>
      </c>
      <c r="N784" s="4">
        <v>160.4075</v>
      </c>
      <c r="O784" s="4">
        <v>30.62</v>
      </c>
      <c r="P784" s="4">
        <v>3.8764546470000001</v>
      </c>
      <c r="Q784" s="4">
        <v>69.180000000000007</v>
      </c>
      <c r="R784" s="10"/>
    </row>
    <row r="785" spans="1:18" x14ac:dyDescent="0.3">
      <c r="A785" t="s">
        <v>2</v>
      </c>
      <c r="B785" s="3" t="s">
        <v>280</v>
      </c>
      <c r="C785" s="2">
        <v>43137</v>
      </c>
      <c r="D785" s="9">
        <v>2.4305555555555556E-2</v>
      </c>
      <c r="E785" s="3">
        <f t="shared" ca="1" si="12"/>
        <v>900482603</v>
      </c>
      <c r="F785" t="s">
        <v>11</v>
      </c>
      <c r="G785" t="s">
        <v>15</v>
      </c>
      <c r="H785" s="1" t="s">
        <v>236</v>
      </c>
      <c r="I785" t="s">
        <v>19</v>
      </c>
      <c r="J785" s="4">
        <v>7.5</v>
      </c>
      <c r="K785" s="4">
        <v>41.417000000000002</v>
      </c>
      <c r="L785" s="4">
        <v>8</v>
      </c>
      <c r="M785" s="4">
        <v>59.53</v>
      </c>
      <c r="N785" s="4">
        <v>173.05289999999999</v>
      </c>
      <c r="O785" s="4">
        <v>352.08</v>
      </c>
      <c r="P785" s="4">
        <v>3.8764546470000001</v>
      </c>
      <c r="Q785" s="4">
        <v>86.855999999999995</v>
      </c>
      <c r="R785" s="10"/>
    </row>
    <row r="786" spans="1:18" x14ac:dyDescent="0.3">
      <c r="A786" t="s">
        <v>2</v>
      </c>
      <c r="B786" s="3" t="s">
        <v>280</v>
      </c>
      <c r="C786" s="2">
        <v>42978</v>
      </c>
      <c r="D786" s="9">
        <v>0.93333333333333335</v>
      </c>
      <c r="E786" s="3">
        <f t="shared" ca="1" si="12"/>
        <v>578993843</v>
      </c>
      <c r="F786" t="s">
        <v>11</v>
      </c>
      <c r="G786" t="s">
        <v>14</v>
      </c>
      <c r="H786" s="1" t="s">
        <v>235</v>
      </c>
      <c r="I786" t="s">
        <v>17</v>
      </c>
      <c r="J786" s="4">
        <v>7.8</v>
      </c>
      <c r="K786" s="4">
        <v>49.16</v>
      </c>
      <c r="L786" s="4">
        <v>5</v>
      </c>
      <c r="M786" s="4">
        <v>67.41</v>
      </c>
      <c r="N786" s="4">
        <v>117.54430000000001</v>
      </c>
      <c r="O786" s="4">
        <v>50.8</v>
      </c>
      <c r="P786" s="4">
        <v>3.8764546470000001</v>
      </c>
      <c r="Q786" s="4">
        <v>43.636000000000003</v>
      </c>
      <c r="R786" s="10"/>
    </row>
    <row r="787" spans="1:18" ht="28.8" x14ac:dyDescent="0.3">
      <c r="A787" t="s">
        <v>1</v>
      </c>
      <c r="B787" s="3" t="s">
        <v>279</v>
      </c>
      <c r="C787" s="2">
        <v>43359</v>
      </c>
      <c r="D787" s="9">
        <v>0.11666666666666667</v>
      </c>
      <c r="E787" s="3">
        <f t="shared" ca="1" si="12"/>
        <v>172706197</v>
      </c>
      <c r="F787" t="s">
        <v>12</v>
      </c>
      <c r="G787" t="s">
        <v>15</v>
      </c>
      <c r="H787" s="1" t="s">
        <v>237</v>
      </c>
      <c r="I787" t="s">
        <v>18</v>
      </c>
      <c r="J787" s="4">
        <v>9.6</v>
      </c>
      <c r="K787" s="4">
        <v>24.52</v>
      </c>
      <c r="L787" s="4">
        <v>7</v>
      </c>
      <c r="M787" s="4">
        <v>67.75</v>
      </c>
      <c r="N787" s="4">
        <v>153.5035</v>
      </c>
      <c r="O787" s="4">
        <v>522.05999999999995</v>
      </c>
      <c r="P787" s="4">
        <v>3.8764546470000001</v>
      </c>
      <c r="Q787" s="4">
        <v>62.959000000000003</v>
      </c>
      <c r="R787" s="10"/>
    </row>
    <row r="788" spans="1:18" x14ac:dyDescent="0.3">
      <c r="A788" t="s">
        <v>2</v>
      </c>
      <c r="B788" s="3" t="s">
        <v>280</v>
      </c>
      <c r="C788" s="2">
        <v>43269</v>
      </c>
      <c r="D788" s="9">
        <v>0.93819444444444444</v>
      </c>
      <c r="E788" s="3">
        <f t="shared" ca="1" si="12"/>
        <v>937334238</v>
      </c>
      <c r="F788" t="s">
        <v>12</v>
      </c>
      <c r="G788" t="s">
        <v>15</v>
      </c>
      <c r="H788" s="1" t="s">
        <v>235</v>
      </c>
      <c r="I788" t="s">
        <v>18</v>
      </c>
      <c r="J788" s="4">
        <v>5.4</v>
      </c>
      <c r="K788" s="4">
        <v>68.040000000000006</v>
      </c>
      <c r="L788" s="4">
        <v>8</v>
      </c>
      <c r="M788" s="4">
        <v>32.32</v>
      </c>
      <c r="N788" s="4">
        <v>157.80189999999999</v>
      </c>
      <c r="O788" s="4">
        <v>575.12</v>
      </c>
      <c r="P788" s="4">
        <v>3.8764546470000001</v>
      </c>
      <c r="Q788" s="4">
        <v>39.49</v>
      </c>
      <c r="R788" s="10"/>
    </row>
    <row r="789" spans="1:18" ht="28.8" x14ac:dyDescent="0.3">
      <c r="A789" t="s">
        <v>2</v>
      </c>
      <c r="B789" s="3" t="s">
        <v>280</v>
      </c>
      <c r="C789" s="2">
        <v>43424</v>
      </c>
      <c r="D789" s="9">
        <v>0.86527777777777781</v>
      </c>
      <c r="E789" s="3">
        <f t="shared" ca="1" si="12"/>
        <v>904447700</v>
      </c>
      <c r="F789" t="s">
        <v>11</v>
      </c>
      <c r="G789" t="s">
        <v>15</v>
      </c>
      <c r="H789" s="1" t="s">
        <v>237</v>
      </c>
      <c r="I789" t="s">
        <v>17</v>
      </c>
      <c r="J789" s="4">
        <v>6.7</v>
      </c>
      <c r="K789" s="4">
        <v>55.95</v>
      </c>
      <c r="L789" s="4">
        <v>5</v>
      </c>
      <c r="M789" s="4">
        <v>10.77</v>
      </c>
      <c r="N789" s="4">
        <v>134.34530000000001</v>
      </c>
      <c r="O789" s="4">
        <v>54.95</v>
      </c>
      <c r="P789" s="4">
        <v>3.8764546470000001</v>
      </c>
      <c r="Q789" s="4">
        <v>85.79</v>
      </c>
      <c r="R789" s="10"/>
    </row>
    <row r="790" spans="1:18" ht="28.8" x14ac:dyDescent="0.3">
      <c r="A790" t="s">
        <v>2</v>
      </c>
      <c r="B790" s="3" t="s">
        <v>280</v>
      </c>
      <c r="C790" s="2">
        <v>42859</v>
      </c>
      <c r="D790" s="9">
        <v>1.4583333333333334E-2</v>
      </c>
      <c r="E790" s="3">
        <f t="shared" ca="1" si="12"/>
        <v>357132657</v>
      </c>
      <c r="F790" t="s">
        <v>12</v>
      </c>
      <c r="G790" t="s">
        <v>14</v>
      </c>
      <c r="H790" s="1" t="s">
        <v>237</v>
      </c>
      <c r="I790" t="s">
        <v>17</v>
      </c>
      <c r="J790" s="4">
        <v>1.8</v>
      </c>
      <c r="K790" s="4">
        <v>82.67</v>
      </c>
      <c r="L790" s="4">
        <v>3</v>
      </c>
      <c r="M790" s="4">
        <v>99.65</v>
      </c>
      <c r="N790" s="4">
        <v>120.87090000000001</v>
      </c>
      <c r="O790" s="4">
        <v>181.41</v>
      </c>
      <c r="P790" s="4">
        <v>3.8764546470000001</v>
      </c>
      <c r="Q790" s="4">
        <v>24.26</v>
      </c>
      <c r="R790" s="10"/>
    </row>
    <row r="791" spans="1:18" x14ac:dyDescent="0.3">
      <c r="A791" t="s">
        <v>1</v>
      </c>
      <c r="B791" s="3" t="s">
        <v>279</v>
      </c>
      <c r="C791" s="2">
        <v>42832</v>
      </c>
      <c r="D791" s="9">
        <v>0.70972222222222225</v>
      </c>
      <c r="E791" s="3">
        <f t="shared" ca="1" si="12"/>
        <v>138235349</v>
      </c>
      <c r="F791" t="s">
        <v>12</v>
      </c>
      <c r="G791" t="s">
        <v>15</v>
      </c>
      <c r="H791" s="1" t="s">
        <v>235</v>
      </c>
      <c r="I791" t="s">
        <v>20</v>
      </c>
      <c r="J791" s="4">
        <v>2</v>
      </c>
      <c r="K791" s="4">
        <v>21.934999999999999</v>
      </c>
      <c r="L791" s="4">
        <v>7</v>
      </c>
      <c r="M791" s="4">
        <v>50.89</v>
      </c>
      <c r="N791" s="4">
        <v>119.5193</v>
      </c>
      <c r="O791" s="4">
        <v>412.37</v>
      </c>
      <c r="P791" s="4">
        <v>3.8764546470000001</v>
      </c>
      <c r="Q791" s="4">
        <v>86.65</v>
      </c>
      <c r="R791" s="10"/>
    </row>
    <row r="792" spans="1:18" ht="28.8" x14ac:dyDescent="0.3">
      <c r="A792" t="s">
        <v>1</v>
      </c>
      <c r="B792" s="3" t="s">
        <v>279</v>
      </c>
      <c r="C792" s="2">
        <v>42914</v>
      </c>
      <c r="D792" s="9">
        <v>8.2638888888888887E-2</v>
      </c>
      <c r="E792" s="3">
        <f t="shared" ca="1" si="12"/>
        <v>36530621</v>
      </c>
      <c r="F792" t="s">
        <v>12</v>
      </c>
      <c r="G792" t="s">
        <v>15</v>
      </c>
      <c r="H792" s="1" t="s">
        <v>237</v>
      </c>
      <c r="I792" t="s">
        <v>22</v>
      </c>
      <c r="J792" s="4">
        <v>2</v>
      </c>
      <c r="K792" s="4">
        <v>27.96</v>
      </c>
      <c r="L792" s="4">
        <v>1</v>
      </c>
      <c r="M792" s="4">
        <v>64.319999999999993</v>
      </c>
      <c r="N792" s="4">
        <v>152.78370000000001</v>
      </c>
      <c r="O792" s="4">
        <v>46.41</v>
      </c>
      <c r="P792" s="4">
        <v>3.8764546470000001</v>
      </c>
      <c r="Q792" s="4">
        <v>71.900000000000006</v>
      </c>
      <c r="R792" s="10"/>
    </row>
    <row r="793" spans="1:18" ht="28.8" x14ac:dyDescent="0.3">
      <c r="A793" t="s">
        <v>2</v>
      </c>
      <c r="B793" s="3" t="s">
        <v>280</v>
      </c>
      <c r="C793" s="2">
        <v>43424</v>
      </c>
      <c r="D793" s="9">
        <v>0.93819444444444444</v>
      </c>
      <c r="E793" s="3">
        <f t="shared" ca="1" si="12"/>
        <v>867831977</v>
      </c>
      <c r="F793" t="s">
        <v>12</v>
      </c>
      <c r="G793" t="s">
        <v>14</v>
      </c>
      <c r="H793" s="1" t="s">
        <v>237</v>
      </c>
      <c r="I793" t="s">
        <v>17</v>
      </c>
      <c r="J793" s="4">
        <v>7</v>
      </c>
      <c r="K793" s="4">
        <v>39.83</v>
      </c>
      <c r="L793" s="4">
        <v>4</v>
      </c>
      <c r="M793" s="4">
        <v>68.53</v>
      </c>
      <c r="N793" s="4">
        <v>152.63140000000001</v>
      </c>
      <c r="O793" s="4">
        <v>274.2</v>
      </c>
      <c r="P793" s="4">
        <v>3.8764546470000001</v>
      </c>
      <c r="Q793" s="4">
        <v>17.126999999999999</v>
      </c>
      <c r="R793" s="10"/>
    </row>
    <row r="794" spans="1:18" ht="28.8" x14ac:dyDescent="0.3">
      <c r="A794" t="s">
        <v>3</v>
      </c>
      <c r="B794" s="3" t="s">
        <v>281</v>
      </c>
      <c r="C794" s="2">
        <v>43190</v>
      </c>
      <c r="D794" s="9">
        <v>0.7680555555555556</v>
      </c>
      <c r="E794" s="3">
        <f t="shared" ca="1" si="12"/>
        <v>412360332</v>
      </c>
      <c r="F794" t="s">
        <v>11</v>
      </c>
      <c r="G794" t="s">
        <v>15</v>
      </c>
      <c r="H794" s="1" t="s">
        <v>237</v>
      </c>
      <c r="I794" t="s">
        <v>19</v>
      </c>
      <c r="J794" s="4">
        <v>9</v>
      </c>
      <c r="K794" s="4">
        <v>90.5</v>
      </c>
      <c r="L794" s="4">
        <v>10</v>
      </c>
      <c r="M794" s="4">
        <v>94.49</v>
      </c>
      <c r="N794" s="4">
        <v>127.45740000000001</v>
      </c>
      <c r="O794" s="4">
        <v>973.7</v>
      </c>
      <c r="P794" s="4">
        <v>3.8764546470000001</v>
      </c>
      <c r="Q794" s="4">
        <v>79.930000000000007</v>
      </c>
      <c r="R794" s="10"/>
    </row>
    <row r="795" spans="1:18" ht="28.8" x14ac:dyDescent="0.3">
      <c r="A795" t="s">
        <v>1</v>
      </c>
      <c r="B795" s="3" t="s">
        <v>279</v>
      </c>
      <c r="C795" s="2">
        <v>43115</v>
      </c>
      <c r="D795" s="9">
        <v>0.95277777777777772</v>
      </c>
      <c r="E795" s="3">
        <f t="shared" ca="1" si="12"/>
        <v>767186227</v>
      </c>
      <c r="F795" t="s">
        <v>12</v>
      </c>
      <c r="G795" t="s">
        <v>14</v>
      </c>
      <c r="H795" s="1" t="s">
        <v>237</v>
      </c>
      <c r="I795" t="s">
        <v>18</v>
      </c>
      <c r="J795" s="4">
        <v>8</v>
      </c>
      <c r="K795" s="4">
        <v>47.19</v>
      </c>
      <c r="L795" s="4">
        <v>7</v>
      </c>
      <c r="M795" s="4">
        <v>64.53</v>
      </c>
      <c r="N795" s="4">
        <v>174.1951</v>
      </c>
      <c r="O795" s="4">
        <v>648.20000000000005</v>
      </c>
      <c r="P795" s="4">
        <v>3.8764546470000001</v>
      </c>
      <c r="Q795" s="4">
        <v>59.786999999999999</v>
      </c>
      <c r="R795" s="10"/>
    </row>
    <row r="796" spans="1:18" ht="28.8" x14ac:dyDescent="0.3">
      <c r="A796" t="s">
        <v>1</v>
      </c>
      <c r="B796" s="3" t="s">
        <v>279</v>
      </c>
      <c r="C796" s="2">
        <v>43391</v>
      </c>
      <c r="D796" s="9">
        <v>0.25277777777777777</v>
      </c>
      <c r="E796" s="3">
        <f t="shared" ca="1" si="12"/>
        <v>928746037</v>
      </c>
      <c r="F796" t="s">
        <v>11</v>
      </c>
      <c r="G796" t="s">
        <v>15</v>
      </c>
      <c r="H796" s="1" t="s">
        <v>237</v>
      </c>
      <c r="I796" t="s">
        <v>18</v>
      </c>
      <c r="J796" s="4">
        <v>1</v>
      </c>
      <c r="K796" s="4">
        <v>66.831999999999994</v>
      </c>
      <c r="L796" s="4">
        <v>2</v>
      </c>
      <c r="M796" s="4">
        <v>26.4</v>
      </c>
      <c r="N796" s="4">
        <v>136.02109999999999</v>
      </c>
      <c r="O796" s="4">
        <v>93.22</v>
      </c>
      <c r="P796" s="4">
        <v>3.8764546470000001</v>
      </c>
      <c r="Q796" s="4">
        <v>19.527999999999999</v>
      </c>
      <c r="R796" s="10"/>
    </row>
    <row r="797" spans="1:18" x14ac:dyDescent="0.3">
      <c r="A797" t="s">
        <v>3</v>
      </c>
      <c r="B797" s="3" t="s">
        <v>281</v>
      </c>
      <c r="C797" s="2">
        <v>42970</v>
      </c>
      <c r="D797" s="9">
        <v>0.5395833333333333</v>
      </c>
      <c r="E797" s="3">
        <f t="shared" ca="1" si="12"/>
        <v>924135692</v>
      </c>
      <c r="F797" t="s">
        <v>12</v>
      </c>
      <c r="G797" t="s">
        <v>15</v>
      </c>
      <c r="H797" s="1" t="s">
        <v>235</v>
      </c>
      <c r="I797" t="s">
        <v>22</v>
      </c>
      <c r="J797" s="4">
        <v>3</v>
      </c>
      <c r="K797" s="4">
        <v>76.510000000000005</v>
      </c>
      <c r="L797" s="4">
        <v>2</v>
      </c>
      <c r="M797" s="4">
        <v>40.15</v>
      </c>
      <c r="N797" s="4">
        <v>139.33189999999999</v>
      </c>
      <c r="O797" s="4">
        <v>54.36</v>
      </c>
      <c r="P797" s="4">
        <v>3.8764546470000001</v>
      </c>
      <c r="Q797" s="4">
        <v>55.256</v>
      </c>
      <c r="R797" s="10"/>
    </row>
    <row r="798" spans="1:18" x14ac:dyDescent="0.3">
      <c r="A798" t="s">
        <v>2</v>
      </c>
      <c r="B798" s="3" t="s">
        <v>280</v>
      </c>
      <c r="C798" s="2">
        <v>42992</v>
      </c>
      <c r="D798" s="9">
        <v>0.51527777777777772</v>
      </c>
      <c r="E798" s="3">
        <f t="shared" ca="1" si="12"/>
        <v>606734022</v>
      </c>
      <c r="F798" t="s">
        <v>11</v>
      </c>
      <c r="G798" t="s">
        <v>14</v>
      </c>
      <c r="H798" s="1" t="s">
        <v>236</v>
      </c>
      <c r="I798" t="s">
        <v>19</v>
      </c>
      <c r="J798" s="4">
        <v>3</v>
      </c>
      <c r="K798" s="4">
        <v>56.96</v>
      </c>
      <c r="L798" s="4">
        <v>1</v>
      </c>
      <c r="M798" s="4">
        <v>12.4</v>
      </c>
      <c r="N798" s="4">
        <v>176.15299999999999</v>
      </c>
      <c r="O798" s="4">
        <v>60.87</v>
      </c>
      <c r="P798" s="4">
        <v>3.8764546470000001</v>
      </c>
      <c r="Q798" s="4">
        <v>88.138999999999996</v>
      </c>
      <c r="R798" s="10"/>
    </row>
    <row r="799" spans="1:18" x14ac:dyDescent="0.3">
      <c r="A799" t="s">
        <v>1</v>
      </c>
      <c r="B799" s="3" t="s">
        <v>279</v>
      </c>
      <c r="C799" s="2">
        <v>43275</v>
      </c>
      <c r="D799" s="9">
        <v>0.41319444444444442</v>
      </c>
      <c r="E799" s="3">
        <f t="shared" ca="1" si="12"/>
        <v>707016096</v>
      </c>
      <c r="F799" t="s">
        <v>11</v>
      </c>
      <c r="G799" t="s">
        <v>14</v>
      </c>
      <c r="H799" s="1" t="s">
        <v>236</v>
      </c>
      <c r="I799" t="s">
        <v>20</v>
      </c>
      <c r="J799" s="4">
        <v>7</v>
      </c>
      <c r="K799" s="4">
        <v>27.74</v>
      </c>
      <c r="L799" s="4">
        <v>10</v>
      </c>
      <c r="M799" s="4">
        <v>38.869999999999997</v>
      </c>
      <c r="N799" s="4">
        <v>111.3653</v>
      </c>
      <c r="O799" s="4">
        <v>244.9</v>
      </c>
      <c r="P799" s="4">
        <v>3.8764546470000001</v>
      </c>
      <c r="Q799" s="4">
        <v>18.896000000000001</v>
      </c>
      <c r="R799" s="10"/>
    </row>
    <row r="800" spans="1:18" ht="28.8" x14ac:dyDescent="0.3">
      <c r="A800" t="s">
        <v>3</v>
      </c>
      <c r="B800" s="3" t="s">
        <v>281</v>
      </c>
      <c r="C800" s="2">
        <v>43074</v>
      </c>
      <c r="D800" s="9">
        <v>0.21875</v>
      </c>
      <c r="E800" s="3">
        <f t="shared" ca="1" si="12"/>
        <v>541808404</v>
      </c>
      <c r="F800" t="s">
        <v>12</v>
      </c>
      <c r="G800" t="s">
        <v>15</v>
      </c>
      <c r="H800" s="1" t="s">
        <v>237</v>
      </c>
      <c r="I800" t="s">
        <v>17</v>
      </c>
      <c r="J800" s="4">
        <v>2.4</v>
      </c>
      <c r="K800" s="4">
        <v>45.18</v>
      </c>
      <c r="L800" s="4">
        <v>1</v>
      </c>
      <c r="M800" s="4">
        <v>67.83</v>
      </c>
      <c r="N800" s="4">
        <v>147.79759999999999</v>
      </c>
      <c r="O800" s="4">
        <v>92.78</v>
      </c>
      <c r="P800" s="4">
        <v>3.8764546470000001</v>
      </c>
      <c r="Q800" s="4">
        <v>86.97</v>
      </c>
      <c r="R800" s="10"/>
    </row>
    <row r="801" spans="1:18" x14ac:dyDescent="0.3">
      <c r="A801" t="s">
        <v>2</v>
      </c>
      <c r="B801" s="3" t="s">
        <v>280</v>
      </c>
      <c r="C801" s="2">
        <v>42986</v>
      </c>
      <c r="D801" s="9">
        <v>2.4305555555555556E-2</v>
      </c>
      <c r="E801" s="3">
        <f t="shared" ca="1" si="12"/>
        <v>612966772</v>
      </c>
      <c r="F801" t="s">
        <v>12</v>
      </c>
      <c r="G801" t="s">
        <v>14</v>
      </c>
      <c r="H801" s="1" t="s">
        <v>235</v>
      </c>
      <c r="I801" t="s">
        <v>19</v>
      </c>
      <c r="J801" s="4">
        <v>1.4</v>
      </c>
      <c r="K801" s="4">
        <v>65.465000000000003</v>
      </c>
      <c r="L801" s="4">
        <v>5</v>
      </c>
      <c r="M801" s="4">
        <v>58.68</v>
      </c>
      <c r="N801" s="4">
        <v>159.4683</v>
      </c>
      <c r="O801" s="4">
        <v>433.45</v>
      </c>
      <c r="P801" s="4">
        <v>3.8764546470000001</v>
      </c>
      <c r="Q801" s="4">
        <v>13.14</v>
      </c>
      <c r="R801" s="10"/>
    </row>
    <row r="802" spans="1:18" x14ac:dyDescent="0.3">
      <c r="A802" t="s">
        <v>3</v>
      </c>
      <c r="B802" s="3" t="s">
        <v>281</v>
      </c>
      <c r="C802" s="2">
        <v>43031</v>
      </c>
      <c r="D802" s="9">
        <v>0.87986111111111109</v>
      </c>
      <c r="E802" s="3">
        <f t="shared" ca="1" si="12"/>
        <v>79144847</v>
      </c>
      <c r="F802" t="s">
        <v>12</v>
      </c>
      <c r="G802" t="s">
        <v>15</v>
      </c>
      <c r="H802" s="1" t="s">
        <v>235</v>
      </c>
      <c r="I802" t="s">
        <v>20</v>
      </c>
      <c r="J802" s="4">
        <v>2.1</v>
      </c>
      <c r="K802" s="4">
        <v>14.97</v>
      </c>
      <c r="L802" s="4">
        <v>6</v>
      </c>
      <c r="M802" s="4">
        <v>62.11</v>
      </c>
      <c r="N802" s="4">
        <v>155.1936</v>
      </c>
      <c r="O802" s="4">
        <v>138.06</v>
      </c>
      <c r="P802" s="4">
        <v>3.8764546470000001</v>
      </c>
      <c r="Q802" s="4">
        <v>13.85</v>
      </c>
      <c r="R802" s="10"/>
    </row>
    <row r="803" spans="1:18" x14ac:dyDescent="0.3">
      <c r="A803" t="s">
        <v>2</v>
      </c>
      <c r="B803" s="3" t="s">
        <v>280</v>
      </c>
      <c r="C803" s="2">
        <v>43068</v>
      </c>
      <c r="D803" s="9">
        <v>0.61736111111111114</v>
      </c>
      <c r="E803" s="3">
        <f t="shared" ca="1" si="12"/>
        <v>501220002</v>
      </c>
      <c r="F803" t="s">
        <v>11</v>
      </c>
      <c r="G803" t="s">
        <v>14</v>
      </c>
      <c r="H803" s="1" t="s">
        <v>235</v>
      </c>
      <c r="I803" t="s">
        <v>18</v>
      </c>
      <c r="J803" s="4">
        <v>7.5</v>
      </c>
      <c r="K803" s="4">
        <v>46.1</v>
      </c>
      <c r="L803" s="4">
        <v>8</v>
      </c>
      <c r="M803" s="4">
        <v>90.46</v>
      </c>
      <c r="N803" s="4">
        <v>102.7826</v>
      </c>
      <c r="O803" s="4">
        <v>241.6</v>
      </c>
      <c r="P803" s="4">
        <v>3.8764546470000001</v>
      </c>
      <c r="Q803" s="4">
        <v>87.76</v>
      </c>
      <c r="R803" s="10"/>
    </row>
    <row r="804" spans="1:18" x14ac:dyDescent="0.3">
      <c r="A804" t="s">
        <v>2</v>
      </c>
      <c r="B804" s="3" t="s">
        <v>280</v>
      </c>
      <c r="C804" s="2">
        <v>43414</v>
      </c>
      <c r="D804" s="9">
        <v>0.67083333333333328</v>
      </c>
      <c r="E804" s="3">
        <f t="shared" ca="1" si="12"/>
        <v>39449109</v>
      </c>
      <c r="F804" t="s">
        <v>12</v>
      </c>
      <c r="G804" t="s">
        <v>14</v>
      </c>
      <c r="H804" s="1" t="s">
        <v>235</v>
      </c>
      <c r="I804" t="s">
        <v>22</v>
      </c>
      <c r="J804" s="4">
        <v>2.2999999999999998</v>
      </c>
      <c r="K804" s="4">
        <v>83.64</v>
      </c>
      <c r="L804" s="4">
        <v>7</v>
      </c>
      <c r="M804" s="4">
        <v>85.12</v>
      </c>
      <c r="N804" s="4">
        <v>126.5273</v>
      </c>
      <c r="O804" s="4">
        <v>471.73</v>
      </c>
      <c r="P804" s="4">
        <v>3.8764546470000001</v>
      </c>
      <c r="Q804" s="4">
        <v>28.42</v>
      </c>
      <c r="R804" s="10"/>
    </row>
    <row r="805" spans="1:18" x14ac:dyDescent="0.3">
      <c r="A805" t="s">
        <v>1</v>
      </c>
      <c r="B805" s="3" t="s">
        <v>279</v>
      </c>
      <c r="C805" s="2">
        <v>43384</v>
      </c>
      <c r="D805" s="9">
        <v>0.5444444444444444</v>
      </c>
      <c r="E805" s="3">
        <f t="shared" ca="1" si="12"/>
        <v>179093735</v>
      </c>
      <c r="F805" t="s">
        <v>11</v>
      </c>
      <c r="G805" t="s">
        <v>14</v>
      </c>
      <c r="H805" s="1" t="s">
        <v>236</v>
      </c>
      <c r="I805" t="s">
        <v>22</v>
      </c>
      <c r="J805" s="4">
        <v>3.3</v>
      </c>
      <c r="K805" s="4">
        <v>89.98</v>
      </c>
      <c r="L805" s="4">
        <v>9</v>
      </c>
      <c r="M805" s="4">
        <v>53.09</v>
      </c>
      <c r="N805" s="4">
        <v>127.1</v>
      </c>
      <c r="O805" s="4">
        <v>440.64</v>
      </c>
      <c r="P805" s="4">
        <v>3.8764546470000001</v>
      </c>
      <c r="Q805" s="4">
        <v>71.825999999999993</v>
      </c>
      <c r="R805" s="10"/>
    </row>
    <row r="806" spans="1:18" x14ac:dyDescent="0.3">
      <c r="A806" t="s">
        <v>3</v>
      </c>
      <c r="B806" s="3" t="s">
        <v>281</v>
      </c>
      <c r="C806" s="2">
        <v>43312</v>
      </c>
      <c r="D806" s="9">
        <v>0.56874999999999998</v>
      </c>
      <c r="E806" s="3">
        <f t="shared" ca="1" si="12"/>
        <v>608896819</v>
      </c>
      <c r="F806" t="s">
        <v>11</v>
      </c>
      <c r="G806" t="s">
        <v>14</v>
      </c>
      <c r="H806" s="1" t="s">
        <v>236</v>
      </c>
      <c r="I806" t="s">
        <v>18</v>
      </c>
      <c r="J806" s="4">
        <v>6.4</v>
      </c>
      <c r="K806" s="4">
        <v>70.180000000000007</v>
      </c>
      <c r="L806" s="4">
        <v>9</v>
      </c>
      <c r="M806" s="4">
        <v>24.63</v>
      </c>
      <c r="N806" s="4">
        <v>129.5</v>
      </c>
      <c r="O806" s="4">
        <v>680.31</v>
      </c>
      <c r="P806" s="4">
        <v>3.8764546470000001</v>
      </c>
      <c r="Q806" s="4">
        <v>91.570999999999998</v>
      </c>
      <c r="R806" s="10"/>
    </row>
    <row r="807" spans="1:18" x14ac:dyDescent="0.3">
      <c r="A807" t="s">
        <v>1</v>
      </c>
      <c r="B807" s="3" t="s">
        <v>279</v>
      </c>
      <c r="C807" s="2">
        <v>43450</v>
      </c>
      <c r="D807" s="9">
        <v>0.56388888888888888</v>
      </c>
      <c r="E807" s="3">
        <f t="shared" ca="1" si="12"/>
        <v>858384724</v>
      </c>
      <c r="F807" t="s">
        <v>11</v>
      </c>
      <c r="G807" t="s">
        <v>15</v>
      </c>
      <c r="H807" s="1" t="s">
        <v>236</v>
      </c>
      <c r="I807" t="s">
        <v>19</v>
      </c>
      <c r="J807" s="4">
        <v>2.6</v>
      </c>
      <c r="K807" s="4">
        <v>62.4</v>
      </c>
      <c r="L807" s="4">
        <v>4</v>
      </c>
      <c r="M807" s="4">
        <v>32.25</v>
      </c>
      <c r="N807" s="4">
        <v>126.7</v>
      </c>
      <c r="O807" s="4">
        <v>309.88</v>
      </c>
      <c r="P807" s="4">
        <v>3.8764546470000001</v>
      </c>
      <c r="Q807" s="4">
        <v>45.223999999999997</v>
      </c>
      <c r="R807" s="10"/>
    </row>
    <row r="808" spans="1:18" ht="28.8" x14ac:dyDescent="0.3">
      <c r="A808" t="s">
        <v>1</v>
      </c>
      <c r="B808" s="3" t="s">
        <v>279</v>
      </c>
      <c r="C808" s="2">
        <v>43390</v>
      </c>
      <c r="D808" s="9">
        <v>8.7499999999999994E-2</v>
      </c>
      <c r="E808" s="3">
        <f t="shared" ca="1" si="12"/>
        <v>495973899</v>
      </c>
      <c r="F808" t="s">
        <v>11</v>
      </c>
      <c r="G808" t="s">
        <v>15</v>
      </c>
      <c r="H808" s="1" t="s">
        <v>237</v>
      </c>
      <c r="I808" t="s">
        <v>20</v>
      </c>
      <c r="J808" s="4">
        <v>4</v>
      </c>
      <c r="K808" s="4">
        <v>44.26</v>
      </c>
      <c r="L808" s="4">
        <v>2</v>
      </c>
      <c r="M808" s="4">
        <v>37.99</v>
      </c>
      <c r="N808" s="4">
        <v>126.6</v>
      </c>
      <c r="O808" s="4">
        <v>186.36</v>
      </c>
      <c r="P808" s="4">
        <v>3.8764546470000001</v>
      </c>
      <c r="Q808" s="4">
        <v>12.59</v>
      </c>
      <c r="R808" s="10"/>
    </row>
    <row r="809" spans="1:18" x14ac:dyDescent="0.3">
      <c r="A809" t="s">
        <v>1</v>
      </c>
      <c r="B809" s="3" t="s">
        <v>279</v>
      </c>
      <c r="C809" s="2">
        <v>43081</v>
      </c>
      <c r="D809" s="9">
        <v>0.55902777777777779</v>
      </c>
      <c r="E809" s="3">
        <f t="shared" ca="1" si="12"/>
        <v>319202327</v>
      </c>
      <c r="F809" t="s">
        <v>11</v>
      </c>
      <c r="G809" t="s">
        <v>15</v>
      </c>
      <c r="H809" s="1" t="s">
        <v>236</v>
      </c>
      <c r="I809" t="s">
        <v>18</v>
      </c>
      <c r="J809" s="4">
        <v>1</v>
      </c>
      <c r="K809" s="4">
        <v>96.73</v>
      </c>
      <c r="L809" s="4">
        <v>4</v>
      </c>
      <c r="M809" s="4">
        <v>89.2</v>
      </c>
      <c r="N809" s="4">
        <v>148.54589999999999</v>
      </c>
      <c r="O809" s="4">
        <v>200.92</v>
      </c>
      <c r="P809" s="4">
        <v>3.8764546470000001</v>
      </c>
      <c r="Q809" s="4">
        <v>68.766999999999996</v>
      </c>
      <c r="R809" s="10"/>
    </row>
    <row r="810" spans="1:18" x14ac:dyDescent="0.3">
      <c r="A810" t="s">
        <v>3</v>
      </c>
      <c r="B810" s="3" t="s">
        <v>281</v>
      </c>
      <c r="C810" s="2">
        <v>42928</v>
      </c>
      <c r="D810" s="9">
        <v>0.21875</v>
      </c>
      <c r="E810" s="3">
        <f t="shared" ca="1" si="12"/>
        <v>905045820</v>
      </c>
      <c r="F810" t="s">
        <v>11</v>
      </c>
      <c r="G810" t="s">
        <v>15</v>
      </c>
      <c r="H810" s="1" t="s">
        <v>236</v>
      </c>
      <c r="I810" t="s">
        <v>17</v>
      </c>
      <c r="J810" s="4">
        <v>10</v>
      </c>
      <c r="K810" s="4">
        <v>48.466999999999999</v>
      </c>
      <c r="L810" s="4">
        <v>1</v>
      </c>
      <c r="M810" s="4">
        <v>30.71</v>
      </c>
      <c r="N810" s="4">
        <v>152.83349999999999</v>
      </c>
      <c r="O810" s="4">
        <v>17.75</v>
      </c>
      <c r="P810" s="4">
        <v>3.8764546470000001</v>
      </c>
      <c r="Q810" s="4">
        <v>70.08</v>
      </c>
      <c r="R810" s="10"/>
    </row>
    <row r="811" spans="1:18" x14ac:dyDescent="0.3">
      <c r="A811" t="s">
        <v>2</v>
      </c>
      <c r="B811" s="3" t="s">
        <v>280</v>
      </c>
      <c r="C811" s="2">
        <v>43115</v>
      </c>
      <c r="D811" s="9">
        <v>0.1701388888888889</v>
      </c>
      <c r="E811" s="3">
        <f t="shared" ca="1" si="12"/>
        <v>971428015</v>
      </c>
      <c r="F811" t="s">
        <v>11</v>
      </c>
      <c r="G811" t="s">
        <v>15</v>
      </c>
      <c r="H811" s="1" t="s">
        <v>235</v>
      </c>
      <c r="I811" t="s">
        <v>22</v>
      </c>
      <c r="J811" s="4">
        <v>9</v>
      </c>
      <c r="K811" s="4">
        <v>34.729999999999997</v>
      </c>
      <c r="L811" s="4">
        <v>10</v>
      </c>
      <c r="M811" s="4">
        <v>33.840000000000003</v>
      </c>
      <c r="N811" s="4">
        <v>126.52209999999999</v>
      </c>
      <c r="O811" s="4">
        <v>621.79999999999995</v>
      </c>
      <c r="P811" s="4">
        <v>3.8764546470000001</v>
      </c>
      <c r="Q811" s="4">
        <v>65.537000000000006</v>
      </c>
      <c r="R811" s="10"/>
    </row>
    <row r="812" spans="1:18" x14ac:dyDescent="0.3">
      <c r="A812" t="s">
        <v>3</v>
      </c>
      <c r="B812" s="3" t="s">
        <v>281</v>
      </c>
      <c r="C812" s="2">
        <v>43462</v>
      </c>
      <c r="D812" s="9">
        <v>0.85555555555555551</v>
      </c>
      <c r="E812" s="3">
        <f t="shared" ca="1" si="12"/>
        <v>79440165</v>
      </c>
      <c r="F812" t="s">
        <v>12</v>
      </c>
      <c r="G812" t="s">
        <v>15</v>
      </c>
      <c r="H812" s="1" t="s">
        <v>235</v>
      </c>
      <c r="I812" t="s">
        <v>17</v>
      </c>
      <c r="J812" s="4">
        <v>2</v>
      </c>
      <c r="K812" s="4">
        <v>89.02</v>
      </c>
      <c r="L812" s="4">
        <v>8</v>
      </c>
      <c r="M812" s="4">
        <v>29.14</v>
      </c>
      <c r="N812" s="4">
        <v>120.44540000000001</v>
      </c>
      <c r="O812" s="4">
        <v>86</v>
      </c>
      <c r="P812" s="4">
        <v>3.8764546470000001</v>
      </c>
      <c r="Q812" s="4">
        <v>82.472999999999999</v>
      </c>
      <c r="R812" s="10"/>
    </row>
    <row r="813" spans="1:18" ht="28.8" x14ac:dyDescent="0.3">
      <c r="A813" t="s">
        <v>1</v>
      </c>
      <c r="B813" s="3" t="s">
        <v>279</v>
      </c>
      <c r="C813" s="2">
        <v>43217</v>
      </c>
      <c r="D813" s="9">
        <v>0.89444444444444449</v>
      </c>
      <c r="E813" s="3">
        <f t="shared" ca="1" si="12"/>
        <v>525403511</v>
      </c>
      <c r="F813" t="s">
        <v>11</v>
      </c>
      <c r="G813" t="s">
        <v>15</v>
      </c>
      <c r="H813" s="1" t="s">
        <v>237</v>
      </c>
      <c r="I813" t="s">
        <v>18</v>
      </c>
      <c r="J813" s="4">
        <v>7</v>
      </c>
      <c r="K813" s="4">
        <v>17.41</v>
      </c>
      <c r="L813" s="4">
        <v>10</v>
      </c>
      <c r="M813" s="4">
        <v>89.7</v>
      </c>
      <c r="N813" s="4">
        <v>159.6</v>
      </c>
      <c r="O813" s="4">
        <v>402.6</v>
      </c>
      <c r="P813" s="4">
        <v>3.8764546470000001</v>
      </c>
      <c r="Q813" s="4">
        <v>51.05</v>
      </c>
      <c r="R813" s="10"/>
    </row>
    <row r="814" spans="1:18" ht="28.8" x14ac:dyDescent="0.3">
      <c r="A814" t="s">
        <v>2</v>
      </c>
      <c r="B814" s="3" t="s">
        <v>280</v>
      </c>
      <c r="C814" s="2">
        <v>43230</v>
      </c>
      <c r="D814" s="9">
        <v>0.40833333333333333</v>
      </c>
      <c r="E814" s="3">
        <f t="shared" ca="1" si="12"/>
        <v>422248260</v>
      </c>
      <c r="F814" t="s">
        <v>11</v>
      </c>
      <c r="G814" t="s">
        <v>14</v>
      </c>
      <c r="H814" s="1" t="s">
        <v>237</v>
      </c>
      <c r="I814" t="s">
        <v>20</v>
      </c>
      <c r="J814" s="4">
        <v>4</v>
      </c>
      <c r="K814" s="4">
        <v>80.25</v>
      </c>
      <c r="L814" s="4">
        <v>5</v>
      </c>
      <c r="M814" s="4">
        <v>50.93</v>
      </c>
      <c r="N814" s="4">
        <v>184.9</v>
      </c>
      <c r="O814" s="4">
        <v>324.85000000000002</v>
      </c>
      <c r="P814" s="4">
        <v>3.8764546470000001</v>
      </c>
      <c r="Q814" s="4">
        <v>76.3</v>
      </c>
      <c r="R814" s="10"/>
    </row>
    <row r="815" spans="1:18" x14ac:dyDescent="0.3">
      <c r="A815" t="s">
        <v>1</v>
      </c>
      <c r="B815" s="3" t="s">
        <v>279</v>
      </c>
      <c r="C815" s="2">
        <v>42847</v>
      </c>
      <c r="D815" s="9">
        <v>0.27708333333333335</v>
      </c>
      <c r="E815" s="3">
        <f t="shared" ca="1" si="12"/>
        <v>68669678</v>
      </c>
      <c r="F815" t="s">
        <v>12</v>
      </c>
      <c r="G815" t="s">
        <v>15</v>
      </c>
      <c r="H815" s="1" t="s">
        <v>236</v>
      </c>
      <c r="I815" t="s">
        <v>18</v>
      </c>
      <c r="J815" s="4">
        <v>3</v>
      </c>
      <c r="K815" s="4">
        <v>77.989999999999995</v>
      </c>
      <c r="L815" s="4">
        <v>1</v>
      </c>
      <c r="M815" s="4">
        <v>35.5</v>
      </c>
      <c r="N815" s="4">
        <v>169.4</v>
      </c>
      <c r="O815" s="4">
        <v>95.15</v>
      </c>
      <c r="P815" s="4">
        <v>3.8764546470000001</v>
      </c>
      <c r="Q815" s="4">
        <v>18.47</v>
      </c>
      <c r="R815" s="10"/>
    </row>
    <row r="816" spans="1:18" x14ac:dyDescent="0.3">
      <c r="A816" t="s">
        <v>1</v>
      </c>
      <c r="B816" s="3" t="s">
        <v>279</v>
      </c>
      <c r="C816" s="2">
        <v>43003</v>
      </c>
      <c r="D816" s="9">
        <v>0.19444444444444445</v>
      </c>
      <c r="E816" s="3">
        <f t="shared" ca="1" si="12"/>
        <v>918238106</v>
      </c>
      <c r="F816" t="s">
        <v>11</v>
      </c>
      <c r="G816" t="s">
        <v>14</v>
      </c>
      <c r="H816" s="1" t="s">
        <v>236</v>
      </c>
      <c r="I816" t="s">
        <v>18</v>
      </c>
      <c r="J816" s="4">
        <v>9</v>
      </c>
      <c r="K816" s="4">
        <v>32.840000000000003</v>
      </c>
      <c r="L816" s="4">
        <v>8</v>
      </c>
      <c r="M816" s="4">
        <v>53.18</v>
      </c>
      <c r="N816" s="4">
        <v>179.1</v>
      </c>
      <c r="O816" s="4">
        <v>388.96</v>
      </c>
      <c r="P816" s="4">
        <v>3.8764546470000001</v>
      </c>
      <c r="Q816" s="4">
        <v>76.75</v>
      </c>
      <c r="R816" s="10"/>
    </row>
    <row r="817" spans="1:18" x14ac:dyDescent="0.3">
      <c r="A817" t="s">
        <v>3</v>
      </c>
      <c r="B817" s="3" t="s">
        <v>281</v>
      </c>
      <c r="C817" s="2">
        <v>42951</v>
      </c>
      <c r="D817" s="9">
        <v>0.30138888888888887</v>
      </c>
      <c r="E817" s="3">
        <f t="shared" ca="1" si="12"/>
        <v>982289744</v>
      </c>
      <c r="F817" t="s">
        <v>11</v>
      </c>
      <c r="G817" t="s">
        <v>15</v>
      </c>
      <c r="H817" s="1" t="s">
        <v>235</v>
      </c>
      <c r="I817" t="s">
        <v>21</v>
      </c>
      <c r="J817" s="4">
        <v>2</v>
      </c>
      <c r="K817" s="4">
        <v>49.1</v>
      </c>
      <c r="L817" s="4">
        <v>8</v>
      </c>
      <c r="M817" s="4">
        <v>60.39</v>
      </c>
      <c r="N817" s="4">
        <v>108.9</v>
      </c>
      <c r="O817" s="4">
        <v>425.68</v>
      </c>
      <c r="P817" s="4">
        <v>3.8764546470000001</v>
      </c>
      <c r="Q817" s="4">
        <v>28.02</v>
      </c>
      <c r="R817" s="10"/>
    </row>
    <row r="818" spans="1:18" x14ac:dyDescent="0.3">
      <c r="A818" t="s">
        <v>2</v>
      </c>
      <c r="B818" s="3" t="s">
        <v>280</v>
      </c>
      <c r="C818" s="2">
        <v>43413</v>
      </c>
      <c r="D818" s="9">
        <v>0.30625000000000002</v>
      </c>
      <c r="E818" s="3">
        <f t="shared" ca="1" si="12"/>
        <v>813112794</v>
      </c>
      <c r="F818" t="s">
        <v>11</v>
      </c>
      <c r="G818" t="s">
        <v>15</v>
      </c>
      <c r="H818" s="1" t="s">
        <v>236</v>
      </c>
      <c r="I818" t="s">
        <v>22</v>
      </c>
      <c r="J818" s="4">
        <v>7</v>
      </c>
      <c r="K818" s="4">
        <v>11.7</v>
      </c>
      <c r="L818" s="4">
        <v>7</v>
      </c>
      <c r="M818" s="4">
        <v>19.510000000000002</v>
      </c>
      <c r="N818" s="4">
        <v>138.131</v>
      </c>
      <c r="O818" s="4">
        <v>318.08</v>
      </c>
      <c r="P818" s="4">
        <v>3.8764546470000001</v>
      </c>
      <c r="Q818" s="4">
        <v>55.14</v>
      </c>
      <c r="R818" s="10"/>
    </row>
    <row r="819" spans="1:18" x14ac:dyDescent="0.3">
      <c r="A819" t="s">
        <v>1</v>
      </c>
      <c r="B819" s="3" t="s">
        <v>279</v>
      </c>
      <c r="C819" s="2">
        <v>42909</v>
      </c>
      <c r="D819" s="9">
        <v>0.42777777777777776</v>
      </c>
      <c r="E819" s="3">
        <f t="shared" ca="1" si="12"/>
        <v>88166333</v>
      </c>
      <c r="F819" t="s">
        <v>12</v>
      </c>
      <c r="G819" t="s">
        <v>15</v>
      </c>
      <c r="H819" s="1" t="s">
        <v>235</v>
      </c>
      <c r="I819" t="s">
        <v>21</v>
      </c>
      <c r="J819" s="4">
        <v>8.1</v>
      </c>
      <c r="K819" s="4">
        <v>68.367999999999995</v>
      </c>
      <c r="L819" s="4">
        <v>8</v>
      </c>
      <c r="M819" s="4">
        <v>17.87</v>
      </c>
      <c r="N819" s="4">
        <v>130.77199999999999</v>
      </c>
      <c r="O819" s="4">
        <v>271.04000000000002</v>
      </c>
      <c r="P819" s="4">
        <v>3.8764546470000001</v>
      </c>
      <c r="Q819" s="4">
        <v>32.840000000000003</v>
      </c>
      <c r="R819" s="10"/>
    </row>
    <row r="820" spans="1:18" ht="28.8" x14ac:dyDescent="0.3">
      <c r="A820" t="s">
        <v>3</v>
      </c>
      <c r="B820" s="3" t="s">
        <v>281</v>
      </c>
      <c r="C820" s="2">
        <v>43170</v>
      </c>
      <c r="D820" s="9">
        <v>0.60763888888888884</v>
      </c>
      <c r="E820" s="3">
        <f t="shared" ca="1" si="12"/>
        <v>659937120</v>
      </c>
      <c r="F820" t="s">
        <v>12</v>
      </c>
      <c r="G820" t="s">
        <v>14</v>
      </c>
      <c r="H820" s="1" t="s">
        <v>237</v>
      </c>
      <c r="I820" t="s">
        <v>17</v>
      </c>
      <c r="J820" s="4">
        <v>4.5</v>
      </c>
      <c r="K820" s="4">
        <v>95.45</v>
      </c>
      <c r="L820" s="4">
        <v>4</v>
      </c>
      <c r="M820" s="4">
        <v>78.02</v>
      </c>
      <c r="N820" s="4">
        <v>182.2313</v>
      </c>
      <c r="O820" s="4">
        <v>384.64</v>
      </c>
      <c r="P820" s="4">
        <v>3.8764546470000001</v>
      </c>
      <c r="Q820" s="4">
        <v>69.435000000000002</v>
      </c>
      <c r="R820" s="10"/>
    </row>
    <row r="821" spans="1:18" ht="28.8" x14ac:dyDescent="0.3">
      <c r="A821" t="s">
        <v>3</v>
      </c>
      <c r="B821" s="3" t="s">
        <v>281</v>
      </c>
      <c r="C821" s="2">
        <v>43341</v>
      </c>
      <c r="D821" s="9">
        <v>0.71458333333333335</v>
      </c>
      <c r="E821" s="3">
        <f t="shared" ca="1" si="12"/>
        <v>105391518</v>
      </c>
      <c r="F821" t="s">
        <v>12</v>
      </c>
      <c r="G821" t="s">
        <v>14</v>
      </c>
      <c r="H821" s="1" t="s">
        <v>237</v>
      </c>
      <c r="I821" t="s">
        <v>21</v>
      </c>
      <c r="J821" s="4">
        <v>9</v>
      </c>
      <c r="K821" s="4">
        <v>24.18</v>
      </c>
      <c r="L821" s="4">
        <v>5</v>
      </c>
      <c r="M821" s="4">
        <v>12.99</v>
      </c>
      <c r="N821" s="4">
        <v>127.81270000000001</v>
      </c>
      <c r="O821" s="4">
        <v>235.8</v>
      </c>
      <c r="P821" s="4">
        <v>3.8764546470000001</v>
      </c>
      <c r="Q821" s="4">
        <v>55.274999999999999</v>
      </c>
      <c r="R821" s="10"/>
    </row>
    <row r="822" spans="1:18" x14ac:dyDescent="0.3">
      <c r="A822" t="s">
        <v>3</v>
      </c>
      <c r="B822" s="3" t="s">
        <v>281</v>
      </c>
      <c r="C822" s="2">
        <v>43466</v>
      </c>
      <c r="D822" s="9">
        <v>0.48125000000000001</v>
      </c>
      <c r="E822" s="3">
        <f t="shared" ca="1" si="12"/>
        <v>409264870</v>
      </c>
      <c r="F822" t="s">
        <v>12</v>
      </c>
      <c r="G822" t="s">
        <v>15</v>
      </c>
      <c r="H822" s="1" t="s">
        <v>235</v>
      </c>
      <c r="I822" t="s">
        <v>18</v>
      </c>
      <c r="J822" s="4">
        <v>5.7</v>
      </c>
      <c r="K822" s="4">
        <v>68.45</v>
      </c>
      <c r="L822" s="4">
        <v>4</v>
      </c>
      <c r="M822" s="4">
        <v>22.25</v>
      </c>
      <c r="N822" s="4">
        <v>162.06950000000001</v>
      </c>
      <c r="O822" s="4">
        <v>211.56</v>
      </c>
      <c r="P822" s="4">
        <v>3.8764546470000001</v>
      </c>
      <c r="Q822" s="4">
        <v>67.141000000000005</v>
      </c>
      <c r="R822" s="10"/>
    </row>
    <row r="823" spans="1:18" ht="28.8" x14ac:dyDescent="0.3">
      <c r="A823" t="s">
        <v>1</v>
      </c>
      <c r="B823" s="3" t="s">
        <v>279</v>
      </c>
      <c r="C823" s="2">
        <v>43188</v>
      </c>
      <c r="D823" s="9">
        <v>4.3749999999999997E-2</v>
      </c>
      <c r="E823" s="3">
        <f t="shared" ca="1" si="12"/>
        <v>92221113</v>
      </c>
      <c r="F823" t="s">
        <v>11</v>
      </c>
      <c r="G823" t="s">
        <v>14</v>
      </c>
      <c r="H823" s="1" t="s">
        <v>237</v>
      </c>
      <c r="I823" t="s">
        <v>19</v>
      </c>
      <c r="J823" s="4">
        <v>2.5</v>
      </c>
      <c r="K823" s="4">
        <v>10.66</v>
      </c>
      <c r="L823" s="4">
        <v>2</v>
      </c>
      <c r="M823" s="4">
        <v>72.52</v>
      </c>
      <c r="N823" s="4">
        <v>103.6631</v>
      </c>
      <c r="O823" s="4">
        <v>95.36</v>
      </c>
      <c r="P823" s="4">
        <v>3.8764546470000001</v>
      </c>
      <c r="Q823" s="4">
        <v>56.151000000000003</v>
      </c>
      <c r="R823" s="10"/>
    </row>
    <row r="824" spans="1:18" x14ac:dyDescent="0.3">
      <c r="A824" t="s">
        <v>2</v>
      </c>
      <c r="B824" s="3" t="s">
        <v>280</v>
      </c>
      <c r="C824" s="2">
        <v>43091</v>
      </c>
      <c r="D824" s="9">
        <v>0.24791666666666667</v>
      </c>
      <c r="E824" s="3">
        <f t="shared" ca="1" si="12"/>
        <v>232366600</v>
      </c>
      <c r="F824" t="s">
        <v>12</v>
      </c>
      <c r="G824" t="s">
        <v>14</v>
      </c>
      <c r="H824" s="1" t="s">
        <v>236</v>
      </c>
      <c r="I824" t="s">
        <v>20</v>
      </c>
      <c r="J824" s="4">
        <v>2.1</v>
      </c>
      <c r="K824" s="4">
        <v>33.6</v>
      </c>
      <c r="L824" s="4">
        <v>1</v>
      </c>
      <c r="M824" s="4">
        <v>49.76</v>
      </c>
      <c r="N824" s="4">
        <v>100.3</v>
      </c>
      <c r="O824" s="4">
        <v>10.17</v>
      </c>
      <c r="P824" s="4">
        <v>3.8764546470000001</v>
      </c>
      <c r="Q824" s="4">
        <v>16.585999999999999</v>
      </c>
      <c r="R824" s="10"/>
    </row>
    <row r="825" spans="1:18" x14ac:dyDescent="0.3">
      <c r="A825" t="s">
        <v>1</v>
      </c>
      <c r="B825" s="3" t="s">
        <v>279</v>
      </c>
      <c r="C825" s="2">
        <v>43402</v>
      </c>
      <c r="D825" s="9">
        <v>0.85069444444444442</v>
      </c>
      <c r="E825" s="3">
        <f t="shared" ca="1" si="12"/>
        <v>883993657</v>
      </c>
      <c r="F825" t="s">
        <v>11</v>
      </c>
      <c r="G825" t="s">
        <v>15</v>
      </c>
      <c r="H825" s="1" t="s">
        <v>236</v>
      </c>
      <c r="I825" t="s">
        <v>17</v>
      </c>
      <c r="J825" s="4">
        <v>8.6</v>
      </c>
      <c r="K825" s="4">
        <v>90.64</v>
      </c>
      <c r="L825" s="4">
        <v>3</v>
      </c>
      <c r="M825" s="4">
        <v>23.12</v>
      </c>
      <c r="N825" s="4">
        <v>109.1</v>
      </c>
      <c r="O825" s="4">
        <v>206.13</v>
      </c>
      <c r="P825" s="4">
        <v>3.8764546470000001</v>
      </c>
      <c r="Q825" s="4">
        <v>26.27</v>
      </c>
      <c r="R825" s="10"/>
    </row>
    <row r="826" spans="1:18" ht="28.8" x14ac:dyDescent="0.3">
      <c r="A826" t="s">
        <v>3</v>
      </c>
      <c r="B826" s="3" t="s">
        <v>281</v>
      </c>
      <c r="C826" s="2">
        <v>43077</v>
      </c>
      <c r="D826" s="9">
        <v>0.22847222222222222</v>
      </c>
      <c r="E826" s="3">
        <f t="shared" ca="1" si="12"/>
        <v>197333119</v>
      </c>
      <c r="F826" t="s">
        <v>11</v>
      </c>
      <c r="G826" t="s">
        <v>14</v>
      </c>
      <c r="H826" s="1" t="s">
        <v>237</v>
      </c>
      <c r="I826" t="s">
        <v>20</v>
      </c>
      <c r="J826" s="4">
        <v>8.1999999999999993</v>
      </c>
      <c r="K826" s="4">
        <v>94.350999999999999</v>
      </c>
      <c r="L826" s="4">
        <v>7</v>
      </c>
      <c r="M826" s="4">
        <v>94.46</v>
      </c>
      <c r="N826" s="4">
        <v>126.4</v>
      </c>
      <c r="O826" s="4">
        <v>420.56</v>
      </c>
      <c r="P826" s="4">
        <v>3.8764546470000001</v>
      </c>
      <c r="Q826" s="4">
        <v>71.27</v>
      </c>
      <c r="R826" s="10"/>
    </row>
    <row r="827" spans="1:18" ht="28.8" x14ac:dyDescent="0.3">
      <c r="A827" t="s">
        <v>1</v>
      </c>
      <c r="B827" s="3" t="s">
        <v>279</v>
      </c>
      <c r="C827" s="2">
        <v>43450</v>
      </c>
      <c r="D827" s="9">
        <v>0.44722222222222224</v>
      </c>
      <c r="E827" s="3">
        <f t="shared" ca="1" si="12"/>
        <v>599026109</v>
      </c>
      <c r="F827" t="s">
        <v>11</v>
      </c>
      <c r="G827" t="s">
        <v>14</v>
      </c>
      <c r="H827" s="1" t="s">
        <v>237</v>
      </c>
      <c r="I827" t="s">
        <v>20</v>
      </c>
      <c r="J827" s="4">
        <v>9</v>
      </c>
      <c r="K827" s="4">
        <v>98.98</v>
      </c>
      <c r="L827" s="4">
        <v>4</v>
      </c>
      <c r="M827" s="4">
        <v>15.86</v>
      </c>
      <c r="N827" s="4">
        <v>162.69999999999999</v>
      </c>
      <c r="O827" s="4">
        <v>88.04</v>
      </c>
      <c r="P827" s="4">
        <v>3.8764546470000001</v>
      </c>
      <c r="Q827" s="4">
        <v>70.447999999999993</v>
      </c>
      <c r="R827" s="10"/>
    </row>
    <row r="828" spans="1:18" ht="28.8" x14ac:dyDescent="0.3">
      <c r="A828" t="s">
        <v>3</v>
      </c>
      <c r="B828" s="3" t="s">
        <v>281</v>
      </c>
      <c r="C828" s="2">
        <v>43196</v>
      </c>
      <c r="D828" s="9">
        <v>8.2638888888888887E-2</v>
      </c>
      <c r="E828" s="3">
        <f t="shared" ca="1" si="12"/>
        <v>378597856</v>
      </c>
      <c r="F828" t="s">
        <v>11</v>
      </c>
      <c r="G828" t="s">
        <v>14</v>
      </c>
      <c r="H828" s="1" t="s">
        <v>237</v>
      </c>
      <c r="I828" t="s">
        <v>17</v>
      </c>
      <c r="J828" s="4">
        <v>3.7</v>
      </c>
      <c r="K828" s="4">
        <v>28.52</v>
      </c>
      <c r="L828" s="4">
        <v>9</v>
      </c>
      <c r="M828" s="4">
        <v>59.15</v>
      </c>
      <c r="N828" s="4">
        <v>160.6</v>
      </c>
      <c r="O828" s="4">
        <v>648.99</v>
      </c>
      <c r="P828" s="4">
        <v>3.8764546470000001</v>
      </c>
      <c r="Q828" s="4">
        <v>94.603999999999999</v>
      </c>
      <c r="R828" s="10"/>
    </row>
    <row r="829" spans="1:18" ht="28.8" x14ac:dyDescent="0.3">
      <c r="A829" t="s">
        <v>1</v>
      </c>
      <c r="B829" s="3" t="s">
        <v>279</v>
      </c>
      <c r="C829" s="2">
        <v>42797</v>
      </c>
      <c r="D829" s="9">
        <v>0.61250000000000004</v>
      </c>
      <c r="E829" s="3">
        <f t="shared" ca="1" si="12"/>
        <v>594633977</v>
      </c>
      <c r="F829" t="s">
        <v>12</v>
      </c>
      <c r="G829" t="s">
        <v>14</v>
      </c>
      <c r="H829" s="1" t="s">
        <v>237</v>
      </c>
      <c r="I829" t="s">
        <v>22</v>
      </c>
      <c r="J829" s="4">
        <v>3.5</v>
      </c>
      <c r="K829" s="4">
        <v>74.89</v>
      </c>
      <c r="L829" s="4">
        <v>3</v>
      </c>
      <c r="M829" s="4">
        <v>61.86</v>
      </c>
      <c r="N829" s="4">
        <v>103.77379999999999</v>
      </c>
      <c r="O829" s="4">
        <v>123.84</v>
      </c>
      <c r="P829" s="4">
        <v>3.8764546470000001</v>
      </c>
      <c r="Q829" s="4">
        <v>59.631999999999998</v>
      </c>
      <c r="R829" s="10"/>
    </row>
    <row r="830" spans="1:18" x14ac:dyDescent="0.3">
      <c r="A830" t="s">
        <v>2</v>
      </c>
      <c r="B830" s="3" t="s">
        <v>280</v>
      </c>
      <c r="C830" s="2">
        <v>42848</v>
      </c>
      <c r="D830" s="9">
        <v>0.3840277777777778</v>
      </c>
      <c r="E830" s="3">
        <f t="shared" ca="1" si="12"/>
        <v>55488241</v>
      </c>
      <c r="F830" t="s">
        <v>12</v>
      </c>
      <c r="G830" t="s">
        <v>15</v>
      </c>
      <c r="H830" s="1" t="s">
        <v>236</v>
      </c>
      <c r="I830" t="s">
        <v>18</v>
      </c>
      <c r="J830" s="4">
        <v>5.7</v>
      </c>
      <c r="K830" s="4">
        <v>12.08</v>
      </c>
      <c r="L830" s="4">
        <v>10</v>
      </c>
      <c r="M830" s="4">
        <v>86.41</v>
      </c>
      <c r="N830" s="4">
        <v>162.19839999999999</v>
      </c>
      <c r="O830" s="4">
        <v>649.5</v>
      </c>
      <c r="P830" s="4">
        <v>3.8764546470000001</v>
      </c>
      <c r="Q830" s="4">
        <v>43.11</v>
      </c>
      <c r="R830" s="10"/>
    </row>
    <row r="831" spans="1:18" ht="28.8" x14ac:dyDescent="0.3">
      <c r="A831" t="s">
        <v>1</v>
      </c>
      <c r="B831" s="3" t="s">
        <v>279</v>
      </c>
      <c r="C831" s="2">
        <v>43114</v>
      </c>
      <c r="D831" s="9">
        <v>0.35486111111111113</v>
      </c>
      <c r="E831" s="3">
        <f t="shared" ca="1" si="12"/>
        <v>643051141</v>
      </c>
      <c r="F831" t="s">
        <v>11</v>
      </c>
      <c r="G831" t="s">
        <v>14</v>
      </c>
      <c r="H831" s="1" t="s">
        <v>237</v>
      </c>
      <c r="I831" t="s">
        <v>18</v>
      </c>
      <c r="J831" s="4">
        <v>1.3</v>
      </c>
      <c r="K831" s="4">
        <v>93.98</v>
      </c>
      <c r="L831" s="4">
        <v>10</v>
      </c>
      <c r="M831" s="4">
        <v>51.59</v>
      </c>
      <c r="N831" s="4">
        <v>169.77359999999999</v>
      </c>
      <c r="O831" s="4">
        <v>742.2</v>
      </c>
      <c r="P831" s="4">
        <v>3.8764546470000001</v>
      </c>
      <c r="Q831" s="4">
        <v>20.58</v>
      </c>
      <c r="R831" s="10"/>
    </row>
    <row r="832" spans="1:18" x14ac:dyDescent="0.3">
      <c r="A832" t="s">
        <v>1</v>
      </c>
      <c r="B832" s="3" t="s">
        <v>279</v>
      </c>
      <c r="C832" s="2">
        <v>43459</v>
      </c>
      <c r="D832" s="9">
        <v>0.36458333333333331</v>
      </c>
      <c r="E832" s="3">
        <f t="shared" ca="1" si="12"/>
        <v>917232976</v>
      </c>
      <c r="F832" t="s">
        <v>12</v>
      </c>
      <c r="G832" t="s">
        <v>15</v>
      </c>
      <c r="H832" s="1" t="s">
        <v>236</v>
      </c>
      <c r="I832" t="s">
        <v>18</v>
      </c>
      <c r="J832" s="4">
        <v>4.7</v>
      </c>
      <c r="K832" s="4">
        <v>94.39</v>
      </c>
      <c r="L832" s="4">
        <v>8</v>
      </c>
      <c r="M832" s="4">
        <v>18.559999999999999</v>
      </c>
      <c r="N832" s="4">
        <v>159.80340000000001</v>
      </c>
      <c r="O832" s="4">
        <v>84.48</v>
      </c>
      <c r="P832" s="4">
        <v>3.8764546470000001</v>
      </c>
      <c r="Q832" s="4">
        <v>19.05</v>
      </c>
      <c r="R832" s="10"/>
    </row>
    <row r="833" spans="1:18" x14ac:dyDescent="0.3">
      <c r="A833" t="s">
        <v>3</v>
      </c>
      <c r="B833" s="3" t="s">
        <v>281</v>
      </c>
      <c r="C833" s="2">
        <v>43315</v>
      </c>
      <c r="D833" s="9">
        <v>0.22847222222222222</v>
      </c>
      <c r="E833" s="3">
        <f t="shared" ca="1" si="12"/>
        <v>896831901</v>
      </c>
      <c r="F833" t="s">
        <v>12</v>
      </c>
      <c r="G833" t="s">
        <v>15</v>
      </c>
      <c r="H833" s="1" t="s">
        <v>236</v>
      </c>
      <c r="I833" t="s">
        <v>17</v>
      </c>
      <c r="J833" s="4">
        <v>3.7</v>
      </c>
      <c r="K833" s="4">
        <v>72.69</v>
      </c>
      <c r="L833" s="4">
        <v>4</v>
      </c>
      <c r="M833" s="4">
        <v>26.01</v>
      </c>
      <c r="N833" s="4">
        <v>147.8612</v>
      </c>
      <c r="O833" s="4">
        <v>250.28</v>
      </c>
      <c r="P833" s="4">
        <v>3.8764546470000001</v>
      </c>
      <c r="Q833" s="4">
        <v>23.86</v>
      </c>
      <c r="R833" s="10"/>
    </row>
    <row r="834" spans="1:18" x14ac:dyDescent="0.3">
      <c r="A834" t="s">
        <v>3</v>
      </c>
      <c r="B834" s="3" t="s">
        <v>281</v>
      </c>
      <c r="C834" s="2">
        <v>43277</v>
      </c>
      <c r="D834" s="9">
        <v>0.16041666666666668</v>
      </c>
      <c r="E834" s="3">
        <f t="shared" ca="1" si="12"/>
        <v>843875438</v>
      </c>
      <c r="F834" t="s">
        <v>11</v>
      </c>
      <c r="G834" t="s">
        <v>14</v>
      </c>
      <c r="H834" s="1" t="s">
        <v>236</v>
      </c>
      <c r="I834" t="s">
        <v>20</v>
      </c>
      <c r="J834" s="4">
        <v>6.2</v>
      </c>
      <c r="K834" s="4">
        <v>83.97</v>
      </c>
      <c r="L834" s="4">
        <v>8</v>
      </c>
      <c r="M834" s="4">
        <v>46.63</v>
      </c>
      <c r="N834" s="4">
        <v>156.60599999999999</v>
      </c>
      <c r="O834" s="4">
        <v>94.8</v>
      </c>
      <c r="P834" s="4">
        <v>3.8764546470000001</v>
      </c>
      <c r="Q834" s="4">
        <v>48</v>
      </c>
      <c r="R834" s="10"/>
    </row>
    <row r="835" spans="1:18" x14ac:dyDescent="0.3">
      <c r="A835" t="s">
        <v>1</v>
      </c>
      <c r="B835" s="3" t="s">
        <v>279</v>
      </c>
      <c r="C835" s="2">
        <v>43026</v>
      </c>
      <c r="D835" s="9">
        <v>0.24305555555555555</v>
      </c>
      <c r="E835" s="3">
        <f t="shared" ref="E835:E898" ca="1" si="13">RANDBETWEEN(10000000,1000000000)</f>
        <v>557779532</v>
      </c>
      <c r="F835" t="s">
        <v>12</v>
      </c>
      <c r="G835" t="s">
        <v>14</v>
      </c>
      <c r="H835" s="1" t="s">
        <v>235</v>
      </c>
      <c r="I835" t="s">
        <v>17</v>
      </c>
      <c r="J835" s="4">
        <v>8.1</v>
      </c>
      <c r="K835" s="4">
        <v>63.52</v>
      </c>
      <c r="L835" s="4">
        <v>1</v>
      </c>
      <c r="M835" s="4">
        <v>93.21</v>
      </c>
      <c r="N835" s="4">
        <v>115.1</v>
      </c>
      <c r="O835" s="4">
        <v>91.3</v>
      </c>
      <c r="P835" s="4">
        <v>3.8764546470000001</v>
      </c>
      <c r="Q835" s="4">
        <v>51.93</v>
      </c>
      <c r="R835" s="10"/>
    </row>
    <row r="836" spans="1:18" x14ac:dyDescent="0.3">
      <c r="A836" t="s">
        <v>3</v>
      </c>
      <c r="B836" s="3" t="s">
        <v>281</v>
      </c>
      <c r="C836" s="2">
        <v>43268</v>
      </c>
      <c r="D836" s="9">
        <v>0.5541666666666667</v>
      </c>
      <c r="E836" s="3">
        <f t="shared" ca="1" si="13"/>
        <v>616359591</v>
      </c>
      <c r="F836" t="s">
        <v>11</v>
      </c>
      <c r="G836" t="s">
        <v>14</v>
      </c>
      <c r="H836" s="1" t="s">
        <v>235</v>
      </c>
      <c r="I836" t="s">
        <v>19</v>
      </c>
      <c r="J836" s="4">
        <v>6</v>
      </c>
      <c r="K836" s="4">
        <v>70.58</v>
      </c>
      <c r="L836" s="4">
        <v>7</v>
      </c>
      <c r="M836" s="4">
        <v>39.700000000000003</v>
      </c>
      <c r="N836" s="4">
        <v>137.80000000000001</v>
      </c>
      <c r="O836" s="4">
        <v>285.11</v>
      </c>
      <c r="P836" s="4">
        <v>3.8764546470000001</v>
      </c>
      <c r="Q836" s="4">
        <v>58.89</v>
      </c>
      <c r="R836" s="10"/>
    </row>
    <row r="837" spans="1:18" x14ac:dyDescent="0.3">
      <c r="A837" t="s">
        <v>1</v>
      </c>
      <c r="B837" s="3" t="s">
        <v>279</v>
      </c>
      <c r="C837" s="2">
        <v>43314</v>
      </c>
      <c r="D837" s="9">
        <v>0.89444444444444449</v>
      </c>
      <c r="E837" s="3">
        <f t="shared" ca="1" si="13"/>
        <v>22655595</v>
      </c>
      <c r="F837" t="s">
        <v>12</v>
      </c>
      <c r="G837" t="s">
        <v>15</v>
      </c>
      <c r="H837" s="1" t="s">
        <v>236</v>
      </c>
      <c r="I837" t="s">
        <v>22</v>
      </c>
      <c r="J837" s="4">
        <v>5</v>
      </c>
      <c r="K837" s="4">
        <v>63.61</v>
      </c>
      <c r="L837" s="4">
        <v>1</v>
      </c>
      <c r="M837" s="4">
        <v>15.24</v>
      </c>
      <c r="N837" s="4">
        <v>127.2</v>
      </c>
      <c r="O837" s="4">
        <v>52.38</v>
      </c>
      <c r="P837" s="4">
        <v>3.8764546470000001</v>
      </c>
      <c r="Q837" s="4">
        <v>75.12</v>
      </c>
      <c r="R837" s="10"/>
    </row>
    <row r="838" spans="1:18" x14ac:dyDescent="0.3">
      <c r="A838" t="s">
        <v>1</v>
      </c>
      <c r="B838" s="3" t="s">
        <v>279</v>
      </c>
      <c r="C838" s="2">
        <v>43447</v>
      </c>
      <c r="D838" s="9">
        <v>0.84097222222222223</v>
      </c>
      <c r="E838" s="3">
        <f t="shared" ca="1" si="13"/>
        <v>455245625</v>
      </c>
      <c r="F838" t="s">
        <v>12</v>
      </c>
      <c r="G838" t="s">
        <v>14</v>
      </c>
      <c r="H838" s="1" t="s">
        <v>235</v>
      </c>
      <c r="I838" t="s">
        <v>22</v>
      </c>
      <c r="J838" s="4">
        <v>4.9000000000000004</v>
      </c>
      <c r="K838" s="4">
        <v>58.51</v>
      </c>
      <c r="L838" s="4">
        <v>5</v>
      </c>
      <c r="M838" s="4">
        <v>92.91</v>
      </c>
      <c r="N838" s="4">
        <v>184.7</v>
      </c>
      <c r="O838" s="4">
        <v>192.7</v>
      </c>
      <c r="P838" s="4">
        <v>3.8764546470000001</v>
      </c>
      <c r="Q838" s="4">
        <v>98.4</v>
      </c>
      <c r="R838" s="10"/>
    </row>
    <row r="839" spans="1:18" ht="28.8" x14ac:dyDescent="0.3">
      <c r="A839" t="s">
        <v>3</v>
      </c>
      <c r="B839" s="3" t="s">
        <v>281</v>
      </c>
      <c r="C839" s="2">
        <v>43175</v>
      </c>
      <c r="D839" s="9">
        <v>4.8611111111111112E-2</v>
      </c>
      <c r="E839" s="3">
        <f t="shared" ca="1" si="13"/>
        <v>824856964</v>
      </c>
      <c r="F839" t="s">
        <v>12</v>
      </c>
      <c r="G839" t="s">
        <v>15</v>
      </c>
      <c r="H839" s="1" t="s">
        <v>237</v>
      </c>
      <c r="I839" t="s">
        <v>20</v>
      </c>
      <c r="J839" s="4">
        <v>3.7</v>
      </c>
      <c r="K839" s="4">
        <v>87.05</v>
      </c>
      <c r="L839" s="4">
        <v>6</v>
      </c>
      <c r="M839" s="4">
        <v>89.21</v>
      </c>
      <c r="N839" s="4">
        <v>146.80000000000001</v>
      </c>
      <c r="O839" s="4">
        <v>267.77999999999997</v>
      </c>
      <c r="P839" s="4">
        <v>3.8764546470000001</v>
      </c>
      <c r="Q839" s="4">
        <v>26.632999999999999</v>
      </c>
      <c r="R839" s="10"/>
    </row>
    <row r="840" spans="1:18" x14ac:dyDescent="0.3">
      <c r="A840" t="s">
        <v>2</v>
      </c>
      <c r="B840" s="3" t="s">
        <v>280</v>
      </c>
      <c r="C840" s="2">
        <v>42839</v>
      </c>
      <c r="D840" s="9">
        <v>9.7222222222222224E-2</v>
      </c>
      <c r="E840" s="3">
        <f t="shared" ca="1" si="13"/>
        <v>665091249</v>
      </c>
      <c r="F840" t="s">
        <v>12</v>
      </c>
      <c r="G840" t="s">
        <v>15</v>
      </c>
      <c r="H840" s="1" t="s">
        <v>236</v>
      </c>
      <c r="I840" t="s">
        <v>18</v>
      </c>
      <c r="J840" s="4">
        <v>8.3000000000000007</v>
      </c>
      <c r="K840" s="4">
        <v>98.95</v>
      </c>
      <c r="L840" s="4">
        <v>10</v>
      </c>
      <c r="M840" s="4">
        <v>47.02</v>
      </c>
      <c r="N840" s="4">
        <v>148.6</v>
      </c>
      <c r="O840" s="4">
        <v>558.70000000000005</v>
      </c>
      <c r="P840" s="4">
        <v>3.8764546470000001</v>
      </c>
      <c r="Q840" s="4">
        <v>53.823999999999998</v>
      </c>
      <c r="R840" s="10"/>
    </row>
    <row r="841" spans="1:18" x14ac:dyDescent="0.3">
      <c r="A841" t="s">
        <v>2</v>
      </c>
      <c r="B841" s="3" t="s">
        <v>280</v>
      </c>
      <c r="C841" s="2">
        <v>42884</v>
      </c>
      <c r="D841" s="9">
        <v>0.15555555555555556</v>
      </c>
      <c r="E841" s="3">
        <f t="shared" ca="1" si="13"/>
        <v>581922932</v>
      </c>
      <c r="F841" t="s">
        <v>11</v>
      </c>
      <c r="G841" t="s">
        <v>14</v>
      </c>
      <c r="H841" s="1" t="s">
        <v>235</v>
      </c>
      <c r="I841" t="s">
        <v>20</v>
      </c>
      <c r="J841" s="4">
        <v>2.1</v>
      </c>
      <c r="K841" s="4">
        <v>15.68</v>
      </c>
      <c r="L841" s="4">
        <v>6</v>
      </c>
      <c r="M841" s="4">
        <v>92.17</v>
      </c>
      <c r="N841" s="4">
        <v>131.78290000000001</v>
      </c>
      <c r="O841" s="4">
        <v>175.32</v>
      </c>
      <c r="P841" s="4">
        <v>3.8764546470000001</v>
      </c>
      <c r="Q841" s="4">
        <v>16.065000000000001</v>
      </c>
      <c r="R841" s="10"/>
    </row>
    <row r="842" spans="1:18" x14ac:dyDescent="0.3">
      <c r="A842" t="s">
        <v>1</v>
      </c>
      <c r="B842" s="3" t="s">
        <v>279</v>
      </c>
      <c r="C842" s="2">
        <v>43088</v>
      </c>
      <c r="D842" s="9">
        <v>0.82152777777777775</v>
      </c>
      <c r="E842" s="3">
        <f t="shared" ca="1" si="13"/>
        <v>381271213</v>
      </c>
      <c r="F842" t="s">
        <v>12</v>
      </c>
      <c r="G842" t="s">
        <v>15</v>
      </c>
      <c r="H842" s="1" t="s">
        <v>236</v>
      </c>
      <c r="I842" t="s">
        <v>22</v>
      </c>
      <c r="J842" s="4">
        <v>3.6</v>
      </c>
      <c r="K842" s="4">
        <v>53.9</v>
      </c>
      <c r="L842" s="4">
        <v>3</v>
      </c>
      <c r="M842" s="4">
        <v>88.5</v>
      </c>
      <c r="N842" s="4">
        <v>147.45179999999999</v>
      </c>
      <c r="O842" s="4">
        <v>155.82</v>
      </c>
      <c r="P842" s="4">
        <v>3.8764546470000001</v>
      </c>
      <c r="Q842" s="4">
        <v>98.091999999999999</v>
      </c>
      <c r="R842" s="10"/>
    </row>
    <row r="843" spans="1:18" x14ac:dyDescent="0.3">
      <c r="A843" t="s">
        <v>3</v>
      </c>
      <c r="B843" s="3" t="s">
        <v>281</v>
      </c>
      <c r="C843" s="2">
        <v>43092</v>
      </c>
      <c r="D843" s="9">
        <v>0.9868055555555556</v>
      </c>
      <c r="E843" s="3">
        <f t="shared" ca="1" si="13"/>
        <v>40218515</v>
      </c>
      <c r="F843" t="s">
        <v>12</v>
      </c>
      <c r="G843" t="s">
        <v>15</v>
      </c>
      <c r="H843" s="1" t="s">
        <v>236</v>
      </c>
      <c r="I843" t="s">
        <v>18</v>
      </c>
      <c r="J843" s="4">
        <v>4</v>
      </c>
      <c r="K843" s="4">
        <v>10.29</v>
      </c>
      <c r="L843" s="4">
        <v>1</v>
      </c>
      <c r="M843" s="4">
        <v>91.39</v>
      </c>
      <c r="N843" s="4">
        <v>129.2183</v>
      </c>
      <c r="O843" s="4">
        <v>60.3</v>
      </c>
      <c r="P843" s="4">
        <v>3.8764546470000001</v>
      </c>
      <c r="Q843" s="4">
        <v>56.906999999999996</v>
      </c>
      <c r="R843" s="10"/>
    </row>
    <row r="844" spans="1:18" ht="28.8" x14ac:dyDescent="0.3">
      <c r="A844" t="s">
        <v>1</v>
      </c>
      <c r="B844" s="3" t="s">
        <v>279</v>
      </c>
      <c r="C844" s="2">
        <v>43092</v>
      </c>
      <c r="D844" s="9">
        <v>0.5493055555555556</v>
      </c>
      <c r="E844" s="3">
        <f t="shared" ca="1" si="13"/>
        <v>388177113</v>
      </c>
      <c r="F844" t="s">
        <v>11</v>
      </c>
      <c r="G844" t="s">
        <v>14</v>
      </c>
      <c r="H844" s="1" t="s">
        <v>237</v>
      </c>
      <c r="I844" t="s">
        <v>20</v>
      </c>
      <c r="J844" s="4">
        <v>5</v>
      </c>
      <c r="K844" s="4">
        <v>42.07</v>
      </c>
      <c r="L844" s="4">
        <v>2</v>
      </c>
      <c r="M844" s="4">
        <v>84.09</v>
      </c>
      <c r="N844" s="4">
        <v>165.56569999999999</v>
      </c>
      <c r="O844" s="4">
        <v>78.94</v>
      </c>
      <c r="P844" s="4">
        <v>3.8764546470000001</v>
      </c>
      <c r="Q844" s="4">
        <v>48.957000000000001</v>
      </c>
      <c r="R844" s="10"/>
    </row>
    <row r="845" spans="1:18" ht="28.8" x14ac:dyDescent="0.3">
      <c r="A845" t="s">
        <v>2</v>
      </c>
      <c r="B845" s="3" t="s">
        <v>280</v>
      </c>
      <c r="C845" s="2">
        <v>43046</v>
      </c>
      <c r="D845" s="9">
        <v>0.66597222222222219</v>
      </c>
      <c r="E845" s="3">
        <f t="shared" ca="1" si="13"/>
        <v>136638467</v>
      </c>
      <c r="F845" t="s">
        <v>11</v>
      </c>
      <c r="G845" t="s">
        <v>14</v>
      </c>
      <c r="H845" s="1" t="s">
        <v>237</v>
      </c>
      <c r="I845" t="s">
        <v>21</v>
      </c>
      <c r="J845" s="4">
        <v>1</v>
      </c>
      <c r="K845" s="4">
        <v>75.774000000000001</v>
      </c>
      <c r="L845" s="4">
        <v>2</v>
      </c>
      <c r="M845" s="4">
        <v>84.49</v>
      </c>
      <c r="N845" s="4">
        <v>161.727</v>
      </c>
      <c r="O845" s="4">
        <v>29.74</v>
      </c>
      <c r="P845" s="4">
        <v>3.8764546470000001</v>
      </c>
      <c r="Q845" s="4">
        <v>93.355000000000004</v>
      </c>
      <c r="R845" s="10"/>
    </row>
    <row r="846" spans="1:18" x14ac:dyDescent="0.3">
      <c r="A846" t="s">
        <v>1</v>
      </c>
      <c r="B846" s="3" t="s">
        <v>279</v>
      </c>
      <c r="C846" s="2">
        <v>43407</v>
      </c>
      <c r="D846" s="9">
        <v>0.61736111111111114</v>
      </c>
      <c r="E846" s="3">
        <f t="shared" ca="1" si="13"/>
        <v>137630611</v>
      </c>
      <c r="F846" t="s">
        <v>12</v>
      </c>
      <c r="G846" t="s">
        <v>15</v>
      </c>
      <c r="H846" s="1" t="s">
        <v>236</v>
      </c>
      <c r="I846" t="s">
        <v>22</v>
      </c>
      <c r="J846" s="4">
        <v>3</v>
      </c>
      <c r="K846" s="4">
        <v>60.27</v>
      </c>
      <c r="L846" s="4">
        <v>1</v>
      </c>
      <c r="M846" s="4">
        <v>29.14</v>
      </c>
      <c r="N846" s="4">
        <v>136.4597</v>
      </c>
      <c r="O846" s="4">
        <v>21.32</v>
      </c>
      <c r="P846" s="4">
        <v>3.8764546470000001</v>
      </c>
      <c r="Q846" s="4">
        <v>21.76</v>
      </c>
      <c r="R846" s="10"/>
    </row>
    <row r="847" spans="1:18" ht="28.8" x14ac:dyDescent="0.3">
      <c r="A847" t="s">
        <v>1</v>
      </c>
      <c r="B847" s="3" t="s">
        <v>279</v>
      </c>
      <c r="C847" s="2">
        <v>43422</v>
      </c>
      <c r="D847" s="9">
        <v>0.83611111111111114</v>
      </c>
      <c r="E847" s="3">
        <f t="shared" ca="1" si="13"/>
        <v>475684736</v>
      </c>
      <c r="F847" t="s">
        <v>12</v>
      </c>
      <c r="G847" t="s">
        <v>14</v>
      </c>
      <c r="H847" s="1" t="s">
        <v>237</v>
      </c>
      <c r="I847" t="s">
        <v>18</v>
      </c>
      <c r="J847" s="4">
        <v>5.6</v>
      </c>
      <c r="K847" s="4">
        <v>62.25</v>
      </c>
      <c r="L847" s="4">
        <v>3</v>
      </c>
      <c r="M847" s="4">
        <v>39.72</v>
      </c>
      <c r="N847" s="4">
        <v>159.0924</v>
      </c>
      <c r="O847" s="4">
        <v>281.33999999999997</v>
      </c>
      <c r="P847" s="4">
        <v>3.8764546470000001</v>
      </c>
      <c r="Q847" s="4">
        <v>84.61</v>
      </c>
      <c r="R847" s="10"/>
    </row>
    <row r="848" spans="1:18" x14ac:dyDescent="0.3">
      <c r="A848" t="s">
        <v>1</v>
      </c>
      <c r="B848" s="3" t="s">
        <v>279</v>
      </c>
      <c r="C848" s="2">
        <v>43160</v>
      </c>
      <c r="D848" s="9">
        <v>0.85555555555555551</v>
      </c>
      <c r="E848" s="3">
        <f t="shared" ca="1" si="13"/>
        <v>732551385</v>
      </c>
      <c r="F848" t="s">
        <v>12</v>
      </c>
      <c r="G848" t="s">
        <v>14</v>
      </c>
      <c r="H848" s="1" t="s">
        <v>235</v>
      </c>
      <c r="I848" t="s">
        <v>18</v>
      </c>
      <c r="J848" s="4">
        <v>5.5</v>
      </c>
      <c r="K848" s="4">
        <v>29.73</v>
      </c>
      <c r="L848" s="4">
        <v>1</v>
      </c>
      <c r="M848" s="4">
        <v>40.65</v>
      </c>
      <c r="N848" s="4">
        <v>114.8</v>
      </c>
      <c r="O848" s="4">
        <v>73.260000000000005</v>
      </c>
      <c r="P848" s="4">
        <v>3.8764546470000001</v>
      </c>
      <c r="Q848" s="4">
        <v>64.599999999999994</v>
      </c>
      <c r="R848" s="10"/>
    </row>
    <row r="849" spans="1:18" ht="28.8" x14ac:dyDescent="0.3">
      <c r="A849" t="s">
        <v>2</v>
      </c>
      <c r="B849" s="3" t="s">
        <v>280</v>
      </c>
      <c r="C849" s="2">
        <v>43212</v>
      </c>
      <c r="D849" s="9">
        <v>0.30138888888888887</v>
      </c>
      <c r="E849" s="3">
        <f t="shared" ca="1" si="13"/>
        <v>316422932</v>
      </c>
      <c r="F849" t="s">
        <v>11</v>
      </c>
      <c r="G849" t="s">
        <v>15</v>
      </c>
      <c r="H849" s="1" t="s">
        <v>237</v>
      </c>
      <c r="I849" t="s">
        <v>20</v>
      </c>
      <c r="J849" s="4">
        <v>5.2</v>
      </c>
      <c r="K849" s="4">
        <v>68.36</v>
      </c>
      <c r="L849" s="4">
        <v>1</v>
      </c>
      <c r="M849" s="4">
        <v>12.61</v>
      </c>
      <c r="N849" s="4">
        <v>139.1123</v>
      </c>
      <c r="O849" s="4">
        <v>22.38</v>
      </c>
      <c r="P849" s="4">
        <v>3.8764546470000001</v>
      </c>
      <c r="Q849" s="4">
        <v>51.05</v>
      </c>
      <c r="R849" s="10"/>
    </row>
    <row r="850" spans="1:18" x14ac:dyDescent="0.3">
      <c r="A850" t="s">
        <v>2</v>
      </c>
      <c r="B850" s="3" t="s">
        <v>280</v>
      </c>
      <c r="C850" s="2">
        <v>43370</v>
      </c>
      <c r="D850" s="9">
        <v>0.23819444444444443</v>
      </c>
      <c r="E850" s="3">
        <f t="shared" ca="1" si="13"/>
        <v>450814375</v>
      </c>
      <c r="F850" t="s">
        <v>11</v>
      </c>
      <c r="G850" t="s">
        <v>14</v>
      </c>
      <c r="H850" s="1" t="s">
        <v>236</v>
      </c>
      <c r="I850" t="s">
        <v>21</v>
      </c>
      <c r="J850" s="4">
        <v>6.2</v>
      </c>
      <c r="K850" s="4">
        <v>39.86</v>
      </c>
      <c r="L850" s="4">
        <v>9</v>
      </c>
      <c r="M850" s="4">
        <v>11.49</v>
      </c>
      <c r="N850" s="4">
        <v>176.5385</v>
      </c>
      <c r="O850" s="4">
        <v>655.92</v>
      </c>
      <c r="P850" s="4">
        <v>3.8764546470000001</v>
      </c>
      <c r="Q850" s="4">
        <v>23.233000000000001</v>
      </c>
      <c r="R850" s="10"/>
    </row>
    <row r="851" spans="1:18" x14ac:dyDescent="0.3">
      <c r="A851" t="s">
        <v>1</v>
      </c>
      <c r="B851" s="3" t="s">
        <v>279</v>
      </c>
      <c r="C851" s="2">
        <v>43346</v>
      </c>
      <c r="D851" s="9">
        <v>0.39374999999999999</v>
      </c>
      <c r="E851" s="3">
        <f t="shared" ca="1" si="13"/>
        <v>608579140</v>
      </c>
      <c r="F851" t="s">
        <v>11</v>
      </c>
      <c r="G851" t="s">
        <v>15</v>
      </c>
      <c r="H851" s="1" t="s">
        <v>236</v>
      </c>
      <c r="I851" t="s">
        <v>22</v>
      </c>
      <c r="J851" s="4">
        <v>1.9</v>
      </c>
      <c r="K851" s="4">
        <v>39.838000000000001</v>
      </c>
      <c r="L851" s="4">
        <v>6</v>
      </c>
      <c r="M851" s="4">
        <v>64.22</v>
      </c>
      <c r="N851" s="4">
        <v>173.61070000000001</v>
      </c>
      <c r="O851" s="4">
        <v>594.6</v>
      </c>
      <c r="P851" s="4">
        <v>3.8764546470000001</v>
      </c>
      <c r="Q851" s="4">
        <v>91.659000000000006</v>
      </c>
      <c r="R851" s="10"/>
    </row>
    <row r="852" spans="1:18" x14ac:dyDescent="0.3">
      <c r="A852" t="s">
        <v>1</v>
      </c>
      <c r="B852" s="3" t="s">
        <v>279</v>
      </c>
      <c r="C852" s="2">
        <v>43325</v>
      </c>
      <c r="D852" s="9">
        <v>0.53472222222222221</v>
      </c>
      <c r="E852" s="3">
        <f t="shared" ca="1" si="13"/>
        <v>273998504</v>
      </c>
      <c r="F852" t="s">
        <v>12</v>
      </c>
      <c r="G852" t="s">
        <v>15</v>
      </c>
      <c r="H852" s="1" t="s">
        <v>236</v>
      </c>
      <c r="I852" t="s">
        <v>22</v>
      </c>
      <c r="J852" s="4">
        <v>8.4</v>
      </c>
      <c r="K852" s="4">
        <v>34.880000000000003</v>
      </c>
      <c r="L852" s="4">
        <v>1</v>
      </c>
      <c r="M852" s="4">
        <v>43.97</v>
      </c>
      <c r="N852" s="4">
        <v>145.37880000000001</v>
      </c>
      <c r="O852" s="4">
        <v>74.099999999999994</v>
      </c>
      <c r="P852" s="4">
        <v>3.8764546470000001</v>
      </c>
      <c r="Q852" s="4">
        <v>36.86</v>
      </c>
      <c r="R852" s="10"/>
    </row>
    <row r="853" spans="1:18" x14ac:dyDescent="0.3">
      <c r="A853" t="s">
        <v>1</v>
      </c>
      <c r="B853" s="3" t="s">
        <v>279</v>
      </c>
      <c r="C853" s="2">
        <v>43256</v>
      </c>
      <c r="D853" s="9">
        <v>0.33055555555555555</v>
      </c>
      <c r="E853" s="3">
        <f t="shared" ca="1" si="13"/>
        <v>430956073</v>
      </c>
      <c r="F853" t="s">
        <v>11</v>
      </c>
      <c r="G853" t="s">
        <v>15</v>
      </c>
      <c r="H853" s="1" t="s">
        <v>235</v>
      </c>
      <c r="I853" t="s">
        <v>22</v>
      </c>
      <c r="J853" s="4">
        <v>8.8000000000000007</v>
      </c>
      <c r="K853" s="4">
        <v>15.26</v>
      </c>
      <c r="L853" s="4">
        <v>2</v>
      </c>
      <c r="M853" s="4">
        <v>57</v>
      </c>
      <c r="N853" s="4">
        <v>115.8</v>
      </c>
      <c r="O853" s="4">
        <v>196.96</v>
      </c>
      <c r="P853" s="4">
        <v>3.8764546470000001</v>
      </c>
      <c r="Q853" s="4">
        <v>26.826000000000001</v>
      </c>
      <c r="R853" s="10"/>
    </row>
    <row r="854" spans="1:18" x14ac:dyDescent="0.3">
      <c r="A854" t="s">
        <v>2</v>
      </c>
      <c r="B854" s="3" t="s">
        <v>280</v>
      </c>
      <c r="C854" s="2">
        <v>43418</v>
      </c>
      <c r="D854" s="9">
        <v>0.15555555555555556</v>
      </c>
      <c r="E854" s="3">
        <f t="shared" ca="1" si="13"/>
        <v>112707612</v>
      </c>
      <c r="F854" t="s">
        <v>12</v>
      </c>
      <c r="G854" t="s">
        <v>15</v>
      </c>
      <c r="H854" s="1" t="s">
        <v>235</v>
      </c>
      <c r="I854" t="s">
        <v>17</v>
      </c>
      <c r="J854" s="4">
        <v>4.8</v>
      </c>
      <c r="K854" s="4">
        <v>10.76</v>
      </c>
      <c r="L854" s="4">
        <v>7</v>
      </c>
      <c r="M854" s="4">
        <v>70.52</v>
      </c>
      <c r="N854" s="4">
        <v>125.9928</v>
      </c>
      <c r="O854" s="4">
        <v>372.33</v>
      </c>
      <c r="P854" s="4">
        <v>3.8764546470000001</v>
      </c>
      <c r="Q854" s="4">
        <v>28.606000000000002</v>
      </c>
      <c r="R854" s="10"/>
    </row>
    <row r="855" spans="1:18" x14ac:dyDescent="0.3">
      <c r="A855" t="s">
        <v>3</v>
      </c>
      <c r="B855" s="3" t="s">
        <v>281</v>
      </c>
      <c r="C855" s="2">
        <v>43211</v>
      </c>
      <c r="D855" s="9">
        <v>0.17499999999999999</v>
      </c>
      <c r="E855" s="3">
        <f t="shared" ca="1" si="13"/>
        <v>320125533</v>
      </c>
      <c r="F855" t="s">
        <v>11</v>
      </c>
      <c r="G855" t="s">
        <v>15</v>
      </c>
      <c r="H855" s="1" t="s">
        <v>235</v>
      </c>
      <c r="I855" t="s">
        <v>18</v>
      </c>
      <c r="J855" s="4">
        <v>6.8</v>
      </c>
      <c r="K855" s="4">
        <v>87.8</v>
      </c>
      <c r="L855" s="4">
        <v>10</v>
      </c>
      <c r="M855" s="4">
        <v>19.989999999999998</v>
      </c>
      <c r="N855" s="4">
        <v>155.13460000000001</v>
      </c>
      <c r="O855" s="4">
        <v>527.9</v>
      </c>
      <c r="P855" s="4">
        <v>3.8764546470000001</v>
      </c>
      <c r="Q855" s="4">
        <v>54.621000000000002</v>
      </c>
      <c r="R855" s="10"/>
    </row>
    <row r="856" spans="1:18" x14ac:dyDescent="0.3">
      <c r="A856" t="s">
        <v>1</v>
      </c>
      <c r="B856" s="3" t="s">
        <v>279</v>
      </c>
      <c r="C856" s="2">
        <v>43106</v>
      </c>
      <c r="D856" s="9">
        <v>0.18472222222222223</v>
      </c>
      <c r="E856" s="3">
        <f t="shared" ca="1" si="13"/>
        <v>650006542</v>
      </c>
      <c r="F856" t="s">
        <v>11</v>
      </c>
      <c r="G856" t="s">
        <v>14</v>
      </c>
      <c r="H856" s="1" t="s">
        <v>235</v>
      </c>
      <c r="I856" t="s">
        <v>17</v>
      </c>
      <c r="J856" s="4">
        <v>1</v>
      </c>
      <c r="K856" s="4">
        <v>30.77</v>
      </c>
      <c r="L856" s="4">
        <v>5</v>
      </c>
      <c r="M856" s="4">
        <v>34.799999999999997</v>
      </c>
      <c r="N856" s="4">
        <v>107.9</v>
      </c>
      <c r="O856" s="4">
        <v>479.75</v>
      </c>
      <c r="P856" s="4">
        <v>3.8764546470000001</v>
      </c>
      <c r="Q856" s="4">
        <v>83.608000000000004</v>
      </c>
      <c r="R856" s="10"/>
    </row>
    <row r="857" spans="1:18" x14ac:dyDescent="0.3">
      <c r="A857" t="s">
        <v>3</v>
      </c>
      <c r="B857" s="3" t="s">
        <v>281</v>
      </c>
      <c r="C857" s="2">
        <v>43178</v>
      </c>
      <c r="D857" s="9">
        <v>0.41319444444444442</v>
      </c>
      <c r="E857" s="3">
        <f t="shared" ca="1" si="13"/>
        <v>812160686</v>
      </c>
      <c r="F857" t="s">
        <v>11</v>
      </c>
      <c r="G857" t="s">
        <v>15</v>
      </c>
      <c r="H857" s="1" t="s">
        <v>236</v>
      </c>
      <c r="I857" t="s">
        <v>22</v>
      </c>
      <c r="J857" s="4">
        <v>2</v>
      </c>
      <c r="K857" s="4">
        <v>88.02</v>
      </c>
      <c r="L857" s="4">
        <v>9</v>
      </c>
      <c r="M857" s="4">
        <v>20.97</v>
      </c>
      <c r="N857" s="4">
        <v>112.45610000000001</v>
      </c>
      <c r="O857" s="4">
        <v>328.59</v>
      </c>
      <c r="P857" s="4">
        <v>3.8764546470000001</v>
      </c>
      <c r="Q857" s="4">
        <v>66.066999999999993</v>
      </c>
      <c r="R857" s="10"/>
    </row>
    <row r="858" spans="1:18" x14ac:dyDescent="0.3">
      <c r="A858" t="s">
        <v>3</v>
      </c>
      <c r="B858" s="3" t="s">
        <v>281</v>
      </c>
      <c r="C858" s="2">
        <v>42992</v>
      </c>
      <c r="D858" s="9">
        <v>0.86527777777777781</v>
      </c>
      <c r="E858" s="3">
        <f t="shared" ca="1" si="13"/>
        <v>92366281</v>
      </c>
      <c r="F858" t="s">
        <v>12</v>
      </c>
      <c r="G858" t="s">
        <v>15</v>
      </c>
      <c r="H858" s="1" t="s">
        <v>236</v>
      </c>
      <c r="I858" t="s">
        <v>21</v>
      </c>
      <c r="J858" s="4">
        <v>9.6</v>
      </c>
      <c r="K858" s="4">
        <v>21.19</v>
      </c>
      <c r="L858" s="4">
        <v>8</v>
      </c>
      <c r="M858" s="4">
        <v>56.21</v>
      </c>
      <c r="N858" s="4">
        <v>176.77789999999999</v>
      </c>
      <c r="O858" s="4">
        <v>168.96</v>
      </c>
      <c r="P858" s="4">
        <v>3.8764546470000001</v>
      </c>
      <c r="Q858" s="4">
        <v>79.412000000000006</v>
      </c>
      <c r="R858" s="10"/>
    </row>
    <row r="859" spans="1:18" x14ac:dyDescent="0.3">
      <c r="A859" t="s">
        <v>1</v>
      </c>
      <c r="B859" s="3" t="s">
        <v>279</v>
      </c>
      <c r="C859" s="2">
        <v>43058</v>
      </c>
      <c r="D859" s="9">
        <v>7.2916666666666671E-2</v>
      </c>
      <c r="E859" s="3">
        <f t="shared" ca="1" si="13"/>
        <v>86469324</v>
      </c>
      <c r="F859" t="s">
        <v>11</v>
      </c>
      <c r="G859" t="s">
        <v>14</v>
      </c>
      <c r="H859" s="1" t="s">
        <v>236</v>
      </c>
      <c r="I859" t="s">
        <v>19</v>
      </c>
      <c r="J859" s="4">
        <v>5.2</v>
      </c>
      <c r="K859" s="4">
        <v>84.75</v>
      </c>
      <c r="L859" s="4">
        <v>4</v>
      </c>
      <c r="M859" s="4">
        <v>63.46</v>
      </c>
      <c r="N859" s="4">
        <v>121.2345</v>
      </c>
      <c r="O859" s="4">
        <v>113.24</v>
      </c>
      <c r="P859" s="4">
        <v>3.8764546470000001</v>
      </c>
      <c r="Q859" s="4">
        <v>30.55</v>
      </c>
      <c r="R859" s="10"/>
    </row>
    <row r="860" spans="1:18" x14ac:dyDescent="0.3">
      <c r="A860" t="s">
        <v>3</v>
      </c>
      <c r="B860" s="3" t="s">
        <v>281</v>
      </c>
      <c r="C860" s="2">
        <v>43030</v>
      </c>
      <c r="D860" s="9">
        <v>0.17499999999999999</v>
      </c>
      <c r="E860" s="3">
        <f t="shared" ca="1" si="13"/>
        <v>783484134</v>
      </c>
      <c r="F860" t="s">
        <v>12</v>
      </c>
      <c r="G860" t="s">
        <v>15</v>
      </c>
      <c r="H860" s="1" t="s">
        <v>236</v>
      </c>
      <c r="I860" t="s">
        <v>17</v>
      </c>
      <c r="J860" s="4">
        <v>8.1</v>
      </c>
      <c r="K860" s="4">
        <v>87.656999999999996</v>
      </c>
      <c r="L860" s="4">
        <v>6</v>
      </c>
      <c r="M860" s="4">
        <v>68.31</v>
      </c>
      <c r="N860" s="4">
        <v>175.78440000000001</v>
      </c>
      <c r="O860" s="4">
        <v>345.54</v>
      </c>
      <c r="P860" s="4">
        <v>3.8764546470000001</v>
      </c>
      <c r="Q860" s="4">
        <v>98.73</v>
      </c>
      <c r="R860" s="10"/>
    </row>
    <row r="861" spans="1:18" x14ac:dyDescent="0.3">
      <c r="A861" t="s">
        <v>1</v>
      </c>
      <c r="B861" s="3" t="s">
        <v>279</v>
      </c>
      <c r="C861" s="2">
        <v>43134</v>
      </c>
      <c r="D861" s="9">
        <v>0.22847222222222222</v>
      </c>
      <c r="E861" s="3">
        <f t="shared" ca="1" si="13"/>
        <v>621792144</v>
      </c>
      <c r="F861" t="s">
        <v>11</v>
      </c>
      <c r="G861" t="s">
        <v>14</v>
      </c>
      <c r="H861" s="1" t="s">
        <v>236</v>
      </c>
      <c r="I861" t="s">
        <v>21</v>
      </c>
      <c r="J861" s="4">
        <v>7.9</v>
      </c>
      <c r="K861" s="4">
        <v>65.98</v>
      </c>
      <c r="L861" s="4">
        <v>9</v>
      </c>
      <c r="M861" s="4">
        <v>92.29</v>
      </c>
      <c r="N861" s="4">
        <v>102.4</v>
      </c>
      <c r="O861" s="4">
        <v>428.67</v>
      </c>
      <c r="P861" s="4">
        <v>3.8764546470000001</v>
      </c>
      <c r="Q861" s="4">
        <v>49.476999999999997</v>
      </c>
      <c r="R861" s="10"/>
    </row>
    <row r="862" spans="1:18" x14ac:dyDescent="0.3">
      <c r="A862" t="s">
        <v>2</v>
      </c>
      <c r="B862" s="3" t="s">
        <v>280</v>
      </c>
      <c r="C862" s="2">
        <v>43216</v>
      </c>
      <c r="D862" s="9">
        <v>0.32083333333333336</v>
      </c>
      <c r="E862" s="3">
        <f t="shared" ca="1" si="13"/>
        <v>511660680</v>
      </c>
      <c r="F862" t="s">
        <v>11</v>
      </c>
      <c r="G862" t="s">
        <v>14</v>
      </c>
      <c r="H862" s="1" t="s">
        <v>235</v>
      </c>
      <c r="I862" t="s">
        <v>19</v>
      </c>
      <c r="J862" s="4">
        <v>8.9</v>
      </c>
      <c r="K862" s="4">
        <v>71.86</v>
      </c>
      <c r="L862" s="4">
        <v>1</v>
      </c>
      <c r="M862" s="4">
        <v>48.38</v>
      </c>
      <c r="N862" s="4">
        <v>166.3</v>
      </c>
      <c r="O862" s="4">
        <v>86.27</v>
      </c>
      <c r="P862" s="4">
        <v>3.8764546470000001</v>
      </c>
      <c r="Q862" s="4">
        <v>66.522999999999996</v>
      </c>
      <c r="R862" s="10"/>
    </row>
    <row r="863" spans="1:18" x14ac:dyDescent="0.3">
      <c r="A863" t="s">
        <v>1</v>
      </c>
      <c r="B863" s="3" t="s">
        <v>279</v>
      </c>
      <c r="C863" s="2">
        <v>42852</v>
      </c>
      <c r="D863" s="9">
        <v>0.35486111111111113</v>
      </c>
      <c r="E863" s="3">
        <f t="shared" ca="1" si="13"/>
        <v>25649583</v>
      </c>
      <c r="F863" t="s">
        <v>12</v>
      </c>
      <c r="G863" t="s">
        <v>14</v>
      </c>
      <c r="H863" s="1" t="s">
        <v>235</v>
      </c>
      <c r="I863" t="s">
        <v>20</v>
      </c>
      <c r="J863" s="4">
        <v>6.4</v>
      </c>
      <c r="K863" s="4">
        <v>21.687000000000001</v>
      </c>
      <c r="L863" s="4">
        <v>2</v>
      </c>
      <c r="M863" s="4">
        <v>32.65</v>
      </c>
      <c r="N863" s="4">
        <v>120.5</v>
      </c>
      <c r="O863" s="4">
        <v>25.52</v>
      </c>
      <c r="P863" s="4">
        <v>3.8764546470000001</v>
      </c>
      <c r="Q863" s="4">
        <v>39.375999999999998</v>
      </c>
      <c r="R863" s="10"/>
    </row>
    <row r="864" spans="1:18" ht="28.8" x14ac:dyDescent="0.3">
      <c r="A864" t="s">
        <v>3</v>
      </c>
      <c r="B864" s="3" t="s">
        <v>281</v>
      </c>
      <c r="C864" s="2">
        <v>43358</v>
      </c>
      <c r="D864" s="9">
        <v>0.46666666666666667</v>
      </c>
      <c r="E864" s="3">
        <f t="shared" ca="1" si="13"/>
        <v>712496755</v>
      </c>
      <c r="F864" t="s">
        <v>11</v>
      </c>
      <c r="G864" t="s">
        <v>15</v>
      </c>
      <c r="H864" s="1" t="s">
        <v>237</v>
      </c>
      <c r="I864" t="s">
        <v>19</v>
      </c>
      <c r="J864" s="4">
        <v>2.2000000000000002</v>
      </c>
      <c r="K864" s="4">
        <v>98.62</v>
      </c>
      <c r="L864" s="4">
        <v>9</v>
      </c>
      <c r="M864" s="4">
        <v>95.98</v>
      </c>
      <c r="N864" s="4">
        <v>112.3</v>
      </c>
      <c r="O864" s="4">
        <v>101.52</v>
      </c>
      <c r="P864" s="4">
        <v>3.8764546470000001</v>
      </c>
      <c r="Q864" s="4">
        <v>74.191999999999993</v>
      </c>
      <c r="R864" s="10"/>
    </row>
    <row r="865" spans="1:18" x14ac:dyDescent="0.3">
      <c r="A865" t="s">
        <v>3</v>
      </c>
      <c r="B865" s="3" t="s">
        <v>281</v>
      </c>
      <c r="C865" s="2">
        <v>43376</v>
      </c>
      <c r="D865" s="9">
        <v>0.83125000000000004</v>
      </c>
      <c r="E865" s="3">
        <f t="shared" ca="1" si="13"/>
        <v>275828130</v>
      </c>
      <c r="F865" t="s">
        <v>11</v>
      </c>
      <c r="G865" t="s">
        <v>15</v>
      </c>
      <c r="H865" s="1" t="s">
        <v>236</v>
      </c>
      <c r="I865" t="s">
        <v>19</v>
      </c>
      <c r="J865" s="4">
        <v>6</v>
      </c>
      <c r="K865" s="4">
        <v>38.020000000000003</v>
      </c>
      <c r="L865" s="4">
        <v>7</v>
      </c>
      <c r="M865" s="4">
        <v>56.98</v>
      </c>
      <c r="N865" s="4">
        <v>154</v>
      </c>
      <c r="O865" s="4">
        <v>357.49</v>
      </c>
      <c r="P865" s="4">
        <v>3.8764546470000001</v>
      </c>
      <c r="Q865" s="4">
        <v>37.162999999999997</v>
      </c>
      <c r="R865" s="10"/>
    </row>
    <row r="866" spans="1:18" x14ac:dyDescent="0.3">
      <c r="A866" t="s">
        <v>1</v>
      </c>
      <c r="B866" s="3" t="s">
        <v>279</v>
      </c>
      <c r="C866" s="2">
        <v>43076</v>
      </c>
      <c r="D866" s="9">
        <v>0.36944444444444446</v>
      </c>
      <c r="E866" s="3">
        <f t="shared" ca="1" si="13"/>
        <v>595990550</v>
      </c>
      <c r="F866" t="s">
        <v>11</v>
      </c>
      <c r="G866" t="s">
        <v>14</v>
      </c>
      <c r="H866" s="1" t="s">
        <v>236</v>
      </c>
      <c r="I866" t="s">
        <v>18</v>
      </c>
      <c r="J866" s="4">
        <v>4</v>
      </c>
      <c r="K866" s="4">
        <v>11.504</v>
      </c>
      <c r="L866" s="4">
        <v>3</v>
      </c>
      <c r="M866" s="4">
        <v>35.049999999999997</v>
      </c>
      <c r="N866" s="4">
        <v>188.9</v>
      </c>
      <c r="O866" s="4">
        <v>238.77</v>
      </c>
      <c r="P866" s="4">
        <v>3.8764546470000001</v>
      </c>
      <c r="Q866" s="4">
        <v>15.919</v>
      </c>
      <c r="R866" s="10"/>
    </row>
    <row r="867" spans="1:18" x14ac:dyDescent="0.3">
      <c r="A867" t="s">
        <v>2</v>
      </c>
      <c r="B867" s="3" t="s">
        <v>280</v>
      </c>
      <c r="C867" s="2">
        <v>43410</v>
      </c>
      <c r="D867" s="9">
        <v>0.73402777777777772</v>
      </c>
      <c r="E867" s="3">
        <f t="shared" ca="1" si="13"/>
        <v>484438762</v>
      </c>
      <c r="F867" t="s">
        <v>12</v>
      </c>
      <c r="G867" t="s">
        <v>14</v>
      </c>
      <c r="H867" s="1" t="s">
        <v>235</v>
      </c>
      <c r="I867" t="s">
        <v>17</v>
      </c>
      <c r="J867" s="4">
        <v>4.5</v>
      </c>
      <c r="K867" s="4">
        <v>47.27</v>
      </c>
      <c r="L867" s="4">
        <v>3</v>
      </c>
      <c r="M867" s="4">
        <v>28.5</v>
      </c>
      <c r="N867" s="4">
        <v>134.69999999999999</v>
      </c>
      <c r="O867" s="4">
        <v>101.43</v>
      </c>
      <c r="P867" s="4">
        <v>3.8764546470000001</v>
      </c>
      <c r="Q867" s="4">
        <v>48.213000000000001</v>
      </c>
      <c r="R867" s="10"/>
    </row>
    <row r="868" spans="1:18" ht="28.8" x14ac:dyDescent="0.3">
      <c r="A868" t="s">
        <v>3</v>
      </c>
      <c r="B868" s="3" t="s">
        <v>281</v>
      </c>
      <c r="C868" s="2">
        <v>42902</v>
      </c>
      <c r="D868" s="9">
        <v>0.14097222222222222</v>
      </c>
      <c r="E868" s="3">
        <f t="shared" ca="1" si="13"/>
        <v>629230215</v>
      </c>
      <c r="F868" t="s">
        <v>12</v>
      </c>
      <c r="G868" t="s">
        <v>14</v>
      </c>
      <c r="H868" s="1" t="s">
        <v>237</v>
      </c>
      <c r="I868" t="s">
        <v>20</v>
      </c>
      <c r="J868" s="4">
        <v>3.5</v>
      </c>
      <c r="K868" s="4">
        <v>63.99</v>
      </c>
      <c r="L868" s="4">
        <v>8</v>
      </c>
      <c r="M868" s="4">
        <v>19.22</v>
      </c>
      <c r="N868" s="4">
        <v>105.9</v>
      </c>
      <c r="O868" s="4">
        <v>724.24</v>
      </c>
      <c r="P868" s="4">
        <v>3.8764546470000001</v>
      </c>
      <c r="Q868" s="4">
        <v>26.904</v>
      </c>
      <c r="R868" s="10"/>
    </row>
    <row r="869" spans="1:18" x14ac:dyDescent="0.3">
      <c r="A869" t="s">
        <v>2</v>
      </c>
      <c r="B869" s="3" t="s">
        <v>280</v>
      </c>
      <c r="C869" s="2">
        <v>43133</v>
      </c>
      <c r="D869" s="9">
        <v>0.86527777777777781</v>
      </c>
      <c r="E869" s="3">
        <f t="shared" ca="1" si="13"/>
        <v>733995140</v>
      </c>
      <c r="F869" t="s">
        <v>11</v>
      </c>
      <c r="G869" t="s">
        <v>14</v>
      </c>
      <c r="H869" s="1" t="s">
        <v>235</v>
      </c>
      <c r="I869" t="s">
        <v>17</v>
      </c>
      <c r="J869" s="4">
        <v>9.4</v>
      </c>
      <c r="K869" s="4">
        <v>54.56</v>
      </c>
      <c r="L869" s="4">
        <v>2</v>
      </c>
      <c r="M869" s="4">
        <v>87.34</v>
      </c>
      <c r="N869" s="4">
        <v>165.7</v>
      </c>
      <c r="O869" s="4">
        <v>125.64</v>
      </c>
      <c r="P869" s="4">
        <v>3.8764546470000001</v>
      </c>
      <c r="Q869" s="4">
        <v>40.381999999999998</v>
      </c>
      <c r="R869" s="10"/>
    </row>
    <row r="870" spans="1:18" ht="28.8" x14ac:dyDescent="0.3">
      <c r="A870" t="s">
        <v>2</v>
      </c>
      <c r="B870" s="3" t="s">
        <v>280</v>
      </c>
      <c r="C870" s="2">
        <v>43153</v>
      </c>
      <c r="D870" s="9">
        <v>0.1701388888888889</v>
      </c>
      <c r="E870" s="3">
        <f t="shared" ca="1" si="13"/>
        <v>62426701</v>
      </c>
      <c r="F870" t="s">
        <v>12</v>
      </c>
      <c r="G870" t="s">
        <v>14</v>
      </c>
      <c r="H870" s="1" t="s">
        <v>237</v>
      </c>
      <c r="I870" t="s">
        <v>21</v>
      </c>
      <c r="J870" s="4">
        <v>2.7</v>
      </c>
      <c r="K870" s="4">
        <v>86.44</v>
      </c>
      <c r="L870" s="4">
        <v>3</v>
      </c>
      <c r="M870" s="4">
        <v>44.77</v>
      </c>
      <c r="N870" s="4">
        <v>181.5</v>
      </c>
      <c r="O870" s="4">
        <v>72.930000000000007</v>
      </c>
      <c r="P870" s="4">
        <v>3.8764546470000001</v>
      </c>
      <c r="Q870" s="4">
        <v>69.09</v>
      </c>
      <c r="R870" s="10"/>
    </row>
    <row r="871" spans="1:18" x14ac:dyDescent="0.3">
      <c r="A871" t="s">
        <v>1</v>
      </c>
      <c r="B871" s="3" t="s">
        <v>279</v>
      </c>
      <c r="C871" s="2">
        <v>42868</v>
      </c>
      <c r="D871" s="9">
        <v>0.64166666666666672</v>
      </c>
      <c r="E871" s="3">
        <f t="shared" ca="1" si="13"/>
        <v>169021209</v>
      </c>
      <c r="F871" t="s">
        <v>12</v>
      </c>
      <c r="G871" t="s">
        <v>15</v>
      </c>
      <c r="H871" s="1" t="s">
        <v>235</v>
      </c>
      <c r="I871" t="s">
        <v>20</v>
      </c>
      <c r="J871" s="4">
        <v>2.2000000000000002</v>
      </c>
      <c r="K871" s="4">
        <v>88.67</v>
      </c>
      <c r="L871" s="4">
        <v>4</v>
      </c>
      <c r="M871" s="4">
        <v>13.11</v>
      </c>
      <c r="N871" s="4">
        <v>108.8896</v>
      </c>
      <c r="O871" s="4">
        <v>258.36</v>
      </c>
      <c r="P871" s="4">
        <v>3.8764546470000001</v>
      </c>
      <c r="Q871" s="4">
        <v>74.540000000000006</v>
      </c>
      <c r="R871" s="10"/>
    </row>
    <row r="872" spans="1:18" ht="28.8" x14ac:dyDescent="0.3">
      <c r="A872" t="s">
        <v>1</v>
      </c>
      <c r="B872" s="3" t="s">
        <v>279</v>
      </c>
      <c r="C872" s="2">
        <v>43243</v>
      </c>
      <c r="D872" s="9">
        <v>0.77777777777777779</v>
      </c>
      <c r="E872" s="3">
        <f t="shared" ca="1" si="13"/>
        <v>890598801</v>
      </c>
      <c r="F872" t="s">
        <v>12</v>
      </c>
      <c r="G872" t="s">
        <v>14</v>
      </c>
      <c r="H872" s="1" t="s">
        <v>237</v>
      </c>
      <c r="I872" t="s">
        <v>21</v>
      </c>
      <c r="J872" s="4">
        <v>5.0999999999999996</v>
      </c>
      <c r="K872" s="4">
        <v>63.53</v>
      </c>
      <c r="L872" s="4">
        <v>7</v>
      </c>
      <c r="M872" s="4">
        <v>29.33</v>
      </c>
      <c r="N872" s="4">
        <v>141.1309</v>
      </c>
      <c r="O872" s="4">
        <v>173.74</v>
      </c>
      <c r="P872" s="4">
        <v>3.8764546470000001</v>
      </c>
      <c r="Q872" s="4">
        <v>21.49</v>
      </c>
      <c r="R872" s="10"/>
    </row>
    <row r="873" spans="1:18" x14ac:dyDescent="0.3">
      <c r="A873" t="s">
        <v>2</v>
      </c>
      <c r="B873" s="3" t="s">
        <v>280</v>
      </c>
      <c r="C873" s="2">
        <v>42886</v>
      </c>
      <c r="D873" s="9">
        <v>0.14097222222222222</v>
      </c>
      <c r="E873" s="3">
        <f t="shared" ca="1" si="13"/>
        <v>882637657</v>
      </c>
      <c r="F873" t="s">
        <v>12</v>
      </c>
      <c r="G873" t="s">
        <v>15</v>
      </c>
      <c r="H873" s="1" t="s">
        <v>235</v>
      </c>
      <c r="I873" t="s">
        <v>22</v>
      </c>
      <c r="J873" s="4">
        <v>4.2</v>
      </c>
      <c r="K873" s="4">
        <v>65.34</v>
      </c>
      <c r="L873" s="4">
        <v>1</v>
      </c>
      <c r="M873" s="4">
        <v>95.1</v>
      </c>
      <c r="N873" s="4">
        <v>127.2508</v>
      </c>
      <c r="O873" s="4">
        <v>56.5</v>
      </c>
      <c r="P873" s="4">
        <v>3.8764546470000001</v>
      </c>
      <c r="Q873" s="4">
        <v>97.32</v>
      </c>
      <c r="R873" s="10"/>
    </row>
    <row r="874" spans="1:18" x14ac:dyDescent="0.3">
      <c r="A874" t="s">
        <v>3</v>
      </c>
      <c r="B874" s="3" t="s">
        <v>281</v>
      </c>
      <c r="C874" s="2">
        <v>42907</v>
      </c>
      <c r="D874" s="9">
        <v>0.23819444444444443</v>
      </c>
      <c r="E874" s="3">
        <f t="shared" ca="1" si="13"/>
        <v>37719249</v>
      </c>
      <c r="F874" t="s">
        <v>11</v>
      </c>
      <c r="G874" t="s">
        <v>14</v>
      </c>
      <c r="H874" s="1" t="s">
        <v>236</v>
      </c>
      <c r="I874" t="s">
        <v>18</v>
      </c>
      <c r="J874" s="4">
        <v>3.4</v>
      </c>
      <c r="K874" s="4">
        <v>42.55</v>
      </c>
      <c r="L874" s="4">
        <v>10</v>
      </c>
      <c r="M874" s="4">
        <v>84.16</v>
      </c>
      <c r="N874" s="4">
        <v>164.05950000000001</v>
      </c>
      <c r="O874" s="4">
        <v>214.3</v>
      </c>
      <c r="P874" s="4">
        <v>3.8764546470000001</v>
      </c>
      <c r="Q874" s="4">
        <v>34.130000000000003</v>
      </c>
      <c r="R874" s="10"/>
    </row>
    <row r="875" spans="1:18" x14ac:dyDescent="0.3">
      <c r="A875" t="s">
        <v>1</v>
      </c>
      <c r="B875" s="3" t="s">
        <v>279</v>
      </c>
      <c r="C875" s="2">
        <v>43313</v>
      </c>
      <c r="D875" s="9">
        <v>0.9770833333333333</v>
      </c>
      <c r="E875" s="3">
        <f t="shared" ca="1" si="13"/>
        <v>244979674</v>
      </c>
      <c r="F875" t="s">
        <v>12</v>
      </c>
      <c r="G875" t="s">
        <v>14</v>
      </c>
      <c r="H875" s="1" t="s">
        <v>236</v>
      </c>
      <c r="I875" t="s">
        <v>20</v>
      </c>
      <c r="J875" s="4">
        <v>1.9</v>
      </c>
      <c r="K875" s="4">
        <v>49.53</v>
      </c>
      <c r="L875" s="4">
        <v>6</v>
      </c>
      <c r="M875" s="4">
        <v>48.26</v>
      </c>
      <c r="N875" s="4">
        <v>171.64590000000001</v>
      </c>
      <c r="O875" s="4">
        <v>534.36</v>
      </c>
      <c r="P875" s="4">
        <v>3.8764546470000001</v>
      </c>
      <c r="Q875" s="4">
        <v>74.400000000000006</v>
      </c>
      <c r="R875" s="10"/>
    </row>
    <row r="876" spans="1:18" ht="28.8" x14ac:dyDescent="0.3">
      <c r="A876" t="s">
        <v>1</v>
      </c>
      <c r="B876" s="3" t="s">
        <v>279</v>
      </c>
      <c r="C876" s="2">
        <v>43009</v>
      </c>
      <c r="D876" s="9">
        <v>0.83125000000000004</v>
      </c>
      <c r="E876" s="3">
        <f t="shared" ca="1" si="13"/>
        <v>757090762</v>
      </c>
      <c r="F876" t="s">
        <v>12</v>
      </c>
      <c r="G876" t="s">
        <v>14</v>
      </c>
      <c r="H876" s="1" t="s">
        <v>237</v>
      </c>
      <c r="I876" t="s">
        <v>19</v>
      </c>
      <c r="J876" s="4">
        <v>2.7</v>
      </c>
      <c r="K876" s="4">
        <v>17.73</v>
      </c>
      <c r="L876" s="4">
        <v>4</v>
      </c>
      <c r="M876" s="4">
        <v>58.98</v>
      </c>
      <c r="N876" s="4">
        <v>144.84399999999999</v>
      </c>
      <c r="O876" s="4">
        <v>93.16</v>
      </c>
      <c r="P876" s="4">
        <v>3.8764546470000001</v>
      </c>
      <c r="Q876" s="4">
        <v>96.99</v>
      </c>
      <c r="R876" s="10"/>
    </row>
    <row r="877" spans="1:18" x14ac:dyDescent="0.3">
      <c r="A877" t="s">
        <v>2</v>
      </c>
      <c r="B877" s="3" t="s">
        <v>280</v>
      </c>
      <c r="C877" s="2">
        <v>43375</v>
      </c>
      <c r="D877" s="9">
        <v>0.23333333333333334</v>
      </c>
      <c r="E877" s="3">
        <f t="shared" ca="1" si="13"/>
        <v>334815156</v>
      </c>
      <c r="F877" t="s">
        <v>12</v>
      </c>
      <c r="G877" t="s">
        <v>15</v>
      </c>
      <c r="H877" s="1" t="s">
        <v>235</v>
      </c>
      <c r="I877" t="s">
        <v>19</v>
      </c>
      <c r="J877" s="4">
        <v>1</v>
      </c>
      <c r="K877" s="4">
        <v>42.13</v>
      </c>
      <c r="L877" s="4">
        <v>8</v>
      </c>
      <c r="M877" s="4">
        <v>33.5</v>
      </c>
      <c r="N877" s="4">
        <v>178.06659999999999</v>
      </c>
      <c r="O877" s="4">
        <v>522.08000000000004</v>
      </c>
      <c r="P877" s="4">
        <v>3.8764546470000001</v>
      </c>
      <c r="Q877" s="4">
        <v>96.91</v>
      </c>
      <c r="R877" s="10"/>
    </row>
    <row r="878" spans="1:18" x14ac:dyDescent="0.3">
      <c r="A878" t="s">
        <v>2</v>
      </c>
      <c r="B878" s="3" t="s">
        <v>280</v>
      </c>
      <c r="C878" s="2">
        <v>43305</v>
      </c>
      <c r="D878" s="9">
        <v>0.44236111111111109</v>
      </c>
      <c r="E878" s="3">
        <f t="shared" ca="1" si="13"/>
        <v>908423751</v>
      </c>
      <c r="F878" t="s">
        <v>12</v>
      </c>
      <c r="G878" t="s">
        <v>14</v>
      </c>
      <c r="H878" s="1" t="s">
        <v>236</v>
      </c>
      <c r="I878" t="s">
        <v>22</v>
      </c>
      <c r="J878" s="4">
        <v>4.7</v>
      </c>
      <c r="K878" s="4">
        <v>21.95</v>
      </c>
      <c r="L878" s="4">
        <v>1</v>
      </c>
      <c r="M878" s="4">
        <v>99.17</v>
      </c>
      <c r="N878" s="4">
        <v>144.1755</v>
      </c>
      <c r="O878" s="4">
        <v>52.35</v>
      </c>
      <c r="P878" s="4">
        <v>3.8764546470000001</v>
      </c>
      <c r="Q878" s="4">
        <v>98.03</v>
      </c>
      <c r="R878" s="10"/>
    </row>
    <row r="879" spans="1:18" x14ac:dyDescent="0.3">
      <c r="A879" t="s">
        <v>3</v>
      </c>
      <c r="B879" s="3" t="s">
        <v>281</v>
      </c>
      <c r="C879" s="2">
        <v>43086</v>
      </c>
      <c r="D879" s="9">
        <v>0.82638888888888884</v>
      </c>
      <c r="E879" s="3">
        <f t="shared" ca="1" si="13"/>
        <v>770988176</v>
      </c>
      <c r="F879" t="s">
        <v>12</v>
      </c>
      <c r="G879" t="s">
        <v>14</v>
      </c>
      <c r="H879" s="1" t="s">
        <v>236</v>
      </c>
      <c r="I879" t="s">
        <v>18</v>
      </c>
      <c r="J879" s="4">
        <v>7.1</v>
      </c>
      <c r="K879" s="4">
        <v>91.51</v>
      </c>
      <c r="L879" s="4">
        <v>1</v>
      </c>
      <c r="M879" s="4">
        <v>40.729999999999997</v>
      </c>
      <c r="N879" s="4">
        <v>115.8497</v>
      </c>
      <c r="O879" s="4">
        <v>39.75</v>
      </c>
      <c r="P879" s="4">
        <v>3.8764546470000001</v>
      </c>
      <c r="Q879" s="4">
        <v>75.52</v>
      </c>
      <c r="R879" s="10"/>
    </row>
    <row r="880" spans="1:18" ht="28.8" x14ac:dyDescent="0.3">
      <c r="A880" t="s">
        <v>1</v>
      </c>
      <c r="B880" s="3" t="s">
        <v>279</v>
      </c>
      <c r="C880" s="2">
        <v>42917</v>
      </c>
      <c r="D880" s="9">
        <v>0.28194444444444444</v>
      </c>
      <c r="E880" s="3">
        <f t="shared" ca="1" si="13"/>
        <v>445887554</v>
      </c>
      <c r="F880" t="s">
        <v>11</v>
      </c>
      <c r="G880" t="s">
        <v>15</v>
      </c>
      <c r="H880" s="1" t="s">
        <v>237</v>
      </c>
      <c r="I880" t="s">
        <v>18</v>
      </c>
      <c r="J880" s="4">
        <v>2.4</v>
      </c>
      <c r="K880" s="4">
        <v>56.088999999999999</v>
      </c>
      <c r="L880" s="4">
        <v>8</v>
      </c>
      <c r="M880" s="4">
        <v>89.44</v>
      </c>
      <c r="N880" s="4">
        <v>182.66300000000001</v>
      </c>
      <c r="O880" s="4">
        <v>720.16</v>
      </c>
      <c r="P880" s="4">
        <v>3.8764546470000001</v>
      </c>
      <c r="Q880" s="4">
        <v>27.41</v>
      </c>
      <c r="R880" s="10"/>
    </row>
    <row r="881" spans="1:18" x14ac:dyDescent="0.3">
      <c r="A881" t="s">
        <v>3</v>
      </c>
      <c r="B881" s="3" t="s">
        <v>281</v>
      </c>
      <c r="C881" s="2">
        <v>42832</v>
      </c>
      <c r="D881" s="9">
        <v>0.12152777777777778</v>
      </c>
      <c r="E881" s="3">
        <f t="shared" ca="1" si="13"/>
        <v>441203710</v>
      </c>
      <c r="F881" t="s">
        <v>11</v>
      </c>
      <c r="G881" t="s">
        <v>14</v>
      </c>
      <c r="H881" s="1" t="s">
        <v>235</v>
      </c>
      <c r="I881" t="s">
        <v>18</v>
      </c>
      <c r="J881" s="4">
        <v>9.6</v>
      </c>
      <c r="K881" s="4">
        <v>90.385000000000005</v>
      </c>
      <c r="L881" s="4">
        <v>8</v>
      </c>
      <c r="M881" s="4">
        <v>63.62</v>
      </c>
      <c r="N881" s="4">
        <v>107.9</v>
      </c>
      <c r="O881" s="4">
        <v>96.8</v>
      </c>
      <c r="P881" s="4">
        <v>3.8764546470000001</v>
      </c>
      <c r="Q881" s="4">
        <v>72.97</v>
      </c>
      <c r="R881" s="10"/>
    </row>
    <row r="882" spans="1:18" x14ac:dyDescent="0.3">
      <c r="A882" t="s">
        <v>3</v>
      </c>
      <c r="B882" s="3" t="s">
        <v>281</v>
      </c>
      <c r="C882" s="2">
        <v>43289</v>
      </c>
      <c r="D882" s="9">
        <v>0.24791666666666667</v>
      </c>
      <c r="E882" s="3">
        <f t="shared" ca="1" si="13"/>
        <v>126568511</v>
      </c>
      <c r="F882" t="s">
        <v>11</v>
      </c>
      <c r="G882" t="s">
        <v>14</v>
      </c>
      <c r="H882" s="1" t="s">
        <v>235</v>
      </c>
      <c r="I882" t="s">
        <v>21</v>
      </c>
      <c r="J882" s="4">
        <v>2.2000000000000002</v>
      </c>
      <c r="K882" s="4">
        <v>92.423000000000002</v>
      </c>
      <c r="L882" s="4">
        <v>10</v>
      </c>
      <c r="M882" s="4">
        <v>65.98</v>
      </c>
      <c r="N882" s="4">
        <v>144.566</v>
      </c>
      <c r="O882" s="4">
        <v>332.1</v>
      </c>
      <c r="P882" s="4">
        <v>3.8764546470000001</v>
      </c>
      <c r="Q882" s="4">
        <v>70.132000000000005</v>
      </c>
      <c r="R882" s="10"/>
    </row>
    <row r="883" spans="1:18" ht="28.8" x14ac:dyDescent="0.3">
      <c r="A883" t="s">
        <v>2</v>
      </c>
      <c r="B883" s="3" t="s">
        <v>280</v>
      </c>
      <c r="C883" s="2">
        <v>43410</v>
      </c>
      <c r="D883" s="9">
        <v>0.96736111111111112</v>
      </c>
      <c r="E883" s="3">
        <f t="shared" ca="1" si="13"/>
        <v>897781214</v>
      </c>
      <c r="F883" t="s">
        <v>11</v>
      </c>
      <c r="G883" t="s">
        <v>14</v>
      </c>
      <c r="H883" s="1" t="s">
        <v>237</v>
      </c>
      <c r="I883" t="s">
        <v>22</v>
      </c>
      <c r="J883" s="4">
        <v>6.9</v>
      </c>
      <c r="K883" s="4">
        <v>64.513000000000005</v>
      </c>
      <c r="L883" s="4">
        <v>8</v>
      </c>
      <c r="M883" s="4">
        <v>60.86</v>
      </c>
      <c r="N883" s="4">
        <v>122.1011</v>
      </c>
      <c r="O883" s="4">
        <v>81.44</v>
      </c>
      <c r="P883" s="4">
        <v>3.8764546470000001</v>
      </c>
      <c r="Q883" s="4">
        <v>82.852000000000004</v>
      </c>
      <c r="R883" s="10"/>
    </row>
    <row r="884" spans="1:18" ht="28.8" x14ac:dyDescent="0.3">
      <c r="A884" t="s">
        <v>3</v>
      </c>
      <c r="B884" s="3" t="s">
        <v>281</v>
      </c>
      <c r="C884" s="2">
        <v>43115</v>
      </c>
      <c r="D884" s="9">
        <v>0.88472222222222219</v>
      </c>
      <c r="E884" s="3">
        <f t="shared" ca="1" si="13"/>
        <v>240755238</v>
      </c>
      <c r="F884" t="s">
        <v>12</v>
      </c>
      <c r="G884" t="s">
        <v>14</v>
      </c>
      <c r="H884" s="1" t="s">
        <v>237</v>
      </c>
      <c r="I884" t="s">
        <v>20</v>
      </c>
      <c r="J884" s="4">
        <v>4</v>
      </c>
      <c r="K884" s="4">
        <v>96.641999999999996</v>
      </c>
      <c r="L884" s="4">
        <v>10</v>
      </c>
      <c r="M884" s="4">
        <v>24.47</v>
      </c>
      <c r="N884" s="4">
        <v>110.0817</v>
      </c>
      <c r="O884" s="4">
        <v>319.89999999999998</v>
      </c>
      <c r="P884" s="4">
        <v>3.8764546470000001</v>
      </c>
      <c r="Q884" s="4">
        <v>19.486000000000001</v>
      </c>
      <c r="R884" s="10"/>
    </row>
    <row r="885" spans="1:18" x14ac:dyDescent="0.3">
      <c r="A885" t="s">
        <v>1</v>
      </c>
      <c r="B885" s="3" t="s">
        <v>279</v>
      </c>
      <c r="C885" s="2">
        <v>42817</v>
      </c>
      <c r="D885" s="9">
        <v>0.74375000000000002</v>
      </c>
      <c r="E885" s="3">
        <f t="shared" ca="1" si="13"/>
        <v>403660856</v>
      </c>
      <c r="F885" t="s">
        <v>11</v>
      </c>
      <c r="G885" t="s">
        <v>14</v>
      </c>
      <c r="H885" s="1" t="s">
        <v>235</v>
      </c>
      <c r="I885" t="s">
        <v>19</v>
      </c>
      <c r="J885" s="4">
        <v>10</v>
      </c>
      <c r="K885" s="4">
        <v>13.33</v>
      </c>
      <c r="L885" s="4">
        <v>6</v>
      </c>
      <c r="M885" s="4">
        <v>40.299999999999997</v>
      </c>
      <c r="N885" s="4">
        <v>170.01439999999999</v>
      </c>
      <c r="O885" s="4">
        <v>206.52</v>
      </c>
      <c r="P885" s="4">
        <v>3.8764546470000001</v>
      </c>
      <c r="Q885" s="4">
        <v>81.93</v>
      </c>
      <c r="R885" s="10"/>
    </row>
    <row r="886" spans="1:18" x14ac:dyDescent="0.3">
      <c r="A886" t="s">
        <v>1</v>
      </c>
      <c r="B886" s="3" t="s">
        <v>279</v>
      </c>
      <c r="C886" s="2">
        <v>43119</v>
      </c>
      <c r="D886" s="9">
        <v>0.27708333333333335</v>
      </c>
      <c r="E886" s="3">
        <f t="shared" ca="1" si="13"/>
        <v>307632146</v>
      </c>
      <c r="F886" t="s">
        <v>11</v>
      </c>
      <c r="G886" t="s">
        <v>14</v>
      </c>
      <c r="H886" s="1" t="s">
        <v>236</v>
      </c>
      <c r="I886" t="s">
        <v>21</v>
      </c>
      <c r="J886" s="4">
        <v>9.1999999999999993</v>
      </c>
      <c r="K886" s="4">
        <v>79.25</v>
      </c>
      <c r="L886" s="4">
        <v>2</v>
      </c>
      <c r="M886" s="4">
        <v>77.709999999999994</v>
      </c>
      <c r="N886" s="4">
        <v>181.17410000000001</v>
      </c>
      <c r="O886" s="4">
        <v>166.68</v>
      </c>
      <c r="P886" s="4">
        <v>3.8764546470000001</v>
      </c>
      <c r="Q886" s="4">
        <v>48.773000000000003</v>
      </c>
      <c r="R886" s="10"/>
    </row>
    <row r="887" spans="1:18" x14ac:dyDescent="0.3">
      <c r="A887" t="s">
        <v>1</v>
      </c>
      <c r="B887" s="3" t="s">
        <v>279</v>
      </c>
      <c r="C887" s="2">
        <v>43201</v>
      </c>
      <c r="D887" s="9">
        <v>0.66597222222222219</v>
      </c>
      <c r="E887" s="3">
        <f t="shared" ca="1" si="13"/>
        <v>562418498</v>
      </c>
      <c r="F887" t="s">
        <v>12</v>
      </c>
      <c r="G887" t="s">
        <v>15</v>
      </c>
      <c r="H887" s="1" t="s">
        <v>236</v>
      </c>
      <c r="I887" t="s">
        <v>20</v>
      </c>
      <c r="J887" s="4">
        <v>7.7</v>
      </c>
      <c r="K887" s="4">
        <v>57.52</v>
      </c>
      <c r="L887" s="4">
        <v>7</v>
      </c>
      <c r="M887" s="4">
        <v>53.31</v>
      </c>
      <c r="N887" s="4">
        <v>164.78970000000001</v>
      </c>
      <c r="O887" s="4">
        <v>319.06</v>
      </c>
      <c r="P887" s="4">
        <v>3.8764546470000001</v>
      </c>
      <c r="Q887" s="4">
        <v>17.512</v>
      </c>
      <c r="R887" s="10"/>
    </row>
    <row r="888" spans="1:18" x14ac:dyDescent="0.3">
      <c r="A888" t="s">
        <v>1</v>
      </c>
      <c r="B888" s="3" t="s">
        <v>279</v>
      </c>
      <c r="C888" s="2">
        <v>42881</v>
      </c>
      <c r="D888" s="9">
        <v>0.28680555555555554</v>
      </c>
      <c r="E888" s="3">
        <f t="shared" ca="1" si="13"/>
        <v>19684678</v>
      </c>
      <c r="F888" t="s">
        <v>12</v>
      </c>
      <c r="G888" t="s">
        <v>14</v>
      </c>
      <c r="H888" s="1" t="s">
        <v>235</v>
      </c>
      <c r="I888" t="s">
        <v>21</v>
      </c>
      <c r="J888" s="4">
        <v>9.4</v>
      </c>
      <c r="K888" s="4">
        <v>67.989999999999995</v>
      </c>
      <c r="L888" s="4">
        <v>1</v>
      </c>
      <c r="M888" s="4">
        <v>38.01</v>
      </c>
      <c r="N888" s="4">
        <v>140.4468</v>
      </c>
      <c r="O888" s="4">
        <v>87.9</v>
      </c>
      <c r="P888" s="4">
        <v>3.8764546470000001</v>
      </c>
      <c r="Q888" s="4">
        <v>13.081</v>
      </c>
      <c r="R888" s="10"/>
    </row>
    <row r="889" spans="1:18" x14ac:dyDescent="0.3">
      <c r="A889" t="s">
        <v>1</v>
      </c>
      <c r="B889" s="3" t="s">
        <v>279</v>
      </c>
      <c r="C889" s="2">
        <v>43139</v>
      </c>
      <c r="D889" s="9">
        <v>0.39374999999999999</v>
      </c>
      <c r="E889" s="3">
        <f t="shared" ca="1" si="13"/>
        <v>457937914</v>
      </c>
      <c r="F889" t="s">
        <v>11</v>
      </c>
      <c r="G889" t="s">
        <v>14</v>
      </c>
      <c r="H889" s="1" t="s">
        <v>235</v>
      </c>
      <c r="I889" t="s">
        <v>18</v>
      </c>
      <c r="J889" s="4">
        <v>6.9</v>
      </c>
      <c r="K889" s="4">
        <v>26.36</v>
      </c>
      <c r="L889" s="4">
        <v>10</v>
      </c>
      <c r="M889" s="4">
        <v>88.16</v>
      </c>
      <c r="N889" s="4">
        <v>173.1</v>
      </c>
      <c r="O889" s="4">
        <v>734.7</v>
      </c>
      <c r="P889" s="4">
        <v>3.8764546470000001</v>
      </c>
      <c r="Q889" s="4">
        <v>53.255000000000003</v>
      </c>
      <c r="R889" s="10"/>
    </row>
    <row r="890" spans="1:18" x14ac:dyDescent="0.3">
      <c r="A890" t="s">
        <v>2</v>
      </c>
      <c r="B890" s="3" t="s">
        <v>280</v>
      </c>
      <c r="C890" s="2">
        <v>43163</v>
      </c>
      <c r="D890" s="9">
        <v>0.64652777777777781</v>
      </c>
      <c r="E890" s="3">
        <f t="shared" ca="1" si="13"/>
        <v>70110618</v>
      </c>
      <c r="F890" t="s">
        <v>11</v>
      </c>
      <c r="G890" t="s">
        <v>15</v>
      </c>
      <c r="H890" s="1" t="s">
        <v>235</v>
      </c>
      <c r="I890" t="s">
        <v>22</v>
      </c>
      <c r="J890" s="4">
        <v>3.4</v>
      </c>
      <c r="K890" s="4">
        <v>96.91</v>
      </c>
      <c r="L890" s="4">
        <v>8</v>
      </c>
      <c r="M890" s="4">
        <v>86.98</v>
      </c>
      <c r="N890" s="4">
        <v>123.8661</v>
      </c>
      <c r="O890" s="4">
        <v>97.52</v>
      </c>
      <c r="P890" s="4">
        <v>3.8764546470000001</v>
      </c>
      <c r="Q890" s="4">
        <v>81</v>
      </c>
      <c r="R890" s="10"/>
    </row>
    <row r="891" spans="1:18" x14ac:dyDescent="0.3">
      <c r="A891" t="s">
        <v>1</v>
      </c>
      <c r="B891" s="3" t="s">
        <v>279</v>
      </c>
      <c r="C891" s="2">
        <v>43208</v>
      </c>
      <c r="D891" s="9">
        <v>0.7729166666666667</v>
      </c>
      <c r="E891" s="3">
        <f t="shared" ca="1" si="13"/>
        <v>436174763</v>
      </c>
      <c r="F891" t="s">
        <v>12</v>
      </c>
      <c r="G891" t="s">
        <v>14</v>
      </c>
      <c r="H891" s="1" t="s">
        <v>235</v>
      </c>
      <c r="I891" t="s">
        <v>20</v>
      </c>
      <c r="J891" s="4">
        <v>9</v>
      </c>
      <c r="K891" s="4">
        <v>45.69</v>
      </c>
      <c r="L891" s="4">
        <v>10</v>
      </c>
      <c r="M891" s="4">
        <v>12.16</v>
      </c>
      <c r="N891" s="4">
        <v>136.1215</v>
      </c>
      <c r="O891" s="4">
        <v>769.2</v>
      </c>
      <c r="P891" s="4">
        <v>3.8764546470000001</v>
      </c>
      <c r="Q891" s="4">
        <v>23.23</v>
      </c>
      <c r="R891" s="10"/>
    </row>
    <row r="892" spans="1:18" x14ac:dyDescent="0.3">
      <c r="A892" t="s">
        <v>2</v>
      </c>
      <c r="B892" s="3" t="s">
        <v>280</v>
      </c>
      <c r="C892" s="2">
        <v>43346</v>
      </c>
      <c r="D892" s="9">
        <v>0.90902777777777777</v>
      </c>
      <c r="E892" s="3">
        <f t="shared" ca="1" si="13"/>
        <v>805460859</v>
      </c>
      <c r="F892" t="s">
        <v>11</v>
      </c>
      <c r="G892" t="s">
        <v>15</v>
      </c>
      <c r="H892" s="1" t="s">
        <v>236</v>
      </c>
      <c r="I892" t="s">
        <v>17</v>
      </c>
      <c r="J892" s="4">
        <v>4</v>
      </c>
      <c r="K892" s="4">
        <v>61.98</v>
      </c>
      <c r="L892" s="4">
        <v>5</v>
      </c>
      <c r="M892" s="4">
        <v>55.3</v>
      </c>
      <c r="N892" s="4">
        <v>175.80420000000001</v>
      </c>
      <c r="O892" s="4">
        <v>418.3</v>
      </c>
      <c r="P892" s="4">
        <v>3.8764546470000001</v>
      </c>
      <c r="Q892" s="4">
        <v>30.06</v>
      </c>
      <c r="R892" s="10"/>
    </row>
    <row r="893" spans="1:18" x14ac:dyDescent="0.3">
      <c r="A893" t="s">
        <v>3</v>
      </c>
      <c r="B893" s="3" t="s">
        <v>281</v>
      </c>
      <c r="C893" s="2">
        <v>42908</v>
      </c>
      <c r="D893" s="9">
        <v>0.9868055555555556</v>
      </c>
      <c r="E893" s="3">
        <f t="shared" ca="1" si="13"/>
        <v>602517189</v>
      </c>
      <c r="F893" t="s">
        <v>11</v>
      </c>
      <c r="G893" t="s">
        <v>15</v>
      </c>
      <c r="H893" s="1" t="s">
        <v>236</v>
      </c>
      <c r="I893" t="s">
        <v>18</v>
      </c>
      <c r="J893" s="4">
        <v>2.2999999999999998</v>
      </c>
      <c r="K893" s="4">
        <v>86.59</v>
      </c>
      <c r="L893" s="4">
        <v>8</v>
      </c>
      <c r="M893" s="4">
        <v>83</v>
      </c>
      <c r="N893" s="4">
        <v>124.8181</v>
      </c>
      <c r="O893" s="4">
        <v>463.28</v>
      </c>
      <c r="P893" s="4">
        <v>3.8764546470000001</v>
      </c>
      <c r="Q893" s="4">
        <v>29.27</v>
      </c>
      <c r="R893" s="10"/>
    </row>
    <row r="894" spans="1:18" ht="28.8" x14ac:dyDescent="0.3">
      <c r="A894" t="s">
        <v>2</v>
      </c>
      <c r="B894" s="3" t="s">
        <v>280</v>
      </c>
      <c r="C894" s="2">
        <v>43186</v>
      </c>
      <c r="D894" s="9">
        <v>0.97222222222222221</v>
      </c>
      <c r="E894" s="3">
        <f t="shared" ca="1" si="13"/>
        <v>889659975</v>
      </c>
      <c r="F894" t="s">
        <v>11</v>
      </c>
      <c r="G894" t="s">
        <v>14</v>
      </c>
      <c r="H894" s="1" t="s">
        <v>237</v>
      </c>
      <c r="I894" t="s">
        <v>22</v>
      </c>
      <c r="J894" s="4">
        <v>2.1</v>
      </c>
      <c r="K894" s="4">
        <v>45.96</v>
      </c>
      <c r="L894" s="4">
        <v>5</v>
      </c>
      <c r="M894" s="4">
        <v>11.6</v>
      </c>
      <c r="N894" s="4">
        <v>176.2</v>
      </c>
      <c r="O894" s="4">
        <v>462.45</v>
      </c>
      <c r="P894" s="4">
        <v>3.8764546470000001</v>
      </c>
      <c r="Q894" s="4">
        <v>28.48</v>
      </c>
      <c r="R894" s="10"/>
    </row>
    <row r="895" spans="1:18" x14ac:dyDescent="0.3">
      <c r="A895" t="s">
        <v>3</v>
      </c>
      <c r="B895" s="3" t="s">
        <v>281</v>
      </c>
      <c r="C895" s="2">
        <v>43085</v>
      </c>
      <c r="D895" s="9">
        <v>0.46180555555555558</v>
      </c>
      <c r="E895" s="3">
        <f t="shared" ca="1" si="13"/>
        <v>977669134</v>
      </c>
      <c r="F895" t="s">
        <v>12</v>
      </c>
      <c r="G895" t="s">
        <v>15</v>
      </c>
      <c r="H895" s="1" t="s">
        <v>236</v>
      </c>
      <c r="I895" t="s">
        <v>18</v>
      </c>
      <c r="J895" s="4">
        <v>6</v>
      </c>
      <c r="K895" s="4">
        <v>13.7</v>
      </c>
      <c r="L895" s="4">
        <v>5</v>
      </c>
      <c r="M895" s="4">
        <v>65.63</v>
      </c>
      <c r="N895" s="4">
        <v>147.80000000000001</v>
      </c>
      <c r="O895" s="4">
        <v>141.9</v>
      </c>
      <c r="P895" s="4">
        <v>3.8764546470000001</v>
      </c>
      <c r="Q895" s="4">
        <v>96.16</v>
      </c>
      <c r="R895" s="10"/>
    </row>
    <row r="896" spans="1:18" ht="28.8" x14ac:dyDescent="0.3">
      <c r="A896" t="s">
        <v>3</v>
      </c>
      <c r="B896" s="3" t="s">
        <v>281</v>
      </c>
      <c r="C896" s="2">
        <v>43086</v>
      </c>
      <c r="D896" s="9">
        <v>6.805555555555555E-2</v>
      </c>
      <c r="E896" s="3">
        <f t="shared" ca="1" si="13"/>
        <v>529583140</v>
      </c>
      <c r="F896" t="s">
        <v>12</v>
      </c>
      <c r="G896" t="s">
        <v>14</v>
      </c>
      <c r="H896" s="1" t="s">
        <v>237</v>
      </c>
      <c r="I896" t="s">
        <v>18</v>
      </c>
      <c r="J896" s="4">
        <v>9.9</v>
      </c>
      <c r="K896" s="4">
        <v>84.605999999999995</v>
      </c>
      <c r="L896" s="4">
        <v>6</v>
      </c>
      <c r="M896" s="4">
        <v>31.67</v>
      </c>
      <c r="N896" s="4">
        <v>164.5</v>
      </c>
      <c r="O896" s="4">
        <v>302.7</v>
      </c>
      <c r="P896" s="4">
        <v>3.8764546470000001</v>
      </c>
      <c r="Q896" s="4">
        <v>36.44</v>
      </c>
      <c r="R896" s="10"/>
    </row>
    <row r="897" spans="1:18" ht="28.8" x14ac:dyDescent="0.3">
      <c r="A897" t="s">
        <v>3</v>
      </c>
      <c r="B897" s="3" t="s">
        <v>281</v>
      </c>
      <c r="C897" s="2">
        <v>43148</v>
      </c>
      <c r="D897" s="9">
        <v>0.99652777777777779</v>
      </c>
      <c r="E897" s="3">
        <f t="shared" ca="1" si="13"/>
        <v>74503468</v>
      </c>
      <c r="F897" t="s">
        <v>12</v>
      </c>
      <c r="G897" t="s">
        <v>15</v>
      </c>
      <c r="H897" s="1" t="s">
        <v>237</v>
      </c>
      <c r="I897" t="s">
        <v>17</v>
      </c>
      <c r="J897" s="4">
        <v>5.0999999999999996</v>
      </c>
      <c r="K897" s="4">
        <v>66.099999999999994</v>
      </c>
      <c r="L897" s="4">
        <v>8</v>
      </c>
      <c r="M897" s="4">
        <v>91.9</v>
      </c>
      <c r="N897" s="4">
        <v>175.7</v>
      </c>
      <c r="O897" s="4">
        <v>793.28</v>
      </c>
      <c r="P897" s="4">
        <v>3.8764546470000001</v>
      </c>
      <c r="Q897" s="4">
        <v>96.27</v>
      </c>
      <c r="R897" s="10"/>
    </row>
    <row r="898" spans="1:18" x14ac:dyDescent="0.3">
      <c r="A898" t="s">
        <v>2</v>
      </c>
      <c r="B898" s="3" t="s">
        <v>280</v>
      </c>
      <c r="C898" s="2">
        <v>43369</v>
      </c>
      <c r="D898" s="9">
        <v>0.94305555555555554</v>
      </c>
      <c r="E898" s="3">
        <f t="shared" ca="1" si="13"/>
        <v>860816756</v>
      </c>
      <c r="F898" t="s">
        <v>12</v>
      </c>
      <c r="G898" t="s">
        <v>15</v>
      </c>
      <c r="H898" s="1" t="s">
        <v>235</v>
      </c>
      <c r="I898" t="s">
        <v>22</v>
      </c>
      <c r="J898" s="4">
        <v>1.1000000000000001</v>
      </c>
      <c r="K898" s="4">
        <v>56.28</v>
      </c>
      <c r="L898" s="4">
        <v>7</v>
      </c>
      <c r="M898" s="4">
        <v>98.45</v>
      </c>
      <c r="N898" s="4">
        <v>132.19999999999999</v>
      </c>
      <c r="O898" s="4">
        <v>425.18</v>
      </c>
      <c r="P898" s="4">
        <v>3.8764546470000001</v>
      </c>
      <c r="Q898" s="4">
        <v>45.07</v>
      </c>
      <c r="R898" s="10"/>
    </row>
    <row r="899" spans="1:18" x14ac:dyDescent="0.3">
      <c r="A899" t="s">
        <v>2</v>
      </c>
      <c r="B899" s="3" t="s">
        <v>280</v>
      </c>
      <c r="C899" s="2">
        <v>42908</v>
      </c>
      <c r="D899" s="9">
        <v>0.45208333333333334</v>
      </c>
      <c r="E899" s="3">
        <f t="shared" ref="E899:E962" ca="1" si="14">RANDBETWEEN(10000000,1000000000)</f>
        <v>780654363</v>
      </c>
      <c r="F899" t="s">
        <v>11</v>
      </c>
      <c r="G899" t="s">
        <v>14</v>
      </c>
      <c r="H899" s="1" t="s">
        <v>236</v>
      </c>
      <c r="I899" t="s">
        <v>21</v>
      </c>
      <c r="J899" s="4">
        <v>8</v>
      </c>
      <c r="K899" s="4">
        <v>15.196</v>
      </c>
      <c r="L899" s="4">
        <v>6</v>
      </c>
      <c r="M899" s="4">
        <v>55.66</v>
      </c>
      <c r="N899" s="4">
        <v>169.2</v>
      </c>
      <c r="O899" s="4">
        <v>283.62</v>
      </c>
      <c r="P899" s="4">
        <v>3.8764546470000001</v>
      </c>
      <c r="Q899" s="4">
        <v>62.22</v>
      </c>
      <c r="R899" s="10"/>
    </row>
    <row r="900" spans="1:18" x14ac:dyDescent="0.3">
      <c r="A900" t="s">
        <v>2</v>
      </c>
      <c r="B900" s="3" t="s">
        <v>280</v>
      </c>
      <c r="C900" s="2">
        <v>42872</v>
      </c>
      <c r="D900" s="9">
        <v>0.72916666666666663</v>
      </c>
      <c r="E900" s="3">
        <f t="shared" ca="1" si="14"/>
        <v>575057492</v>
      </c>
      <c r="F900" t="s">
        <v>12</v>
      </c>
      <c r="G900" t="s">
        <v>14</v>
      </c>
      <c r="H900" s="1" t="s">
        <v>236</v>
      </c>
      <c r="I900" t="s">
        <v>17</v>
      </c>
      <c r="J900" s="4">
        <v>9.6</v>
      </c>
      <c r="K900" s="4">
        <v>28.6</v>
      </c>
      <c r="L900" s="4">
        <v>7</v>
      </c>
      <c r="M900" s="4">
        <v>22.27</v>
      </c>
      <c r="N900" s="4">
        <v>170.8</v>
      </c>
      <c r="O900" s="4">
        <v>599.20000000000005</v>
      </c>
      <c r="P900" s="4">
        <v>3.8764546470000001</v>
      </c>
      <c r="Q900" s="4">
        <v>94.968999999999994</v>
      </c>
      <c r="R900" s="10"/>
    </row>
    <row r="901" spans="1:18" x14ac:dyDescent="0.3">
      <c r="A901" t="s">
        <v>1</v>
      </c>
      <c r="B901" s="3" t="s">
        <v>279</v>
      </c>
      <c r="C901" s="2">
        <v>43185</v>
      </c>
      <c r="D901" s="9">
        <v>0.85069444444444442</v>
      </c>
      <c r="E901" s="3">
        <f t="shared" ca="1" si="14"/>
        <v>613533191</v>
      </c>
      <c r="F901" t="s">
        <v>12</v>
      </c>
      <c r="G901" t="s">
        <v>14</v>
      </c>
      <c r="H901" s="1" t="s">
        <v>235</v>
      </c>
      <c r="I901" t="s">
        <v>21</v>
      </c>
      <c r="J901" s="4">
        <v>7.6</v>
      </c>
      <c r="K901" s="4">
        <v>82.11</v>
      </c>
      <c r="L901" s="4">
        <v>9</v>
      </c>
      <c r="M901" s="4">
        <v>71.87</v>
      </c>
      <c r="N901" s="4">
        <v>140.1</v>
      </c>
      <c r="O901" s="4">
        <v>315.36</v>
      </c>
      <c r="P901" s="4">
        <v>3.8764546470000001</v>
      </c>
      <c r="Q901" s="4">
        <v>82.97</v>
      </c>
      <c r="R901" s="10"/>
    </row>
    <row r="902" spans="1:18" ht="28.8" x14ac:dyDescent="0.3">
      <c r="A902" t="s">
        <v>2</v>
      </c>
      <c r="B902" s="3" t="s">
        <v>280</v>
      </c>
      <c r="C902" s="2">
        <v>43040</v>
      </c>
      <c r="D902" s="9">
        <v>0.7583333333333333</v>
      </c>
      <c r="E902" s="3">
        <f t="shared" ca="1" si="14"/>
        <v>279238410</v>
      </c>
      <c r="F902" t="s">
        <v>11</v>
      </c>
      <c r="G902" t="s">
        <v>14</v>
      </c>
      <c r="H902" s="1" t="s">
        <v>237</v>
      </c>
      <c r="I902" t="s">
        <v>18</v>
      </c>
      <c r="J902" s="4">
        <v>5.2</v>
      </c>
      <c r="K902" s="4">
        <v>53.89</v>
      </c>
      <c r="L902" s="4">
        <v>9</v>
      </c>
      <c r="M902" s="4">
        <v>47.47</v>
      </c>
      <c r="N902" s="4">
        <v>160.9</v>
      </c>
      <c r="O902" s="4">
        <v>403.56</v>
      </c>
      <c r="P902" s="4">
        <v>3.8764546470000001</v>
      </c>
      <c r="Q902" s="4">
        <v>16.800999999999998</v>
      </c>
      <c r="R902" s="10"/>
    </row>
    <row r="903" spans="1:18" x14ac:dyDescent="0.3">
      <c r="A903" t="s">
        <v>3</v>
      </c>
      <c r="B903" s="3" t="s">
        <v>281</v>
      </c>
      <c r="C903" s="2">
        <v>42837</v>
      </c>
      <c r="D903" s="9">
        <v>0.1361111111111111</v>
      </c>
      <c r="E903" s="3">
        <f t="shared" ca="1" si="14"/>
        <v>482758238</v>
      </c>
      <c r="F903" t="s">
        <v>12</v>
      </c>
      <c r="G903" t="s">
        <v>15</v>
      </c>
      <c r="H903" s="1" t="s">
        <v>235</v>
      </c>
      <c r="I903" t="s">
        <v>19</v>
      </c>
      <c r="J903" s="4">
        <v>1.9</v>
      </c>
      <c r="K903" s="4">
        <v>12.2</v>
      </c>
      <c r="L903" s="4">
        <v>4</v>
      </c>
      <c r="M903" s="4">
        <v>44.03</v>
      </c>
      <c r="N903" s="4">
        <v>123.6306</v>
      </c>
      <c r="O903" s="4">
        <v>183.88</v>
      </c>
      <c r="P903" s="4">
        <v>3.8764546470000001</v>
      </c>
      <c r="Q903" s="4">
        <v>77.891999999999996</v>
      </c>
      <c r="R903" s="10"/>
    </row>
    <row r="904" spans="1:18" ht="28.8" x14ac:dyDescent="0.3">
      <c r="A904" t="s">
        <v>1</v>
      </c>
      <c r="B904" s="3" t="s">
        <v>279</v>
      </c>
      <c r="C904" s="2">
        <v>43052</v>
      </c>
      <c r="D904" s="9">
        <v>0.33055555555555555</v>
      </c>
      <c r="E904" s="3">
        <f t="shared" ca="1" si="14"/>
        <v>429628777</v>
      </c>
      <c r="F904" t="s">
        <v>11</v>
      </c>
      <c r="G904" t="s">
        <v>14</v>
      </c>
      <c r="H904" s="1" t="s">
        <v>237</v>
      </c>
      <c r="I904" t="s">
        <v>17</v>
      </c>
      <c r="J904" s="4">
        <v>9.5</v>
      </c>
      <c r="K904" s="4">
        <v>10.5</v>
      </c>
      <c r="L904" s="4">
        <v>5</v>
      </c>
      <c r="M904" s="4">
        <v>45.29</v>
      </c>
      <c r="N904" s="4">
        <v>112.1631</v>
      </c>
      <c r="O904" s="4">
        <v>138.65</v>
      </c>
      <c r="P904" s="4">
        <v>3.8764546470000001</v>
      </c>
      <c r="Q904" s="4">
        <v>46.003999999999998</v>
      </c>
      <c r="R904" s="10"/>
    </row>
    <row r="905" spans="1:18" x14ac:dyDescent="0.3">
      <c r="A905" t="s">
        <v>1</v>
      </c>
      <c r="B905" s="3" t="s">
        <v>279</v>
      </c>
      <c r="C905" s="2">
        <v>42890</v>
      </c>
      <c r="D905" s="9">
        <v>0.73402777777777772</v>
      </c>
      <c r="E905" s="3">
        <f t="shared" ca="1" si="14"/>
        <v>851420587</v>
      </c>
      <c r="F905" t="s">
        <v>12</v>
      </c>
      <c r="G905" t="s">
        <v>15</v>
      </c>
      <c r="H905" s="1" t="s">
        <v>236</v>
      </c>
      <c r="I905" t="s">
        <v>21</v>
      </c>
      <c r="J905" s="4">
        <v>2</v>
      </c>
      <c r="K905" s="4">
        <v>64.17</v>
      </c>
      <c r="L905" s="4">
        <v>7</v>
      </c>
      <c r="M905" s="4">
        <v>36.840000000000003</v>
      </c>
      <c r="N905" s="4">
        <v>160.6979</v>
      </c>
      <c r="O905" s="4">
        <v>80.709999999999994</v>
      </c>
      <c r="P905" s="4">
        <v>3.8764546470000001</v>
      </c>
      <c r="Q905" s="4">
        <v>90.313000000000002</v>
      </c>
      <c r="R905" s="10"/>
    </row>
    <row r="906" spans="1:18" x14ac:dyDescent="0.3">
      <c r="A906" t="s">
        <v>2</v>
      </c>
      <c r="B906" s="3" t="s">
        <v>280</v>
      </c>
      <c r="C906" s="2">
        <v>43059</v>
      </c>
      <c r="D906" s="9">
        <v>0.9868055555555556</v>
      </c>
      <c r="E906" s="3">
        <f t="shared" ca="1" si="14"/>
        <v>753408225</v>
      </c>
      <c r="F906" t="s">
        <v>11</v>
      </c>
      <c r="G906" t="s">
        <v>15</v>
      </c>
      <c r="H906" s="1" t="s">
        <v>235</v>
      </c>
      <c r="I906" t="s">
        <v>17</v>
      </c>
      <c r="J906" s="4">
        <v>5.3</v>
      </c>
      <c r="K906" s="4">
        <v>22.97</v>
      </c>
      <c r="L906" s="4">
        <v>2</v>
      </c>
      <c r="M906" s="4">
        <v>37.29</v>
      </c>
      <c r="N906" s="4">
        <v>104.39239999999999</v>
      </c>
      <c r="O906" s="4">
        <v>116.64</v>
      </c>
      <c r="P906" s="4">
        <v>3.8764546470000001</v>
      </c>
      <c r="Q906" s="4">
        <v>35.985999999999997</v>
      </c>
      <c r="R906" s="10"/>
    </row>
    <row r="907" spans="1:18" x14ac:dyDescent="0.3">
      <c r="A907" t="s">
        <v>2</v>
      </c>
      <c r="B907" s="3" t="s">
        <v>280</v>
      </c>
      <c r="C907" s="2">
        <v>43087</v>
      </c>
      <c r="D907" s="9">
        <v>0.86041666666666672</v>
      </c>
      <c r="E907" s="3">
        <f t="shared" ca="1" si="14"/>
        <v>725853846</v>
      </c>
      <c r="F907" t="s">
        <v>11</v>
      </c>
      <c r="G907" t="s">
        <v>14</v>
      </c>
      <c r="H907" s="1" t="s">
        <v>236</v>
      </c>
      <c r="I907" t="s">
        <v>19</v>
      </c>
      <c r="J907" s="4">
        <v>8.1</v>
      </c>
      <c r="K907" s="4">
        <v>93.33</v>
      </c>
      <c r="L907" s="4">
        <v>4</v>
      </c>
      <c r="M907" s="4">
        <v>79.430000000000007</v>
      </c>
      <c r="N907" s="4">
        <v>154</v>
      </c>
      <c r="O907" s="4">
        <v>313.52</v>
      </c>
      <c r="P907" s="4">
        <v>3.8764546470000001</v>
      </c>
      <c r="Q907" s="4">
        <v>92.290999999999997</v>
      </c>
      <c r="R907" s="10"/>
    </row>
    <row r="908" spans="1:18" ht="28.8" x14ac:dyDescent="0.3">
      <c r="A908" t="s">
        <v>2</v>
      </c>
      <c r="B908" s="3" t="s">
        <v>280</v>
      </c>
      <c r="C908" s="2">
        <v>43306</v>
      </c>
      <c r="D908" s="9">
        <v>0.71944444444444444</v>
      </c>
      <c r="E908" s="3">
        <f t="shared" ca="1" si="14"/>
        <v>287767663</v>
      </c>
      <c r="F908" t="s">
        <v>12</v>
      </c>
      <c r="G908" t="s">
        <v>15</v>
      </c>
      <c r="H908" s="1" t="s">
        <v>237</v>
      </c>
      <c r="I908" t="s">
        <v>17</v>
      </c>
      <c r="J908" s="4">
        <v>2.6</v>
      </c>
      <c r="K908" s="4">
        <v>66.099999999999994</v>
      </c>
      <c r="L908" s="4">
        <v>10</v>
      </c>
      <c r="M908" s="4">
        <v>62.61</v>
      </c>
      <c r="N908" s="4">
        <v>145.30000000000001</v>
      </c>
      <c r="O908" s="4">
        <v>846.1</v>
      </c>
      <c r="P908" s="4">
        <v>3.8764546470000001</v>
      </c>
      <c r="Q908" s="4">
        <v>82.72</v>
      </c>
      <c r="R908" s="10"/>
    </row>
    <row r="909" spans="1:18" ht="28.8" x14ac:dyDescent="0.3">
      <c r="A909" t="s">
        <v>3</v>
      </c>
      <c r="B909" s="3" t="s">
        <v>281</v>
      </c>
      <c r="C909" s="2">
        <v>43268</v>
      </c>
      <c r="D909" s="9">
        <v>0.74375000000000002</v>
      </c>
      <c r="E909" s="3">
        <f t="shared" ca="1" si="14"/>
        <v>679228026</v>
      </c>
      <c r="F909" t="s">
        <v>11</v>
      </c>
      <c r="G909" t="s">
        <v>15</v>
      </c>
      <c r="H909" s="1" t="s">
        <v>237</v>
      </c>
      <c r="I909" t="s">
        <v>17</v>
      </c>
      <c r="J909" s="4">
        <v>6.6</v>
      </c>
      <c r="K909" s="4">
        <v>66.664000000000001</v>
      </c>
      <c r="L909" s="4">
        <v>5</v>
      </c>
      <c r="M909" s="4">
        <v>12.27</v>
      </c>
      <c r="N909" s="4">
        <v>101.7</v>
      </c>
      <c r="O909" s="4">
        <v>414.4</v>
      </c>
      <c r="P909" s="4">
        <v>3.8764546470000001</v>
      </c>
      <c r="Q909" s="4">
        <v>44.59</v>
      </c>
      <c r="R909" s="10"/>
    </row>
    <row r="910" spans="1:18" x14ac:dyDescent="0.3">
      <c r="A910" t="s">
        <v>1</v>
      </c>
      <c r="B910" s="3" t="s">
        <v>279</v>
      </c>
      <c r="C910" s="2">
        <v>42951</v>
      </c>
      <c r="D910" s="9">
        <v>9.7222222222222224E-3</v>
      </c>
      <c r="E910" s="3">
        <f t="shared" ca="1" si="14"/>
        <v>465939116</v>
      </c>
      <c r="F910" t="s">
        <v>11</v>
      </c>
      <c r="G910" t="s">
        <v>14</v>
      </c>
      <c r="H910" s="1" t="s">
        <v>235</v>
      </c>
      <c r="I910" t="s">
        <v>21</v>
      </c>
      <c r="J910" s="4">
        <v>7</v>
      </c>
      <c r="K910" s="4">
        <v>60.692</v>
      </c>
      <c r="L910" s="4">
        <v>2</v>
      </c>
      <c r="M910" s="4">
        <v>47.79</v>
      </c>
      <c r="N910" s="4">
        <v>121.3</v>
      </c>
      <c r="O910" s="4">
        <v>159.08000000000001</v>
      </c>
      <c r="P910" s="4">
        <v>3.8764546470000001</v>
      </c>
      <c r="Q910" s="4">
        <v>31.39</v>
      </c>
      <c r="R910" s="10"/>
    </row>
    <row r="911" spans="1:18" ht="28.8" x14ac:dyDescent="0.3">
      <c r="A911" t="s">
        <v>3</v>
      </c>
      <c r="B911" s="3" t="s">
        <v>281</v>
      </c>
      <c r="C911" s="2">
        <v>43031</v>
      </c>
      <c r="D911" s="9">
        <v>0.10208333333333333</v>
      </c>
      <c r="E911" s="3">
        <f t="shared" ca="1" si="14"/>
        <v>528200962</v>
      </c>
      <c r="F911" t="s">
        <v>11</v>
      </c>
      <c r="G911" t="s">
        <v>15</v>
      </c>
      <c r="H911" s="1" t="s">
        <v>237</v>
      </c>
      <c r="I911" t="s">
        <v>19</v>
      </c>
      <c r="J911" s="4">
        <v>1</v>
      </c>
      <c r="K911" s="4">
        <v>90.269000000000005</v>
      </c>
      <c r="L911" s="4">
        <v>10</v>
      </c>
      <c r="M911" s="4">
        <v>54.97</v>
      </c>
      <c r="N911" s="4">
        <v>187.1</v>
      </c>
      <c r="O911" s="4">
        <v>490.1</v>
      </c>
      <c r="P911" s="4">
        <v>3.8764546470000001</v>
      </c>
      <c r="Q911" s="4">
        <v>10.009</v>
      </c>
      <c r="R911" s="10"/>
    </row>
    <row r="912" spans="1:18" ht="28.8" x14ac:dyDescent="0.3">
      <c r="A912" t="s">
        <v>3</v>
      </c>
      <c r="B912" s="3" t="s">
        <v>281</v>
      </c>
      <c r="C912" s="2">
        <v>43328</v>
      </c>
      <c r="D912" s="9">
        <v>0.13125000000000001</v>
      </c>
      <c r="E912" s="3">
        <f t="shared" ca="1" si="14"/>
        <v>939361456</v>
      </c>
      <c r="F912" t="s">
        <v>11</v>
      </c>
      <c r="G912" t="s">
        <v>14</v>
      </c>
      <c r="H912" s="1" t="s">
        <v>237</v>
      </c>
      <c r="I912" t="s">
        <v>21</v>
      </c>
      <c r="J912" s="4">
        <v>5.4</v>
      </c>
      <c r="K912" s="4">
        <v>93.39</v>
      </c>
      <c r="L912" s="4">
        <v>3</v>
      </c>
      <c r="M912" s="4">
        <v>87.34</v>
      </c>
      <c r="N912" s="4">
        <v>105.5</v>
      </c>
      <c r="O912" s="4">
        <v>87.45</v>
      </c>
      <c r="P912" s="4">
        <v>3.8764546470000001</v>
      </c>
      <c r="Q912" s="4">
        <v>29.052</v>
      </c>
      <c r="R912" s="10"/>
    </row>
    <row r="913" spans="1:18" x14ac:dyDescent="0.3">
      <c r="A913" t="s">
        <v>2</v>
      </c>
      <c r="B913" s="3" t="s">
        <v>280</v>
      </c>
      <c r="C913" s="2">
        <v>43275</v>
      </c>
      <c r="D913" s="9">
        <v>0.85555555555555551</v>
      </c>
      <c r="E913" s="3">
        <f t="shared" ca="1" si="14"/>
        <v>786684903</v>
      </c>
      <c r="F913" t="s">
        <v>11</v>
      </c>
      <c r="G913" t="s">
        <v>15</v>
      </c>
      <c r="H913" s="1" t="s">
        <v>235</v>
      </c>
      <c r="I913" t="s">
        <v>18</v>
      </c>
      <c r="J913" s="4">
        <v>8.1</v>
      </c>
      <c r="K913" s="4">
        <v>85.415000000000006</v>
      </c>
      <c r="L913" s="4">
        <v>4</v>
      </c>
      <c r="M913" s="4">
        <v>18.579999999999998</v>
      </c>
      <c r="N913" s="4">
        <v>165.6</v>
      </c>
      <c r="O913" s="4">
        <v>224.52</v>
      </c>
      <c r="P913" s="4">
        <v>3.8764546470000001</v>
      </c>
      <c r="Q913" s="4">
        <v>33.746000000000002</v>
      </c>
      <c r="R913" s="10"/>
    </row>
    <row r="914" spans="1:18" x14ac:dyDescent="0.3">
      <c r="A914" t="s">
        <v>1</v>
      </c>
      <c r="B914" s="3" t="s">
        <v>279</v>
      </c>
      <c r="C914" s="2">
        <v>43289</v>
      </c>
      <c r="D914" s="9">
        <v>0.20416666666666666</v>
      </c>
      <c r="E914" s="3">
        <f t="shared" ca="1" si="14"/>
        <v>154953854</v>
      </c>
      <c r="F914" t="s">
        <v>11</v>
      </c>
      <c r="G914" t="s">
        <v>15</v>
      </c>
      <c r="H914" s="1" t="s">
        <v>236</v>
      </c>
      <c r="I914" t="s">
        <v>19</v>
      </c>
      <c r="J914" s="4">
        <v>4.8</v>
      </c>
      <c r="K914" s="4">
        <v>28.26</v>
      </c>
      <c r="L914" s="4">
        <v>8</v>
      </c>
      <c r="M914" s="4">
        <v>27.99</v>
      </c>
      <c r="N914" s="4">
        <v>128.8416</v>
      </c>
      <c r="O914" s="4">
        <v>744.96</v>
      </c>
      <c r="P914" s="4">
        <v>3.8764546470000001</v>
      </c>
      <c r="Q914" s="4">
        <v>67.177999999999997</v>
      </c>
      <c r="R914" s="10"/>
    </row>
    <row r="915" spans="1:18" x14ac:dyDescent="0.3">
      <c r="A915" t="s">
        <v>1</v>
      </c>
      <c r="B915" s="3" t="s">
        <v>279</v>
      </c>
      <c r="C915" s="2">
        <v>42805</v>
      </c>
      <c r="D915" s="9">
        <v>0.28680555555555554</v>
      </c>
      <c r="E915" s="3">
        <f t="shared" ca="1" si="14"/>
        <v>87829877</v>
      </c>
      <c r="F915" t="s">
        <v>12</v>
      </c>
      <c r="G915" t="s">
        <v>14</v>
      </c>
      <c r="H915" s="1" t="s">
        <v>235</v>
      </c>
      <c r="I915" t="s">
        <v>22</v>
      </c>
      <c r="J915" s="4">
        <v>4</v>
      </c>
      <c r="K915" s="4">
        <v>19.43</v>
      </c>
      <c r="L915" s="4">
        <v>8</v>
      </c>
      <c r="M915" s="4">
        <v>61.42</v>
      </c>
      <c r="N915" s="4">
        <v>133.04220000000001</v>
      </c>
      <c r="O915" s="4">
        <v>410.72</v>
      </c>
      <c r="P915" s="4">
        <v>3.8764546470000001</v>
      </c>
      <c r="Q915" s="4">
        <v>87.483000000000004</v>
      </c>
      <c r="R915" s="10"/>
    </row>
    <row r="916" spans="1:18" x14ac:dyDescent="0.3">
      <c r="A916" t="s">
        <v>1</v>
      </c>
      <c r="B916" s="3" t="s">
        <v>279</v>
      </c>
      <c r="C916" s="2">
        <v>42925</v>
      </c>
      <c r="D916" s="9">
        <v>0.61250000000000004</v>
      </c>
      <c r="E916" s="3">
        <f t="shared" ca="1" si="14"/>
        <v>759591535</v>
      </c>
      <c r="F916" t="s">
        <v>11</v>
      </c>
      <c r="G916" t="s">
        <v>14</v>
      </c>
      <c r="H916" s="1" t="s">
        <v>236</v>
      </c>
      <c r="I916" t="s">
        <v>21</v>
      </c>
      <c r="J916" s="4">
        <v>4</v>
      </c>
      <c r="K916" s="4">
        <v>99.92</v>
      </c>
      <c r="L916" s="4">
        <v>3</v>
      </c>
      <c r="M916" s="4">
        <v>75.22</v>
      </c>
      <c r="N916" s="4">
        <v>172.89769999999999</v>
      </c>
      <c r="O916" s="4">
        <v>298.8</v>
      </c>
      <c r="P916" s="4">
        <v>3.8764546470000001</v>
      </c>
      <c r="Q916" s="4">
        <v>73.429000000000002</v>
      </c>
      <c r="R916" s="10"/>
    </row>
    <row r="917" spans="1:18" x14ac:dyDescent="0.3">
      <c r="A917" t="s">
        <v>2</v>
      </c>
      <c r="B917" s="3" t="s">
        <v>280</v>
      </c>
      <c r="C917" s="2">
        <v>43267</v>
      </c>
      <c r="D917" s="9">
        <v>0.67569444444444449</v>
      </c>
      <c r="E917" s="3">
        <f t="shared" ca="1" si="14"/>
        <v>87058609</v>
      </c>
      <c r="F917" t="s">
        <v>11</v>
      </c>
      <c r="G917" t="s">
        <v>15</v>
      </c>
      <c r="H917" s="1" t="s">
        <v>236</v>
      </c>
      <c r="I917" t="s">
        <v>18</v>
      </c>
      <c r="J917" s="4">
        <v>9.9</v>
      </c>
      <c r="K917" s="4">
        <v>85.531000000000006</v>
      </c>
      <c r="L917" s="4">
        <v>6</v>
      </c>
      <c r="M917" s="4">
        <v>92.48</v>
      </c>
      <c r="N917" s="4">
        <v>134.9812</v>
      </c>
      <c r="O917" s="4">
        <v>212.94</v>
      </c>
      <c r="P917" s="4">
        <v>3.8764546470000001</v>
      </c>
      <c r="Q917" s="4">
        <v>86.74</v>
      </c>
      <c r="R917" s="10"/>
    </row>
    <row r="918" spans="1:18" ht="28.8" x14ac:dyDescent="0.3">
      <c r="A918" t="s">
        <v>2</v>
      </c>
      <c r="B918" s="3" t="s">
        <v>280</v>
      </c>
      <c r="C918" s="2">
        <v>42801</v>
      </c>
      <c r="D918" s="9">
        <v>0.96250000000000002</v>
      </c>
      <c r="E918" s="3">
        <f t="shared" ca="1" si="14"/>
        <v>11505655</v>
      </c>
      <c r="F918" t="s">
        <v>12</v>
      </c>
      <c r="G918" t="s">
        <v>14</v>
      </c>
      <c r="H918" s="1" t="s">
        <v>237</v>
      </c>
      <c r="I918" t="s">
        <v>20</v>
      </c>
      <c r="J918" s="4">
        <v>5.8</v>
      </c>
      <c r="K918" s="4">
        <v>65.751000000000005</v>
      </c>
      <c r="L918" s="4">
        <v>1</v>
      </c>
      <c r="M918" s="4">
        <v>70.31</v>
      </c>
      <c r="N918" s="4">
        <v>122.1883</v>
      </c>
      <c r="O918" s="4">
        <v>42.85</v>
      </c>
      <c r="P918" s="4">
        <v>3.8764546470000001</v>
      </c>
      <c r="Q918" s="4">
        <v>29.818000000000001</v>
      </c>
      <c r="R918" s="10"/>
    </row>
    <row r="919" spans="1:18" x14ac:dyDescent="0.3">
      <c r="A919" t="s">
        <v>1</v>
      </c>
      <c r="B919" s="3" t="s">
        <v>279</v>
      </c>
      <c r="C919" s="2">
        <v>42952</v>
      </c>
      <c r="D919" s="9">
        <v>0.16527777777777777</v>
      </c>
      <c r="E919" s="3">
        <f t="shared" ca="1" si="14"/>
        <v>183356214</v>
      </c>
      <c r="F919" t="s">
        <v>11</v>
      </c>
      <c r="G919" t="s">
        <v>15</v>
      </c>
      <c r="H919" s="1" t="s">
        <v>236</v>
      </c>
      <c r="I919" t="s">
        <v>22</v>
      </c>
      <c r="J919" s="4">
        <v>7</v>
      </c>
      <c r="K919" s="4">
        <v>18.478999999999999</v>
      </c>
      <c r="L919" s="4">
        <v>4</v>
      </c>
      <c r="M919" s="4">
        <v>64.400000000000006</v>
      </c>
      <c r="N919" s="4">
        <v>137.1</v>
      </c>
      <c r="O919" s="4">
        <v>378.68</v>
      </c>
      <c r="P919" s="4">
        <v>3.8764546470000001</v>
      </c>
      <c r="Q919" s="4">
        <v>87.742999999999995</v>
      </c>
      <c r="R919" s="10"/>
    </row>
    <row r="920" spans="1:18" x14ac:dyDescent="0.3">
      <c r="A920" t="s">
        <v>3</v>
      </c>
      <c r="B920" s="3" t="s">
        <v>281</v>
      </c>
      <c r="C920" s="2">
        <v>43109</v>
      </c>
      <c r="D920" s="9">
        <v>0.49583333333333335</v>
      </c>
      <c r="E920" s="3">
        <f t="shared" ca="1" si="14"/>
        <v>330844638</v>
      </c>
      <c r="F920" t="s">
        <v>12</v>
      </c>
      <c r="G920" t="s">
        <v>15</v>
      </c>
      <c r="H920" s="1" t="s">
        <v>235</v>
      </c>
      <c r="I920" t="s">
        <v>19</v>
      </c>
      <c r="J920" s="4">
        <v>4</v>
      </c>
      <c r="K920" s="4">
        <v>63.981000000000002</v>
      </c>
      <c r="L920" s="4">
        <v>3</v>
      </c>
      <c r="M920" s="4">
        <v>68.03</v>
      </c>
      <c r="N920" s="4">
        <v>160.19999999999999</v>
      </c>
      <c r="O920" s="4">
        <v>206.91</v>
      </c>
      <c r="P920" s="4">
        <v>3.8764546470000001</v>
      </c>
      <c r="Q920" s="4">
        <v>86.346999999999994</v>
      </c>
      <c r="R920" s="10"/>
    </row>
    <row r="921" spans="1:18" x14ac:dyDescent="0.3">
      <c r="A921" t="s">
        <v>3</v>
      </c>
      <c r="B921" s="3" t="s">
        <v>281</v>
      </c>
      <c r="C921" s="2">
        <v>42926</v>
      </c>
      <c r="D921" s="9">
        <v>0.84583333333333333</v>
      </c>
      <c r="E921" s="3">
        <f t="shared" ca="1" si="14"/>
        <v>330550306</v>
      </c>
      <c r="F921" t="s">
        <v>11</v>
      </c>
      <c r="G921" t="s">
        <v>14</v>
      </c>
      <c r="H921" s="1" t="s">
        <v>235</v>
      </c>
      <c r="I921" t="s">
        <v>18</v>
      </c>
      <c r="J921" s="4">
        <v>8</v>
      </c>
      <c r="K921" s="4">
        <v>73.203000000000003</v>
      </c>
      <c r="L921" s="4">
        <v>3</v>
      </c>
      <c r="M921" s="4">
        <v>32.700000000000003</v>
      </c>
      <c r="N921" s="4">
        <v>131.5</v>
      </c>
      <c r="O921" s="4">
        <v>78.78</v>
      </c>
      <c r="P921" s="4">
        <v>3.8764546470000001</v>
      </c>
      <c r="Q921" s="4">
        <v>96.808999999999997</v>
      </c>
      <c r="R921" s="10"/>
    </row>
    <row r="922" spans="1:18" ht="28.8" x14ac:dyDescent="0.3">
      <c r="A922" t="s">
        <v>2</v>
      </c>
      <c r="B922" s="3" t="s">
        <v>280</v>
      </c>
      <c r="C922" s="2">
        <v>43190</v>
      </c>
      <c r="D922" s="9">
        <v>0.24791666666666667</v>
      </c>
      <c r="E922" s="3">
        <f t="shared" ca="1" si="14"/>
        <v>687551169</v>
      </c>
      <c r="F922" t="s">
        <v>11</v>
      </c>
      <c r="G922" t="s">
        <v>14</v>
      </c>
      <c r="H922" s="1" t="s">
        <v>237</v>
      </c>
      <c r="I922" t="s">
        <v>19</v>
      </c>
      <c r="J922" s="4">
        <v>7</v>
      </c>
      <c r="K922" s="4">
        <v>91.183000000000007</v>
      </c>
      <c r="L922" s="4">
        <v>9</v>
      </c>
      <c r="M922" s="4">
        <v>15.73</v>
      </c>
      <c r="N922" s="4">
        <v>165.5</v>
      </c>
      <c r="O922" s="4">
        <v>322.11</v>
      </c>
      <c r="P922" s="4">
        <v>3.8764546470000001</v>
      </c>
      <c r="Q922" s="4">
        <v>53.005000000000003</v>
      </c>
      <c r="R922" s="10"/>
    </row>
    <row r="923" spans="1:18" x14ac:dyDescent="0.3">
      <c r="A923" t="s">
        <v>3</v>
      </c>
      <c r="B923" s="3" t="s">
        <v>281</v>
      </c>
      <c r="C923" s="2">
        <v>42848</v>
      </c>
      <c r="D923" s="9">
        <v>0.40347222222222223</v>
      </c>
      <c r="E923" s="3">
        <f t="shared" ca="1" si="14"/>
        <v>526197993</v>
      </c>
      <c r="F923" t="s">
        <v>11</v>
      </c>
      <c r="G923" t="s">
        <v>15</v>
      </c>
      <c r="H923" s="1" t="s">
        <v>236</v>
      </c>
      <c r="I923" t="s">
        <v>19</v>
      </c>
      <c r="J923" s="4">
        <v>4</v>
      </c>
      <c r="K923" s="4">
        <v>32.299999999999997</v>
      </c>
      <c r="L923" s="4">
        <v>6</v>
      </c>
      <c r="M923" s="4">
        <v>54.58</v>
      </c>
      <c r="N923" s="4">
        <v>111.5</v>
      </c>
      <c r="O923" s="4">
        <v>98.22</v>
      </c>
      <c r="P923" s="4">
        <v>3.8764546470000001</v>
      </c>
      <c r="Q923" s="4">
        <v>80.281999999999996</v>
      </c>
      <c r="R923" s="10"/>
    </row>
    <row r="924" spans="1:18" ht="28.8" x14ac:dyDescent="0.3">
      <c r="A924" t="s">
        <v>2</v>
      </c>
      <c r="B924" s="3" t="s">
        <v>280</v>
      </c>
      <c r="C924" s="2">
        <v>43206</v>
      </c>
      <c r="D924" s="9">
        <v>0.71944444444444444</v>
      </c>
      <c r="E924" s="3">
        <f t="shared" ca="1" si="14"/>
        <v>209980222</v>
      </c>
      <c r="F924" t="s">
        <v>11</v>
      </c>
      <c r="G924" t="s">
        <v>14</v>
      </c>
      <c r="H924" s="1" t="s">
        <v>237</v>
      </c>
      <c r="I924" t="s">
        <v>19</v>
      </c>
      <c r="J924" s="4">
        <v>7.1</v>
      </c>
      <c r="K924" s="4">
        <v>11.36</v>
      </c>
      <c r="L924" s="4">
        <v>2</v>
      </c>
      <c r="M924" s="4">
        <v>48.08</v>
      </c>
      <c r="N924" s="4">
        <v>171.8</v>
      </c>
      <c r="O924" s="4">
        <v>25.46</v>
      </c>
      <c r="P924" s="4">
        <v>3.8764546470000001</v>
      </c>
      <c r="Q924" s="4">
        <v>16.7</v>
      </c>
      <c r="R924" s="10"/>
    </row>
    <row r="925" spans="1:18" ht="28.8" x14ac:dyDescent="0.3">
      <c r="A925" t="s">
        <v>2</v>
      </c>
      <c r="B925" s="3" t="s">
        <v>280</v>
      </c>
      <c r="C925" s="2">
        <v>43431</v>
      </c>
      <c r="D925" s="9">
        <v>0.85069444444444442</v>
      </c>
      <c r="E925" s="3">
        <f t="shared" ca="1" si="14"/>
        <v>816310374</v>
      </c>
      <c r="F925" t="s">
        <v>11</v>
      </c>
      <c r="G925" t="s">
        <v>15</v>
      </c>
      <c r="H925" s="1" t="s">
        <v>237</v>
      </c>
      <c r="I925" t="s">
        <v>20</v>
      </c>
      <c r="J925" s="4">
        <v>2.7</v>
      </c>
      <c r="K925" s="4">
        <v>89.65</v>
      </c>
      <c r="L925" s="4">
        <v>7</v>
      </c>
      <c r="M925" s="4">
        <v>63.66</v>
      </c>
      <c r="N925" s="4">
        <v>101.2</v>
      </c>
      <c r="O925" s="4">
        <v>581.98</v>
      </c>
      <c r="P925" s="4">
        <v>3.8764546470000001</v>
      </c>
      <c r="Q925" s="4">
        <v>64.064999999999998</v>
      </c>
      <c r="R925" s="10"/>
    </row>
    <row r="926" spans="1:18" x14ac:dyDescent="0.3">
      <c r="A926" t="s">
        <v>2</v>
      </c>
      <c r="B926" s="3" t="s">
        <v>280</v>
      </c>
      <c r="C926" s="2">
        <v>42811</v>
      </c>
      <c r="D926" s="9">
        <v>0.24305555555555555</v>
      </c>
      <c r="E926" s="3">
        <f t="shared" ca="1" si="14"/>
        <v>664085976</v>
      </c>
      <c r="F926" t="s">
        <v>11</v>
      </c>
      <c r="G926" t="s">
        <v>14</v>
      </c>
      <c r="H926" s="1" t="s">
        <v>235</v>
      </c>
      <c r="I926" t="s">
        <v>20</v>
      </c>
      <c r="J926" s="4">
        <v>1.9</v>
      </c>
      <c r="K926" s="4">
        <v>28.774000000000001</v>
      </c>
      <c r="L926" s="4">
        <v>6</v>
      </c>
      <c r="M926" s="4">
        <v>55.57</v>
      </c>
      <c r="N926" s="4">
        <v>103.1</v>
      </c>
      <c r="O926" s="4">
        <v>211.32</v>
      </c>
      <c r="P926" s="4">
        <v>3.8764546470000001</v>
      </c>
      <c r="Q926" s="4">
        <v>47.109000000000002</v>
      </c>
      <c r="R926" s="10"/>
    </row>
    <row r="927" spans="1:18" x14ac:dyDescent="0.3">
      <c r="A927" t="s">
        <v>3</v>
      </c>
      <c r="B927" s="3" t="s">
        <v>281</v>
      </c>
      <c r="C927" s="2">
        <v>43135</v>
      </c>
      <c r="D927" s="9">
        <v>9.7222222222222224E-3</v>
      </c>
      <c r="E927" s="3">
        <f t="shared" ca="1" si="14"/>
        <v>968299263</v>
      </c>
      <c r="F927" t="s">
        <v>11</v>
      </c>
      <c r="G927" t="s">
        <v>15</v>
      </c>
      <c r="H927" s="1" t="s">
        <v>235</v>
      </c>
      <c r="I927" t="s">
        <v>18</v>
      </c>
      <c r="J927" s="4">
        <v>6.6</v>
      </c>
      <c r="K927" s="4">
        <v>15.683</v>
      </c>
      <c r="L927" s="4">
        <v>4</v>
      </c>
      <c r="M927" s="4">
        <v>13.87</v>
      </c>
      <c r="N927" s="4">
        <v>176.77719999999999</v>
      </c>
      <c r="O927" s="4">
        <v>55.12</v>
      </c>
      <c r="P927" s="4">
        <v>3.8764546470000001</v>
      </c>
      <c r="Q927" s="4">
        <v>43.936</v>
      </c>
      <c r="R927" s="10"/>
    </row>
    <row r="928" spans="1:18" ht="28.8" x14ac:dyDescent="0.3">
      <c r="A928" t="s">
        <v>3</v>
      </c>
      <c r="B928" s="3" t="s">
        <v>281</v>
      </c>
      <c r="C928" s="2">
        <v>43068</v>
      </c>
      <c r="D928" s="9">
        <v>0.81666666666666665</v>
      </c>
      <c r="E928" s="3">
        <f t="shared" ca="1" si="14"/>
        <v>483211860</v>
      </c>
      <c r="F928" t="s">
        <v>12</v>
      </c>
      <c r="G928" t="s">
        <v>14</v>
      </c>
      <c r="H928" s="1" t="s">
        <v>237</v>
      </c>
      <c r="I928" t="s">
        <v>20</v>
      </c>
      <c r="J928" s="4">
        <v>1.6</v>
      </c>
      <c r="K928" s="4">
        <v>38.479999999999997</v>
      </c>
      <c r="L928" s="4">
        <v>1</v>
      </c>
      <c r="M928" s="4">
        <v>19.91</v>
      </c>
      <c r="N928" s="4">
        <v>139.08680000000001</v>
      </c>
      <c r="O928" s="4">
        <v>88.31</v>
      </c>
      <c r="P928" s="4">
        <v>3.8764546470000001</v>
      </c>
      <c r="Q928" s="4">
        <v>44.841000000000001</v>
      </c>
      <c r="R928" s="10"/>
    </row>
    <row r="929" spans="1:18" ht="28.8" x14ac:dyDescent="0.3">
      <c r="A929" t="s">
        <v>1</v>
      </c>
      <c r="B929" s="3" t="s">
        <v>279</v>
      </c>
      <c r="C929" s="2">
        <v>43274</v>
      </c>
      <c r="D929" s="9">
        <v>0.35</v>
      </c>
      <c r="E929" s="3">
        <f t="shared" ca="1" si="14"/>
        <v>572407062</v>
      </c>
      <c r="F929" t="s">
        <v>11</v>
      </c>
      <c r="G929" t="s">
        <v>14</v>
      </c>
      <c r="H929" s="1" t="s">
        <v>237</v>
      </c>
      <c r="I929" t="s">
        <v>17</v>
      </c>
      <c r="J929" s="4">
        <v>2</v>
      </c>
      <c r="K929" s="4">
        <v>51.1</v>
      </c>
      <c r="L929" s="4">
        <v>9</v>
      </c>
      <c r="M929" s="4">
        <v>78.84</v>
      </c>
      <c r="N929" s="4">
        <v>117.996</v>
      </c>
      <c r="O929" s="4">
        <v>356.58</v>
      </c>
      <c r="P929" s="4">
        <v>3.8764546470000001</v>
      </c>
      <c r="Q929" s="4">
        <v>74.709999999999994</v>
      </c>
      <c r="R929" s="10"/>
    </row>
    <row r="930" spans="1:18" ht="28.8" x14ac:dyDescent="0.3">
      <c r="A930" t="s">
        <v>3</v>
      </c>
      <c r="B930" s="3" t="s">
        <v>281</v>
      </c>
      <c r="C930" s="2">
        <v>43001</v>
      </c>
      <c r="D930" s="9">
        <v>0.35486111111111113</v>
      </c>
      <c r="E930" s="3">
        <f t="shared" ca="1" si="14"/>
        <v>707561561</v>
      </c>
      <c r="F930" t="s">
        <v>11</v>
      </c>
      <c r="G930" t="s">
        <v>15</v>
      </c>
      <c r="H930" s="1" t="s">
        <v>237</v>
      </c>
      <c r="I930" t="s">
        <v>18</v>
      </c>
      <c r="J930" s="4">
        <v>3.5</v>
      </c>
      <c r="K930" s="4">
        <v>56.127000000000002</v>
      </c>
      <c r="L930" s="4">
        <v>9</v>
      </c>
      <c r="M930" s="4">
        <v>70.73</v>
      </c>
      <c r="N930" s="4">
        <v>104.91630000000001</v>
      </c>
      <c r="O930" s="4">
        <v>794.25</v>
      </c>
      <c r="P930" s="4">
        <v>3.8764546470000001</v>
      </c>
      <c r="Q930" s="4">
        <v>52.52</v>
      </c>
      <c r="R930" s="10"/>
    </row>
    <row r="931" spans="1:18" x14ac:dyDescent="0.3">
      <c r="A931" t="s">
        <v>3</v>
      </c>
      <c r="B931" s="3" t="s">
        <v>281</v>
      </c>
      <c r="C931" s="2">
        <v>43410</v>
      </c>
      <c r="D931" s="9">
        <v>0.41319444444444442</v>
      </c>
      <c r="E931" s="3">
        <f t="shared" ca="1" si="14"/>
        <v>319072818</v>
      </c>
      <c r="F931" t="s">
        <v>12</v>
      </c>
      <c r="G931" t="s">
        <v>15</v>
      </c>
      <c r="H931" s="1" t="s">
        <v>235</v>
      </c>
      <c r="I931" t="s">
        <v>20</v>
      </c>
      <c r="J931" s="4">
        <v>9</v>
      </c>
      <c r="K931" s="4">
        <v>30.06</v>
      </c>
      <c r="L931" s="4">
        <v>2</v>
      </c>
      <c r="M931" s="4">
        <v>10.69</v>
      </c>
      <c r="N931" s="4">
        <v>101.6678</v>
      </c>
      <c r="O931" s="4">
        <v>50.62</v>
      </c>
      <c r="P931" s="4">
        <v>3.8764546470000001</v>
      </c>
      <c r="Q931" s="4">
        <v>43.537999999999997</v>
      </c>
      <c r="R931" s="10"/>
    </row>
    <row r="932" spans="1:18" x14ac:dyDescent="0.3">
      <c r="A932" t="s">
        <v>3</v>
      </c>
      <c r="B932" s="3" t="s">
        <v>281</v>
      </c>
      <c r="C932" s="2">
        <v>43236</v>
      </c>
      <c r="D932" s="9">
        <v>0.58333333333333337</v>
      </c>
      <c r="E932" s="3">
        <f t="shared" ca="1" si="14"/>
        <v>406142582</v>
      </c>
      <c r="F932" t="s">
        <v>12</v>
      </c>
      <c r="G932" t="s">
        <v>15</v>
      </c>
      <c r="H932" s="1" t="s">
        <v>235</v>
      </c>
      <c r="I932" t="s">
        <v>19</v>
      </c>
      <c r="J932" s="4">
        <v>7.2</v>
      </c>
      <c r="K932" s="4">
        <v>74.7</v>
      </c>
      <c r="L932" s="4">
        <v>6</v>
      </c>
      <c r="M932" s="4">
        <v>77.94</v>
      </c>
      <c r="N932" s="4">
        <v>164.4316</v>
      </c>
      <c r="O932" s="4">
        <v>599.52</v>
      </c>
      <c r="P932" s="4">
        <v>3.8764546470000001</v>
      </c>
      <c r="Q932" s="4">
        <v>40.198</v>
      </c>
      <c r="R932" s="10"/>
    </row>
    <row r="933" spans="1:18" ht="28.8" x14ac:dyDescent="0.3">
      <c r="A933" t="s">
        <v>2</v>
      </c>
      <c r="B933" s="3" t="s">
        <v>280</v>
      </c>
      <c r="C933" s="2">
        <v>43099</v>
      </c>
      <c r="D933" s="9">
        <v>7.7777777777777779E-2</v>
      </c>
      <c r="E933" s="3">
        <f t="shared" ca="1" si="14"/>
        <v>250101161</v>
      </c>
      <c r="F933" t="s">
        <v>11</v>
      </c>
      <c r="G933" t="s">
        <v>14</v>
      </c>
      <c r="H933" s="1" t="s">
        <v>237</v>
      </c>
      <c r="I933" t="s">
        <v>22</v>
      </c>
      <c r="J933" s="4">
        <v>5</v>
      </c>
      <c r="K933" s="4">
        <v>74.06</v>
      </c>
      <c r="L933" s="4">
        <v>2</v>
      </c>
      <c r="M933" s="4">
        <v>48.52</v>
      </c>
      <c r="N933" s="4">
        <v>153.5444</v>
      </c>
      <c r="O933" s="4">
        <v>166.7</v>
      </c>
      <c r="P933" s="4">
        <v>3.8764546470000001</v>
      </c>
      <c r="Q933" s="4">
        <v>45.884999999999998</v>
      </c>
      <c r="R933" s="10"/>
    </row>
    <row r="934" spans="1:18" x14ac:dyDescent="0.3">
      <c r="A934" t="s">
        <v>1</v>
      </c>
      <c r="B934" s="3" t="s">
        <v>279</v>
      </c>
      <c r="C934" s="2">
        <v>43142</v>
      </c>
      <c r="D934" s="9">
        <v>0.21388888888888888</v>
      </c>
      <c r="E934" s="3">
        <f t="shared" ca="1" si="14"/>
        <v>510054491</v>
      </c>
      <c r="F934" t="s">
        <v>11</v>
      </c>
      <c r="G934" t="s">
        <v>15</v>
      </c>
      <c r="H934" s="1" t="s">
        <v>235</v>
      </c>
      <c r="I934" t="s">
        <v>21</v>
      </c>
      <c r="J934" s="4">
        <v>1</v>
      </c>
      <c r="K934" s="4">
        <v>80.58</v>
      </c>
      <c r="L934" s="4">
        <v>10</v>
      </c>
      <c r="M934" s="4">
        <v>73.959999999999994</v>
      </c>
      <c r="N934" s="4">
        <v>133.03059999999999</v>
      </c>
      <c r="O934" s="4">
        <v>744.4</v>
      </c>
      <c r="P934" s="4">
        <v>3.8764546470000001</v>
      </c>
      <c r="Q934" s="4">
        <v>78.27</v>
      </c>
      <c r="R934" s="10"/>
    </row>
    <row r="935" spans="1:18" x14ac:dyDescent="0.3">
      <c r="A935" t="s">
        <v>2</v>
      </c>
      <c r="B935" s="3" t="s">
        <v>280</v>
      </c>
      <c r="C935" s="2">
        <v>43254</v>
      </c>
      <c r="D935" s="9">
        <v>8.7499999999999994E-2</v>
      </c>
      <c r="E935" s="3">
        <f t="shared" ca="1" si="14"/>
        <v>315923724</v>
      </c>
      <c r="F935" t="s">
        <v>12</v>
      </c>
      <c r="G935" t="s">
        <v>15</v>
      </c>
      <c r="H935" s="1" t="s">
        <v>235</v>
      </c>
      <c r="I935" t="s">
        <v>17</v>
      </c>
      <c r="J935" s="4">
        <v>6.3</v>
      </c>
      <c r="K935" s="4">
        <v>77.91</v>
      </c>
      <c r="L935" s="4">
        <v>7</v>
      </c>
      <c r="M935" s="4">
        <v>41.66</v>
      </c>
      <c r="N935" s="4">
        <v>131.3878</v>
      </c>
      <c r="O935" s="4">
        <v>448.56</v>
      </c>
      <c r="P935" s="4">
        <v>3.8764546470000001</v>
      </c>
      <c r="Q935" s="4">
        <v>73.236999999999995</v>
      </c>
      <c r="R935" s="10"/>
    </row>
    <row r="936" spans="1:18" x14ac:dyDescent="0.3">
      <c r="A936" t="s">
        <v>3</v>
      </c>
      <c r="B936" s="3" t="s">
        <v>281</v>
      </c>
      <c r="C936" s="2">
        <v>42913</v>
      </c>
      <c r="D936" s="9">
        <v>0.66597222222222219</v>
      </c>
      <c r="E936" s="3">
        <f t="shared" ca="1" si="14"/>
        <v>666451868</v>
      </c>
      <c r="F936" t="s">
        <v>11</v>
      </c>
      <c r="G936" t="s">
        <v>15</v>
      </c>
      <c r="H936" s="1" t="s">
        <v>235</v>
      </c>
      <c r="I936" t="s">
        <v>19</v>
      </c>
      <c r="J936" s="4">
        <v>4.5</v>
      </c>
      <c r="K936" s="4">
        <v>19.68</v>
      </c>
      <c r="L936" s="4">
        <v>6</v>
      </c>
      <c r="M936" s="4">
        <v>79.78</v>
      </c>
      <c r="N936" s="4">
        <v>113</v>
      </c>
      <c r="O936" s="4">
        <v>378.9</v>
      </c>
      <c r="P936" s="4">
        <v>3.8764546470000001</v>
      </c>
      <c r="Q936" s="4">
        <v>63.585000000000001</v>
      </c>
      <c r="R936" s="10"/>
    </row>
    <row r="937" spans="1:18" x14ac:dyDescent="0.3">
      <c r="A937" t="s">
        <v>2</v>
      </c>
      <c r="B937" s="3" t="s">
        <v>280</v>
      </c>
      <c r="C937" s="2">
        <v>43459</v>
      </c>
      <c r="D937" s="9">
        <v>0.4909722222222222</v>
      </c>
      <c r="E937" s="3">
        <f t="shared" ca="1" si="14"/>
        <v>403541846</v>
      </c>
      <c r="F937" t="s">
        <v>12</v>
      </c>
      <c r="G937" t="s">
        <v>14</v>
      </c>
      <c r="H937" s="1" t="s">
        <v>235</v>
      </c>
      <c r="I937" t="s">
        <v>19</v>
      </c>
      <c r="J937" s="4">
        <v>3.6</v>
      </c>
      <c r="K937" s="4">
        <v>42.6</v>
      </c>
      <c r="L937" s="4">
        <v>3</v>
      </c>
      <c r="M937" s="4">
        <v>29.46</v>
      </c>
      <c r="N937" s="4">
        <v>154.9</v>
      </c>
      <c r="O937" s="4">
        <v>257.16000000000003</v>
      </c>
      <c r="P937" s="4">
        <v>3.8764546470000001</v>
      </c>
      <c r="Q937" s="4">
        <v>27.855</v>
      </c>
      <c r="R937" s="10"/>
    </row>
    <row r="938" spans="1:18" x14ac:dyDescent="0.3">
      <c r="A938" t="s">
        <v>2</v>
      </c>
      <c r="B938" s="3" t="s">
        <v>280</v>
      </c>
      <c r="C938" s="2">
        <v>43154</v>
      </c>
      <c r="D938" s="9">
        <v>0.84097222222222223</v>
      </c>
      <c r="E938" s="3">
        <f t="shared" ca="1" si="14"/>
        <v>441425285</v>
      </c>
      <c r="F938" t="s">
        <v>11</v>
      </c>
      <c r="G938" t="s">
        <v>15</v>
      </c>
      <c r="H938" s="1" t="s">
        <v>235</v>
      </c>
      <c r="I938" t="s">
        <v>17</v>
      </c>
      <c r="J938" s="4">
        <v>6.5</v>
      </c>
      <c r="K938" s="4">
        <v>78.11</v>
      </c>
      <c r="L938" s="4">
        <v>7</v>
      </c>
      <c r="M938" s="4">
        <v>39.409999999999997</v>
      </c>
      <c r="N938" s="4">
        <v>129.5</v>
      </c>
      <c r="O938" s="4">
        <v>552.23</v>
      </c>
      <c r="P938" s="4">
        <v>3.8764546470000001</v>
      </c>
      <c r="Q938" s="4">
        <v>35.33</v>
      </c>
      <c r="R938" s="10"/>
    </row>
    <row r="939" spans="1:18" x14ac:dyDescent="0.3">
      <c r="A939" t="s">
        <v>1</v>
      </c>
      <c r="B939" s="3" t="s">
        <v>279</v>
      </c>
      <c r="C939" s="2">
        <v>42926</v>
      </c>
      <c r="D939" s="9">
        <v>0.68055555555555558</v>
      </c>
      <c r="E939" s="3">
        <f t="shared" ca="1" si="14"/>
        <v>461868155</v>
      </c>
      <c r="F939" t="s">
        <v>11</v>
      </c>
      <c r="G939" t="s">
        <v>15</v>
      </c>
      <c r="H939" s="1" t="s">
        <v>236</v>
      </c>
      <c r="I939" t="s">
        <v>20</v>
      </c>
      <c r="J939" s="4">
        <v>2</v>
      </c>
      <c r="K939" s="4">
        <v>46.26</v>
      </c>
      <c r="L939" s="4">
        <v>5</v>
      </c>
      <c r="M939" s="4">
        <v>26.35</v>
      </c>
      <c r="N939" s="4">
        <v>110.8</v>
      </c>
      <c r="O939" s="4">
        <v>447.4</v>
      </c>
      <c r="P939" s="4">
        <v>3.8764546470000001</v>
      </c>
      <c r="Q939" s="4">
        <v>46.79</v>
      </c>
      <c r="R939" s="10"/>
    </row>
    <row r="940" spans="1:18" x14ac:dyDescent="0.3">
      <c r="A940" t="s">
        <v>1</v>
      </c>
      <c r="B940" s="3" t="s">
        <v>279</v>
      </c>
      <c r="C940" s="2">
        <v>43125</v>
      </c>
      <c r="D940" s="9">
        <v>0</v>
      </c>
      <c r="E940" s="3">
        <f t="shared" ca="1" si="14"/>
        <v>308198737</v>
      </c>
      <c r="F940" t="s">
        <v>11</v>
      </c>
      <c r="G940" t="s">
        <v>14</v>
      </c>
      <c r="H940" s="1" t="s">
        <v>236</v>
      </c>
      <c r="I940" t="s">
        <v>17</v>
      </c>
      <c r="J940" s="4">
        <v>9</v>
      </c>
      <c r="K940" s="4">
        <v>31.76</v>
      </c>
      <c r="L940" s="4">
        <v>3</v>
      </c>
      <c r="M940" s="4">
        <v>65.77</v>
      </c>
      <c r="N940" s="4">
        <v>173.6</v>
      </c>
      <c r="O940" s="4">
        <v>276.27</v>
      </c>
      <c r="P940" s="4">
        <v>3.8764546470000001</v>
      </c>
      <c r="Q940" s="4">
        <v>85.08</v>
      </c>
      <c r="R940" s="10"/>
    </row>
    <row r="941" spans="1:18" x14ac:dyDescent="0.3">
      <c r="A941" t="s">
        <v>2</v>
      </c>
      <c r="B941" s="3" t="s">
        <v>280</v>
      </c>
      <c r="C941" s="2">
        <v>43043</v>
      </c>
      <c r="D941" s="9">
        <v>0.83611111111111114</v>
      </c>
      <c r="E941" s="3">
        <f t="shared" ca="1" si="14"/>
        <v>298472640</v>
      </c>
      <c r="F941" t="s">
        <v>11</v>
      </c>
      <c r="G941" t="s">
        <v>15</v>
      </c>
      <c r="H941" s="1" t="s">
        <v>235</v>
      </c>
      <c r="I941" t="s">
        <v>21</v>
      </c>
      <c r="J941" s="4">
        <v>3</v>
      </c>
      <c r="K941" s="4">
        <v>53.53</v>
      </c>
      <c r="L941" s="4">
        <v>6</v>
      </c>
      <c r="M941" s="4">
        <v>18.14</v>
      </c>
      <c r="N941" s="4">
        <v>164.3</v>
      </c>
      <c r="O941" s="4">
        <v>343.74</v>
      </c>
      <c r="P941" s="4">
        <v>3.8764546470000001</v>
      </c>
      <c r="Q941" s="4">
        <v>10.49</v>
      </c>
      <c r="R941" s="10"/>
    </row>
    <row r="942" spans="1:18" x14ac:dyDescent="0.3">
      <c r="A942" t="s">
        <v>1</v>
      </c>
      <c r="B942" s="3" t="s">
        <v>279</v>
      </c>
      <c r="C942" s="2">
        <v>43242</v>
      </c>
      <c r="D942" s="9">
        <v>0.36944444444444446</v>
      </c>
      <c r="E942" s="3">
        <f t="shared" ca="1" si="14"/>
        <v>368394784</v>
      </c>
      <c r="F942" t="s">
        <v>12</v>
      </c>
      <c r="G942" t="s">
        <v>15</v>
      </c>
      <c r="H942" s="1" t="s">
        <v>235</v>
      </c>
      <c r="I942" t="s">
        <v>21</v>
      </c>
      <c r="J942" s="4">
        <v>7</v>
      </c>
      <c r="K942" s="4">
        <v>46.98</v>
      </c>
      <c r="L942" s="4">
        <v>4</v>
      </c>
      <c r="M942" s="4">
        <v>68.97</v>
      </c>
      <c r="N942" s="4">
        <v>131.4</v>
      </c>
      <c r="O942" s="4">
        <v>266.08</v>
      </c>
      <c r="P942" s="4">
        <v>3.8764546470000001</v>
      </c>
      <c r="Q942" s="4">
        <v>14.936999999999999</v>
      </c>
      <c r="R942" s="10"/>
    </row>
    <row r="943" spans="1:18" x14ac:dyDescent="0.3">
      <c r="A943" t="s">
        <v>2</v>
      </c>
      <c r="B943" s="3" t="s">
        <v>280</v>
      </c>
      <c r="C943" s="2">
        <v>42863</v>
      </c>
      <c r="D943" s="9">
        <v>0</v>
      </c>
      <c r="E943" s="3">
        <f t="shared" ca="1" si="14"/>
        <v>721402100</v>
      </c>
      <c r="F943" t="s">
        <v>12</v>
      </c>
      <c r="G943" t="s">
        <v>14</v>
      </c>
      <c r="H943" s="1" t="s">
        <v>236</v>
      </c>
      <c r="I943" t="s">
        <v>22</v>
      </c>
      <c r="J943" s="4">
        <v>1.5</v>
      </c>
      <c r="K943" s="4">
        <v>87</v>
      </c>
      <c r="L943" s="4">
        <v>9</v>
      </c>
      <c r="M943" s="4">
        <v>78.92</v>
      </c>
      <c r="N943" s="4">
        <v>179.4</v>
      </c>
      <c r="O943" s="4">
        <v>898.38</v>
      </c>
      <c r="P943" s="4">
        <v>3.8764546470000001</v>
      </c>
      <c r="Q943" s="4">
        <v>49.222999999999999</v>
      </c>
      <c r="R943" s="10"/>
    </row>
    <row r="944" spans="1:18" x14ac:dyDescent="0.3">
      <c r="A944" t="s">
        <v>1</v>
      </c>
      <c r="B944" s="3" t="s">
        <v>279</v>
      </c>
      <c r="C944" s="2">
        <v>43279</v>
      </c>
      <c r="D944" s="9">
        <v>7.7777777777777779E-2</v>
      </c>
      <c r="E944" s="3">
        <f t="shared" ca="1" si="14"/>
        <v>855296922</v>
      </c>
      <c r="F944" t="s">
        <v>11</v>
      </c>
      <c r="G944" t="s">
        <v>15</v>
      </c>
      <c r="H944" s="1" t="s">
        <v>235</v>
      </c>
      <c r="I944" t="s">
        <v>19</v>
      </c>
      <c r="J944" s="4">
        <v>5.9</v>
      </c>
      <c r="K944" s="4">
        <v>57.5</v>
      </c>
      <c r="L944" s="4">
        <v>10</v>
      </c>
      <c r="M944" s="4">
        <v>48.96</v>
      </c>
      <c r="N944" s="4">
        <v>133.5669</v>
      </c>
      <c r="O944" s="4">
        <v>456.8</v>
      </c>
      <c r="P944" s="4">
        <v>3.8764546470000001</v>
      </c>
      <c r="Q944" s="4">
        <v>98.283000000000001</v>
      </c>
      <c r="R944" s="10"/>
    </row>
    <row r="945" spans="1:18" ht="28.8" x14ac:dyDescent="0.3">
      <c r="A945" t="s">
        <v>1</v>
      </c>
      <c r="B945" s="3" t="s">
        <v>279</v>
      </c>
      <c r="C945" s="2">
        <v>43379</v>
      </c>
      <c r="D945" s="9">
        <v>0.875</v>
      </c>
      <c r="E945" s="3">
        <f t="shared" ca="1" si="14"/>
        <v>272226649</v>
      </c>
      <c r="F945" t="s">
        <v>12</v>
      </c>
      <c r="G945" t="s">
        <v>15</v>
      </c>
      <c r="H945" s="1" t="s">
        <v>237</v>
      </c>
      <c r="I945" t="s">
        <v>17</v>
      </c>
      <c r="J945" s="4">
        <v>1.9</v>
      </c>
      <c r="K945" s="4">
        <v>42.6</v>
      </c>
      <c r="L945" s="4">
        <v>5</v>
      </c>
      <c r="M945" s="4">
        <v>79.069999999999993</v>
      </c>
      <c r="N945" s="4">
        <v>157.4486</v>
      </c>
      <c r="O945" s="4">
        <v>253.95</v>
      </c>
      <c r="P945" s="4">
        <v>3.8764546470000001</v>
      </c>
      <c r="Q945" s="4">
        <v>38.959000000000003</v>
      </c>
      <c r="R945" s="10"/>
    </row>
    <row r="946" spans="1:18" x14ac:dyDescent="0.3">
      <c r="A946" t="s">
        <v>1</v>
      </c>
      <c r="B946" s="3" t="s">
        <v>279</v>
      </c>
      <c r="C946" s="2">
        <v>43287</v>
      </c>
      <c r="D946" s="9">
        <v>0.12152777777777778</v>
      </c>
      <c r="E946" s="3">
        <f t="shared" ca="1" si="14"/>
        <v>550467870</v>
      </c>
      <c r="F946" t="s">
        <v>12</v>
      </c>
      <c r="G946" t="s">
        <v>14</v>
      </c>
      <c r="H946" s="1" t="s">
        <v>236</v>
      </c>
      <c r="I946" t="s">
        <v>17</v>
      </c>
      <c r="J946" s="4">
        <v>6.4</v>
      </c>
      <c r="K946" s="4">
        <v>90.2</v>
      </c>
      <c r="L946" s="4">
        <v>7</v>
      </c>
      <c r="M946" s="4">
        <v>90.78</v>
      </c>
      <c r="N946" s="4">
        <v>136</v>
      </c>
      <c r="O946" s="4">
        <v>70.56</v>
      </c>
      <c r="P946" s="4">
        <v>3.8764546470000001</v>
      </c>
      <c r="Q946" s="4">
        <v>45.948999999999998</v>
      </c>
      <c r="R946" s="10"/>
    </row>
    <row r="947" spans="1:18" ht="28.8" x14ac:dyDescent="0.3">
      <c r="A947" t="s">
        <v>1</v>
      </c>
      <c r="B947" s="3" t="s">
        <v>279</v>
      </c>
      <c r="C947" s="2">
        <v>43030</v>
      </c>
      <c r="D947" s="9">
        <v>0.87986111111111109</v>
      </c>
      <c r="E947" s="3">
        <f t="shared" ca="1" si="14"/>
        <v>44900830</v>
      </c>
      <c r="F947" t="s">
        <v>11</v>
      </c>
      <c r="G947" t="s">
        <v>15</v>
      </c>
      <c r="H947" s="1" t="s">
        <v>237</v>
      </c>
      <c r="I947" t="s">
        <v>18</v>
      </c>
      <c r="J947" s="4">
        <v>5</v>
      </c>
      <c r="K947" s="4">
        <v>71.099999999999994</v>
      </c>
      <c r="L947" s="4">
        <v>7</v>
      </c>
      <c r="M947" s="4">
        <v>64.19</v>
      </c>
      <c r="N947" s="4">
        <v>151.69999999999999</v>
      </c>
      <c r="O947" s="4">
        <v>657.16</v>
      </c>
      <c r="P947" s="4">
        <v>3.8764546470000001</v>
      </c>
      <c r="Q947" s="4">
        <v>39.31</v>
      </c>
      <c r="R947" s="10"/>
    </row>
    <row r="948" spans="1:18" ht="28.8" x14ac:dyDescent="0.3">
      <c r="A948" t="s">
        <v>2</v>
      </c>
      <c r="B948" s="3" t="s">
        <v>280</v>
      </c>
      <c r="C948" s="2">
        <v>43211</v>
      </c>
      <c r="D948" s="9">
        <v>0.17499999999999999</v>
      </c>
      <c r="E948" s="3">
        <f t="shared" ca="1" si="14"/>
        <v>134883541</v>
      </c>
      <c r="F948" t="s">
        <v>12</v>
      </c>
      <c r="G948" t="s">
        <v>14</v>
      </c>
      <c r="H948" s="1" t="s">
        <v>237</v>
      </c>
      <c r="I948" t="s">
        <v>18</v>
      </c>
      <c r="J948" s="4">
        <v>6</v>
      </c>
      <c r="K948" s="4">
        <v>93.3</v>
      </c>
      <c r="L948" s="4">
        <v>2</v>
      </c>
      <c r="M948" s="4">
        <v>36.32</v>
      </c>
      <c r="N948" s="4">
        <v>132.69999999999999</v>
      </c>
      <c r="O948" s="4">
        <v>168.5</v>
      </c>
      <c r="P948" s="4">
        <v>3.8764546470000001</v>
      </c>
      <c r="Q948" s="4">
        <v>73.64</v>
      </c>
      <c r="R948" s="10"/>
    </row>
    <row r="949" spans="1:18" x14ac:dyDescent="0.3">
      <c r="A949" t="s">
        <v>3</v>
      </c>
      <c r="B949" s="3" t="s">
        <v>281</v>
      </c>
      <c r="C949" s="2">
        <v>42910</v>
      </c>
      <c r="D949" s="9">
        <v>0.89444444444444449</v>
      </c>
      <c r="E949" s="3">
        <f t="shared" ca="1" si="14"/>
        <v>152961551</v>
      </c>
      <c r="F949" t="s">
        <v>12</v>
      </c>
      <c r="G949" t="s">
        <v>14</v>
      </c>
      <c r="H949" s="1" t="s">
        <v>235</v>
      </c>
      <c r="I949" t="s">
        <v>22</v>
      </c>
      <c r="J949" s="4">
        <v>1.4</v>
      </c>
      <c r="K949" s="4">
        <v>45.1</v>
      </c>
      <c r="L949" s="4">
        <v>1</v>
      </c>
      <c r="M949" s="4">
        <v>60.27</v>
      </c>
      <c r="N949" s="4">
        <v>104.2</v>
      </c>
      <c r="O949" s="4">
        <v>53.78</v>
      </c>
      <c r="P949" s="4">
        <v>3.8764546470000001</v>
      </c>
      <c r="Q949" s="4">
        <v>12.84</v>
      </c>
      <c r="R949" s="10"/>
    </row>
    <row r="950" spans="1:18" x14ac:dyDescent="0.3">
      <c r="A950" t="s">
        <v>2</v>
      </c>
      <c r="B950" s="3" t="s">
        <v>280</v>
      </c>
      <c r="C950" s="2">
        <v>43168</v>
      </c>
      <c r="D950" s="9">
        <v>0.20416666666666666</v>
      </c>
      <c r="E950" s="3">
        <f t="shared" ca="1" si="14"/>
        <v>442481675</v>
      </c>
      <c r="F950" t="s">
        <v>12</v>
      </c>
      <c r="G950" t="s">
        <v>14</v>
      </c>
      <c r="H950" s="1" t="s">
        <v>235</v>
      </c>
      <c r="I950" t="s">
        <v>19</v>
      </c>
      <c r="J950" s="4">
        <v>1.8</v>
      </c>
      <c r="K950" s="4">
        <v>45.08</v>
      </c>
      <c r="L950" s="4">
        <v>5</v>
      </c>
      <c r="M950" s="4">
        <v>80.27</v>
      </c>
      <c r="N950" s="4">
        <v>115.2</v>
      </c>
      <c r="O950" s="4">
        <v>179.05</v>
      </c>
      <c r="P950" s="4">
        <v>3.8764546470000001</v>
      </c>
      <c r="Q950" s="4">
        <v>19.53</v>
      </c>
      <c r="R950" s="10"/>
    </row>
    <row r="951" spans="1:18" x14ac:dyDescent="0.3">
      <c r="A951" t="s">
        <v>3</v>
      </c>
      <c r="B951" s="3" t="s">
        <v>281</v>
      </c>
      <c r="C951" s="2">
        <v>43076</v>
      </c>
      <c r="D951" s="9">
        <v>0.81180555555555556</v>
      </c>
      <c r="E951" s="3">
        <f t="shared" ca="1" si="14"/>
        <v>190666242</v>
      </c>
      <c r="F951" t="s">
        <v>11</v>
      </c>
      <c r="G951" t="s">
        <v>15</v>
      </c>
      <c r="H951" s="1" t="s">
        <v>235</v>
      </c>
      <c r="I951" t="s">
        <v>21</v>
      </c>
      <c r="J951" s="4">
        <v>6</v>
      </c>
      <c r="K951" s="4">
        <v>27.6</v>
      </c>
      <c r="L951" s="4">
        <v>8</v>
      </c>
      <c r="M951" s="4">
        <v>62.04</v>
      </c>
      <c r="N951" s="4">
        <v>150.9</v>
      </c>
      <c r="O951" s="4">
        <v>211.44</v>
      </c>
      <c r="P951" s="4">
        <v>3.8764546470000001</v>
      </c>
      <c r="Q951" s="4">
        <v>29.31</v>
      </c>
      <c r="R951" s="10"/>
    </row>
    <row r="952" spans="1:18" x14ac:dyDescent="0.3">
      <c r="A952" t="s">
        <v>3</v>
      </c>
      <c r="B952" s="3" t="s">
        <v>281</v>
      </c>
      <c r="C952" s="2">
        <v>43385</v>
      </c>
      <c r="D952" s="9">
        <v>0.27708333333333335</v>
      </c>
      <c r="E952" s="3">
        <f t="shared" ca="1" si="14"/>
        <v>935136909</v>
      </c>
      <c r="F952" t="s">
        <v>12</v>
      </c>
      <c r="G952" t="s">
        <v>14</v>
      </c>
      <c r="H952" s="1" t="s">
        <v>235</v>
      </c>
      <c r="I952" t="s">
        <v>17</v>
      </c>
      <c r="J952" s="4">
        <v>2</v>
      </c>
      <c r="K952" s="4">
        <v>61.75</v>
      </c>
      <c r="L952" s="4">
        <v>3</v>
      </c>
      <c r="M952" s="4">
        <v>64.81</v>
      </c>
      <c r="N952" s="4">
        <v>189</v>
      </c>
      <c r="O952" s="4">
        <v>119.73</v>
      </c>
      <c r="P952" s="4">
        <v>3.8764546470000001</v>
      </c>
      <c r="Q952" s="4">
        <v>62.16</v>
      </c>
      <c r="R952" s="10"/>
    </row>
    <row r="953" spans="1:18" x14ac:dyDescent="0.3">
      <c r="A953" t="s">
        <v>3</v>
      </c>
      <c r="B953" s="3" t="s">
        <v>281</v>
      </c>
      <c r="C953" s="2">
        <v>43000</v>
      </c>
      <c r="D953" s="9">
        <v>0.26250000000000001</v>
      </c>
      <c r="E953" s="3">
        <f t="shared" ca="1" si="14"/>
        <v>378075959</v>
      </c>
      <c r="F953" t="s">
        <v>11</v>
      </c>
      <c r="G953" t="s">
        <v>14</v>
      </c>
      <c r="H953" s="1" t="s">
        <v>235</v>
      </c>
      <c r="I953" t="s">
        <v>19</v>
      </c>
      <c r="J953" s="4">
        <v>1.1000000000000001</v>
      </c>
      <c r="K953" s="4">
        <v>95.9</v>
      </c>
      <c r="L953" s="4">
        <v>3</v>
      </c>
      <c r="M953" s="4">
        <v>52.35</v>
      </c>
      <c r="N953" s="4">
        <v>148.15170000000001</v>
      </c>
      <c r="O953" s="4">
        <v>65.7</v>
      </c>
      <c r="P953" s="4">
        <v>3.8764546470000001</v>
      </c>
      <c r="Q953" s="4">
        <v>15.34</v>
      </c>
      <c r="R953" s="10"/>
    </row>
    <row r="954" spans="1:18" x14ac:dyDescent="0.3">
      <c r="A954" t="s">
        <v>3</v>
      </c>
      <c r="B954" s="3" t="s">
        <v>281</v>
      </c>
      <c r="C954" s="2">
        <v>43177</v>
      </c>
      <c r="D954" s="9">
        <v>7.2916666666666671E-2</v>
      </c>
      <c r="E954" s="3">
        <f t="shared" ca="1" si="14"/>
        <v>506496839</v>
      </c>
      <c r="F954" t="s">
        <v>11</v>
      </c>
      <c r="G954" t="s">
        <v>14</v>
      </c>
      <c r="H954" s="1" t="s">
        <v>235</v>
      </c>
      <c r="I954" t="s">
        <v>21</v>
      </c>
      <c r="J954" s="4">
        <v>3</v>
      </c>
      <c r="K954" s="4">
        <v>37.44</v>
      </c>
      <c r="L954" s="4">
        <v>4</v>
      </c>
      <c r="M954" s="4">
        <v>64.67</v>
      </c>
      <c r="N954" s="4">
        <v>160.6275</v>
      </c>
      <c r="O954" s="4">
        <v>251.4</v>
      </c>
      <c r="P954" s="4">
        <v>3.8764546470000001</v>
      </c>
      <c r="Q954" s="4">
        <v>72.23</v>
      </c>
      <c r="R954" s="10"/>
    </row>
    <row r="955" spans="1:18" x14ac:dyDescent="0.3">
      <c r="A955" t="s">
        <v>2</v>
      </c>
      <c r="B955" s="3" t="s">
        <v>280</v>
      </c>
      <c r="C955" s="2">
        <v>42985</v>
      </c>
      <c r="D955" s="9">
        <v>0.68541666666666667</v>
      </c>
      <c r="E955" s="3">
        <f t="shared" ca="1" si="14"/>
        <v>65568919</v>
      </c>
      <c r="F955" t="s">
        <v>11</v>
      </c>
      <c r="G955" t="s">
        <v>14</v>
      </c>
      <c r="H955" s="1" t="s">
        <v>236</v>
      </c>
      <c r="I955" t="s">
        <v>21</v>
      </c>
      <c r="J955" s="4">
        <v>2.5</v>
      </c>
      <c r="K955" s="4">
        <v>55.1</v>
      </c>
      <c r="L955" s="4">
        <v>4</v>
      </c>
      <c r="M955" s="4">
        <v>89.11</v>
      </c>
      <c r="N955" s="4">
        <v>100.42959999999999</v>
      </c>
      <c r="O955" s="4">
        <v>84.16</v>
      </c>
      <c r="P955" s="4">
        <v>3.8764546470000001</v>
      </c>
      <c r="Q955" s="4">
        <v>79.03</v>
      </c>
      <c r="R955" s="10"/>
    </row>
    <row r="956" spans="1:18" x14ac:dyDescent="0.3">
      <c r="A956" t="s">
        <v>3</v>
      </c>
      <c r="B956" s="3" t="s">
        <v>281</v>
      </c>
      <c r="C956" s="2">
        <v>43460</v>
      </c>
      <c r="D956" s="9">
        <v>0.40347222222222223</v>
      </c>
      <c r="E956" s="3">
        <f t="shared" ca="1" si="14"/>
        <v>827518415</v>
      </c>
      <c r="F956" t="s">
        <v>12</v>
      </c>
      <c r="G956" t="s">
        <v>14</v>
      </c>
      <c r="H956" s="1" t="s">
        <v>236</v>
      </c>
      <c r="I956" t="s">
        <v>19</v>
      </c>
      <c r="J956" s="4">
        <v>9</v>
      </c>
      <c r="K956" s="4">
        <v>96.5</v>
      </c>
      <c r="L956" s="4">
        <v>6</v>
      </c>
      <c r="M956" s="4">
        <v>33.380000000000003</v>
      </c>
      <c r="N956" s="4">
        <v>105.47150000000001</v>
      </c>
      <c r="O956" s="4">
        <v>395.46</v>
      </c>
      <c r="P956" s="4">
        <v>3.8764546470000001</v>
      </c>
      <c r="Q956" s="4">
        <v>31.774000000000001</v>
      </c>
      <c r="R956" s="10"/>
    </row>
    <row r="957" spans="1:18" x14ac:dyDescent="0.3">
      <c r="A957" t="s">
        <v>1</v>
      </c>
      <c r="B957" s="3" t="s">
        <v>279</v>
      </c>
      <c r="C957" s="2">
        <v>43243</v>
      </c>
      <c r="D957" s="9">
        <v>1.9444444444444445E-2</v>
      </c>
      <c r="E957" s="3">
        <f t="shared" ca="1" si="14"/>
        <v>553803332</v>
      </c>
      <c r="F957" t="s">
        <v>11</v>
      </c>
      <c r="G957" t="s">
        <v>15</v>
      </c>
      <c r="H957" s="1" t="s">
        <v>236</v>
      </c>
      <c r="I957" t="s">
        <v>22</v>
      </c>
      <c r="J957" s="4">
        <v>3</v>
      </c>
      <c r="K957" s="4">
        <v>55.9</v>
      </c>
      <c r="L957" s="4">
        <v>7</v>
      </c>
      <c r="M957" s="4">
        <v>49.33</v>
      </c>
      <c r="N957" s="4">
        <v>129.2876</v>
      </c>
      <c r="O957" s="4">
        <v>297.99</v>
      </c>
      <c r="P957" s="4">
        <v>3.8764546470000001</v>
      </c>
      <c r="Q957" s="4">
        <v>51.966000000000001</v>
      </c>
      <c r="R957" s="10"/>
    </row>
    <row r="958" spans="1:18" x14ac:dyDescent="0.3">
      <c r="A958" t="s">
        <v>2</v>
      </c>
      <c r="B958" s="3" t="s">
        <v>280</v>
      </c>
      <c r="C958" s="2">
        <v>42804</v>
      </c>
      <c r="D958" s="9">
        <v>0.53472222222222221</v>
      </c>
      <c r="E958" s="3">
        <f t="shared" ca="1" si="14"/>
        <v>535541792</v>
      </c>
      <c r="F958" t="s">
        <v>12</v>
      </c>
      <c r="G958" t="s">
        <v>14</v>
      </c>
      <c r="H958" s="1" t="s">
        <v>236</v>
      </c>
      <c r="I958" t="s">
        <v>21</v>
      </c>
      <c r="J958" s="4">
        <v>6</v>
      </c>
      <c r="K958" s="4">
        <v>59.7</v>
      </c>
      <c r="L958" s="4">
        <v>9</v>
      </c>
      <c r="M958" s="4">
        <v>25.62</v>
      </c>
      <c r="N958" s="4">
        <v>163.97839999999999</v>
      </c>
      <c r="O958" s="4">
        <v>454.41</v>
      </c>
      <c r="P958" s="4">
        <v>3.8764546470000001</v>
      </c>
      <c r="Q958" s="4">
        <v>92.641999999999996</v>
      </c>
      <c r="R958" s="10"/>
    </row>
    <row r="959" spans="1:18" x14ac:dyDescent="0.3">
      <c r="A959" t="s">
        <v>3</v>
      </c>
      <c r="B959" s="3" t="s">
        <v>281</v>
      </c>
      <c r="C959" s="2">
        <v>43126</v>
      </c>
      <c r="D959" s="9">
        <v>0.94791666666666663</v>
      </c>
      <c r="E959" s="3">
        <f t="shared" ca="1" si="14"/>
        <v>48287089</v>
      </c>
      <c r="F959" t="s">
        <v>12</v>
      </c>
      <c r="G959" t="s">
        <v>15</v>
      </c>
      <c r="H959" s="1" t="s">
        <v>236</v>
      </c>
      <c r="I959" t="s">
        <v>18</v>
      </c>
      <c r="J959" s="4">
        <v>7</v>
      </c>
      <c r="K959" s="4">
        <v>74</v>
      </c>
      <c r="L959" s="4">
        <v>6</v>
      </c>
      <c r="M959" s="4">
        <v>47.39</v>
      </c>
      <c r="N959" s="4">
        <v>122.41160000000001</v>
      </c>
      <c r="O959" s="4">
        <v>276.12</v>
      </c>
      <c r="P959" s="4">
        <v>3.8764546470000001</v>
      </c>
      <c r="Q959" s="4">
        <v>70.596000000000004</v>
      </c>
      <c r="R959" s="10"/>
    </row>
    <row r="960" spans="1:18" x14ac:dyDescent="0.3">
      <c r="A960" t="s">
        <v>2</v>
      </c>
      <c r="B960" s="3" t="s">
        <v>280</v>
      </c>
      <c r="C960" s="2">
        <v>43030</v>
      </c>
      <c r="D960" s="9">
        <v>0.50555555555555554</v>
      </c>
      <c r="E960" s="3">
        <f t="shared" ca="1" si="14"/>
        <v>528199979</v>
      </c>
      <c r="F960" t="s">
        <v>11</v>
      </c>
      <c r="G960" t="s">
        <v>15</v>
      </c>
      <c r="H960" s="1" t="s">
        <v>236</v>
      </c>
      <c r="I960" t="s">
        <v>19</v>
      </c>
      <c r="J960" s="4">
        <v>3.7</v>
      </c>
      <c r="K960" s="4">
        <v>32.21</v>
      </c>
      <c r="L960" s="4">
        <v>10</v>
      </c>
      <c r="M960" s="4">
        <v>36.840000000000003</v>
      </c>
      <c r="N960" s="4">
        <v>149.6</v>
      </c>
      <c r="O960" s="4">
        <v>158</v>
      </c>
      <c r="P960" s="4">
        <v>3.8764546470000001</v>
      </c>
      <c r="Q960" s="4">
        <v>20.832000000000001</v>
      </c>
      <c r="R960" s="10"/>
    </row>
    <row r="961" spans="1:18" x14ac:dyDescent="0.3">
      <c r="A961" t="s">
        <v>1</v>
      </c>
      <c r="B961" s="3" t="s">
        <v>279</v>
      </c>
      <c r="C961" s="2">
        <v>43172</v>
      </c>
      <c r="D961" s="9">
        <v>0.84097222222222223</v>
      </c>
      <c r="E961" s="3">
        <f t="shared" ca="1" si="14"/>
        <v>80554099</v>
      </c>
      <c r="F961" t="s">
        <v>11</v>
      </c>
      <c r="G961" t="s">
        <v>14</v>
      </c>
      <c r="H961" s="1" t="s">
        <v>236</v>
      </c>
      <c r="I961" t="s">
        <v>21</v>
      </c>
      <c r="J961" s="4">
        <v>7.6</v>
      </c>
      <c r="K961" s="4">
        <v>35.82</v>
      </c>
      <c r="L961" s="4">
        <v>9</v>
      </c>
      <c r="M961" s="4">
        <v>18.11</v>
      </c>
      <c r="N961" s="4">
        <v>184.4</v>
      </c>
      <c r="O961" s="4">
        <v>887.94</v>
      </c>
      <c r="P961" s="4">
        <v>3.8764546470000001</v>
      </c>
      <c r="Q961" s="4">
        <v>98.16</v>
      </c>
      <c r="R961" s="10"/>
    </row>
    <row r="962" spans="1:18" x14ac:dyDescent="0.3">
      <c r="A962" t="s">
        <v>2</v>
      </c>
      <c r="B962" s="3" t="s">
        <v>280</v>
      </c>
      <c r="C962" s="2">
        <v>42891</v>
      </c>
      <c r="D962" s="9">
        <v>0.5493055555555556</v>
      </c>
      <c r="E962" s="3">
        <f t="shared" ca="1" si="14"/>
        <v>133756542</v>
      </c>
      <c r="F962" t="s">
        <v>12</v>
      </c>
      <c r="G962" t="s">
        <v>14</v>
      </c>
      <c r="H962" s="1" t="s">
        <v>236</v>
      </c>
      <c r="I962" t="s">
        <v>22</v>
      </c>
      <c r="J962" s="4">
        <v>3.5</v>
      </c>
      <c r="K962" s="4">
        <v>18.91</v>
      </c>
      <c r="L962" s="4">
        <v>1</v>
      </c>
      <c r="M962" s="4">
        <v>52.1</v>
      </c>
      <c r="N962" s="4">
        <v>124.6</v>
      </c>
      <c r="O962" s="4">
        <v>91.98</v>
      </c>
      <c r="P962" s="4">
        <v>3.8764546470000001</v>
      </c>
      <c r="Q962" s="4">
        <v>85.46</v>
      </c>
      <c r="R962" s="10"/>
    </row>
    <row r="963" spans="1:18" x14ac:dyDescent="0.3">
      <c r="A963" t="s">
        <v>1</v>
      </c>
      <c r="B963" s="3" t="s">
        <v>279</v>
      </c>
      <c r="C963" s="2">
        <v>42875</v>
      </c>
      <c r="D963" s="9">
        <v>0.96736111111111112</v>
      </c>
      <c r="E963" s="3">
        <f t="shared" ref="E963:E1001" ca="1" si="15">RANDBETWEEN(10000000,1000000000)</f>
        <v>757163786</v>
      </c>
      <c r="F963" t="s">
        <v>12</v>
      </c>
      <c r="G963" t="s">
        <v>14</v>
      </c>
      <c r="H963" s="1" t="s">
        <v>236</v>
      </c>
      <c r="I963" t="s">
        <v>18</v>
      </c>
      <c r="J963" s="4">
        <v>5</v>
      </c>
      <c r="K963" s="4">
        <v>97.6</v>
      </c>
      <c r="L963" s="4">
        <v>2</v>
      </c>
      <c r="M963" s="4">
        <v>43.1</v>
      </c>
      <c r="N963" s="4">
        <v>173.2</v>
      </c>
      <c r="O963" s="4">
        <v>41.78</v>
      </c>
      <c r="P963" s="4">
        <v>3.8764546470000001</v>
      </c>
      <c r="Q963" s="4">
        <v>38.11</v>
      </c>
      <c r="R963" s="10"/>
    </row>
    <row r="964" spans="1:18" ht="28.8" x14ac:dyDescent="0.3">
      <c r="A964" t="s">
        <v>1</v>
      </c>
      <c r="B964" s="3" t="s">
        <v>279</v>
      </c>
      <c r="C964" s="2">
        <v>43388</v>
      </c>
      <c r="D964" s="9">
        <v>0.49583333333333335</v>
      </c>
      <c r="E964" s="3">
        <f t="shared" ca="1" si="15"/>
        <v>829814755</v>
      </c>
      <c r="F964" t="s">
        <v>11</v>
      </c>
      <c r="G964" t="s">
        <v>15</v>
      </c>
      <c r="H964" s="1" t="s">
        <v>237</v>
      </c>
      <c r="I964" t="s">
        <v>22</v>
      </c>
      <c r="J964" s="4">
        <v>3</v>
      </c>
      <c r="K964" s="4">
        <v>38.35</v>
      </c>
      <c r="L964" s="4">
        <v>1</v>
      </c>
      <c r="M964" s="4">
        <v>60.91</v>
      </c>
      <c r="N964" s="4">
        <v>104.3</v>
      </c>
      <c r="O964" s="4">
        <v>15.5</v>
      </c>
      <c r="P964" s="4">
        <v>3.8764546470000001</v>
      </c>
      <c r="Q964" s="4">
        <v>23.12</v>
      </c>
      <c r="R964" s="10"/>
    </row>
    <row r="965" spans="1:18" x14ac:dyDescent="0.3">
      <c r="A965" t="s">
        <v>2</v>
      </c>
      <c r="B965" s="3" t="s">
        <v>280</v>
      </c>
      <c r="C965" s="2">
        <v>43203</v>
      </c>
      <c r="D965" s="9">
        <v>0.17499999999999999</v>
      </c>
      <c r="E965" s="3">
        <f t="shared" ca="1" si="15"/>
        <v>763765582</v>
      </c>
      <c r="F965" t="s">
        <v>12</v>
      </c>
      <c r="G965" t="s">
        <v>14</v>
      </c>
      <c r="H965" s="1" t="s">
        <v>236</v>
      </c>
      <c r="I965" t="s">
        <v>18</v>
      </c>
      <c r="J965" s="4">
        <v>1</v>
      </c>
      <c r="K965" s="4">
        <v>87.45</v>
      </c>
      <c r="L965" s="4">
        <v>3</v>
      </c>
      <c r="M965" s="4">
        <v>76.989999999999995</v>
      </c>
      <c r="N965" s="4">
        <v>167</v>
      </c>
      <c r="O965" s="4">
        <v>290.45999999999998</v>
      </c>
      <c r="P965" s="4">
        <v>3.8764546470000001</v>
      </c>
      <c r="Q965" s="4">
        <v>26.52</v>
      </c>
      <c r="R965" s="10"/>
    </row>
    <row r="966" spans="1:18" ht="28.8" x14ac:dyDescent="0.3">
      <c r="A966" t="s">
        <v>3</v>
      </c>
      <c r="B966" s="3" t="s">
        <v>281</v>
      </c>
      <c r="C966" s="2">
        <v>43015</v>
      </c>
      <c r="D966" s="9">
        <v>0.70486111111111116</v>
      </c>
      <c r="E966" s="3">
        <f t="shared" ca="1" si="15"/>
        <v>222010536</v>
      </c>
      <c r="F966" t="s">
        <v>12</v>
      </c>
      <c r="G966" t="s">
        <v>15</v>
      </c>
      <c r="H966" s="1" t="s">
        <v>237</v>
      </c>
      <c r="I966" t="s">
        <v>21</v>
      </c>
      <c r="J966" s="4">
        <v>2</v>
      </c>
      <c r="K966" s="4">
        <v>23.78</v>
      </c>
      <c r="L966" s="4">
        <v>2</v>
      </c>
      <c r="M966" s="4">
        <v>99.59</v>
      </c>
      <c r="N966" s="4">
        <v>141.43360000000001</v>
      </c>
      <c r="O966" s="4">
        <v>66.66</v>
      </c>
      <c r="P966" s="4">
        <v>3.8764546470000001</v>
      </c>
      <c r="Q966" s="4">
        <v>44.838000000000001</v>
      </c>
      <c r="R966" s="10"/>
    </row>
    <row r="967" spans="1:18" ht="28.8" x14ac:dyDescent="0.3">
      <c r="A967" t="s">
        <v>3</v>
      </c>
      <c r="B967" s="3" t="s">
        <v>281</v>
      </c>
      <c r="C967" s="2">
        <v>43340</v>
      </c>
      <c r="D967" s="9">
        <v>0.96250000000000002</v>
      </c>
      <c r="E967" s="3">
        <f t="shared" ca="1" si="15"/>
        <v>817269800</v>
      </c>
      <c r="F967" t="s">
        <v>11</v>
      </c>
      <c r="G967" t="s">
        <v>15</v>
      </c>
      <c r="H967" s="1" t="s">
        <v>237</v>
      </c>
      <c r="I967" t="s">
        <v>18</v>
      </c>
      <c r="J967" s="4">
        <v>10</v>
      </c>
      <c r="K967" s="4">
        <v>83.2</v>
      </c>
      <c r="L967" s="4">
        <v>2</v>
      </c>
      <c r="M967" s="4">
        <v>26.63</v>
      </c>
      <c r="N967" s="4">
        <v>120.4588</v>
      </c>
      <c r="O967" s="4">
        <v>76.540000000000006</v>
      </c>
      <c r="P967" s="4">
        <v>3.8764546470000001</v>
      </c>
      <c r="Q967" s="4">
        <v>36.119999999999997</v>
      </c>
      <c r="R967" s="10"/>
    </row>
    <row r="968" spans="1:18" x14ac:dyDescent="0.3">
      <c r="A968" t="s">
        <v>1</v>
      </c>
      <c r="B968" s="3" t="s">
        <v>279</v>
      </c>
      <c r="C968" s="2">
        <v>42878</v>
      </c>
      <c r="D968" s="9">
        <v>0.40347222222222223</v>
      </c>
      <c r="E968" s="3">
        <f t="shared" ca="1" si="15"/>
        <v>94560306</v>
      </c>
      <c r="F968" t="s">
        <v>11</v>
      </c>
      <c r="G968" t="s">
        <v>15</v>
      </c>
      <c r="H968" s="1" t="s">
        <v>235</v>
      </c>
      <c r="I968" t="s">
        <v>19</v>
      </c>
      <c r="J968" s="4">
        <v>5</v>
      </c>
      <c r="K968" s="4">
        <v>37.786999999999999</v>
      </c>
      <c r="L968" s="4">
        <v>9</v>
      </c>
      <c r="M968" s="4">
        <v>77.900000000000006</v>
      </c>
      <c r="N968" s="4">
        <v>135.9649</v>
      </c>
      <c r="O968" s="4">
        <v>299.7</v>
      </c>
      <c r="P968" s="4">
        <v>3.8764546470000001</v>
      </c>
      <c r="Q968" s="4">
        <v>41.18</v>
      </c>
      <c r="R968" s="10"/>
    </row>
    <row r="969" spans="1:18" ht="28.8" x14ac:dyDescent="0.3">
      <c r="A969" t="s">
        <v>1</v>
      </c>
      <c r="B969" s="3" t="s">
        <v>279</v>
      </c>
      <c r="C969" s="2">
        <v>42835</v>
      </c>
      <c r="D969" s="9">
        <v>5.347222222222222E-2</v>
      </c>
      <c r="E969" s="3">
        <f t="shared" ca="1" si="15"/>
        <v>603570341</v>
      </c>
      <c r="F969" t="s">
        <v>12</v>
      </c>
      <c r="G969" t="s">
        <v>14</v>
      </c>
      <c r="H969" s="1" t="s">
        <v>237</v>
      </c>
      <c r="I969" t="s">
        <v>19</v>
      </c>
      <c r="J969" s="4">
        <v>2</v>
      </c>
      <c r="K969" s="4">
        <v>47.09</v>
      </c>
      <c r="L969" s="4">
        <v>3</v>
      </c>
      <c r="M969" s="4">
        <v>31.36</v>
      </c>
      <c r="N969" s="4">
        <v>111.6311</v>
      </c>
      <c r="O969" s="4">
        <v>243.03</v>
      </c>
      <c r="P969" s="4">
        <v>3.8764546470000001</v>
      </c>
      <c r="Q969" s="4">
        <v>34.4</v>
      </c>
      <c r="R969" s="10"/>
    </row>
    <row r="970" spans="1:18" x14ac:dyDescent="0.3">
      <c r="A970" t="s">
        <v>1</v>
      </c>
      <c r="B970" s="3" t="s">
        <v>279</v>
      </c>
      <c r="C970" s="2">
        <v>43149</v>
      </c>
      <c r="D970" s="9">
        <v>0.79722222222222228</v>
      </c>
      <c r="E970" s="3">
        <f t="shared" ca="1" si="15"/>
        <v>684632384</v>
      </c>
      <c r="F970" t="s">
        <v>11</v>
      </c>
      <c r="G970" t="s">
        <v>15</v>
      </c>
      <c r="H970" s="1" t="s">
        <v>236</v>
      </c>
      <c r="I970" t="s">
        <v>17</v>
      </c>
      <c r="J970" s="4">
        <v>2</v>
      </c>
      <c r="K970" s="4">
        <v>70.05</v>
      </c>
      <c r="L970" s="4">
        <v>3</v>
      </c>
      <c r="M970" s="4">
        <v>79.95</v>
      </c>
      <c r="N970" s="4">
        <v>150.86869999999999</v>
      </c>
      <c r="O970" s="4">
        <v>47.4</v>
      </c>
      <c r="P970" s="4">
        <v>3.8764546470000001</v>
      </c>
      <c r="Q970" s="4">
        <v>32.57</v>
      </c>
      <c r="R970" s="10"/>
    </row>
    <row r="971" spans="1:18" ht="28.8" x14ac:dyDescent="0.3">
      <c r="A971" t="s">
        <v>3</v>
      </c>
      <c r="B971" s="3" t="s">
        <v>281</v>
      </c>
      <c r="C971" s="2">
        <v>43266</v>
      </c>
      <c r="D971" s="9">
        <v>0.66111111111111109</v>
      </c>
      <c r="E971" s="3">
        <f t="shared" ca="1" si="15"/>
        <v>218005110</v>
      </c>
      <c r="F971" t="s">
        <v>11</v>
      </c>
      <c r="G971" t="s">
        <v>14</v>
      </c>
      <c r="H971" s="1" t="s">
        <v>237</v>
      </c>
      <c r="I971" t="s">
        <v>18</v>
      </c>
      <c r="J971" s="4">
        <v>3</v>
      </c>
      <c r="K971" s="4">
        <v>16.2</v>
      </c>
      <c r="L971" s="4">
        <v>5</v>
      </c>
      <c r="M971" s="4">
        <v>78.760000000000005</v>
      </c>
      <c r="N971" s="4">
        <v>146.6549</v>
      </c>
      <c r="O971" s="4">
        <v>172.45</v>
      </c>
      <c r="P971" s="4">
        <v>3.8764546470000001</v>
      </c>
      <c r="Q971" s="4">
        <v>50.98</v>
      </c>
      <c r="R971" s="10"/>
    </row>
    <row r="972" spans="1:18" ht="28.8" x14ac:dyDescent="0.3">
      <c r="A972" t="s">
        <v>3</v>
      </c>
      <c r="B972" s="3" t="s">
        <v>281</v>
      </c>
      <c r="C972" s="2">
        <v>43292</v>
      </c>
      <c r="D972" s="9">
        <v>0.82152777777777775</v>
      </c>
      <c r="E972" s="3">
        <f t="shared" ca="1" si="15"/>
        <v>237019647</v>
      </c>
      <c r="F972" t="s">
        <v>11</v>
      </c>
      <c r="G972" t="s">
        <v>14</v>
      </c>
      <c r="H972" s="1" t="s">
        <v>237</v>
      </c>
      <c r="I972" t="s">
        <v>21</v>
      </c>
      <c r="J972" s="4">
        <v>1</v>
      </c>
      <c r="K972" s="4">
        <v>22.46</v>
      </c>
      <c r="L972" s="4">
        <v>10</v>
      </c>
      <c r="M972" s="4">
        <v>57.89</v>
      </c>
      <c r="N972" s="4">
        <v>118.78660000000001</v>
      </c>
      <c r="O972" s="4">
        <v>846.3</v>
      </c>
      <c r="P972" s="4">
        <v>3.8764546470000001</v>
      </c>
      <c r="Q972" s="4">
        <v>85.07</v>
      </c>
      <c r="R972" s="10"/>
    </row>
    <row r="973" spans="1:18" x14ac:dyDescent="0.3">
      <c r="A973" t="s">
        <v>3</v>
      </c>
      <c r="B973" s="3" t="s">
        <v>281</v>
      </c>
      <c r="C973" s="2">
        <v>42927</v>
      </c>
      <c r="D973" s="9">
        <v>0.39374999999999999</v>
      </c>
      <c r="E973" s="3">
        <f t="shared" ca="1" si="15"/>
        <v>151683928</v>
      </c>
      <c r="F973" t="s">
        <v>12</v>
      </c>
      <c r="G973" t="s">
        <v>14</v>
      </c>
      <c r="H973" s="1" t="s">
        <v>235</v>
      </c>
      <c r="I973" t="s">
        <v>19</v>
      </c>
      <c r="J973" s="4">
        <v>7</v>
      </c>
      <c r="K973" s="4">
        <v>34.6</v>
      </c>
      <c r="L973" s="4">
        <v>7</v>
      </c>
      <c r="M973" s="4">
        <v>54.58</v>
      </c>
      <c r="N973" s="4">
        <v>143.4</v>
      </c>
      <c r="O973" s="4">
        <v>258.37</v>
      </c>
      <c r="P973" s="4">
        <v>3.8764546470000001</v>
      </c>
      <c r="Q973" s="4">
        <v>58.625999999999998</v>
      </c>
      <c r="R973" s="10"/>
    </row>
    <row r="974" spans="1:18" x14ac:dyDescent="0.3">
      <c r="A974" t="s">
        <v>3</v>
      </c>
      <c r="B974" s="3" t="s">
        <v>281</v>
      </c>
      <c r="C974" s="2">
        <v>43106</v>
      </c>
      <c r="D974" s="9">
        <v>0.90902777777777777</v>
      </c>
      <c r="E974" s="3">
        <f t="shared" ca="1" si="15"/>
        <v>939588999</v>
      </c>
      <c r="F974" t="s">
        <v>12</v>
      </c>
      <c r="G974" t="s">
        <v>15</v>
      </c>
      <c r="H974" s="1" t="s">
        <v>236</v>
      </c>
      <c r="I974" t="s">
        <v>18</v>
      </c>
      <c r="J974" s="4">
        <v>9</v>
      </c>
      <c r="K974" s="4">
        <v>38.76</v>
      </c>
      <c r="L974" s="4">
        <v>7</v>
      </c>
      <c r="M974" s="4">
        <v>81.64</v>
      </c>
      <c r="N974" s="4">
        <v>175.5</v>
      </c>
      <c r="O974" s="4">
        <v>609.55999999999995</v>
      </c>
      <c r="P974" s="4">
        <v>3.8764546470000001</v>
      </c>
      <c r="Q974" s="4">
        <v>16.140999999999998</v>
      </c>
      <c r="R974" s="10"/>
    </row>
    <row r="975" spans="1:18" x14ac:dyDescent="0.3">
      <c r="A975" t="s">
        <v>1</v>
      </c>
      <c r="B975" s="3" t="s">
        <v>279</v>
      </c>
      <c r="C975" s="2">
        <v>43208</v>
      </c>
      <c r="D975" s="9">
        <v>0.82152777777777775</v>
      </c>
      <c r="E975" s="3">
        <f t="shared" ca="1" si="15"/>
        <v>372308921</v>
      </c>
      <c r="F975" t="s">
        <v>12</v>
      </c>
      <c r="G975" t="s">
        <v>15</v>
      </c>
      <c r="H975" s="1" t="s">
        <v>236</v>
      </c>
      <c r="I975" t="s">
        <v>19</v>
      </c>
      <c r="J975" s="4">
        <v>6.1</v>
      </c>
      <c r="K975" s="4">
        <v>29.5</v>
      </c>
      <c r="L975" s="4">
        <v>3</v>
      </c>
      <c r="M975" s="4">
        <v>45.42</v>
      </c>
      <c r="N975" s="4">
        <v>158.30000000000001</v>
      </c>
      <c r="O975" s="4">
        <v>240.24</v>
      </c>
      <c r="P975" s="4">
        <v>3.8764546470000001</v>
      </c>
      <c r="Q975" s="4">
        <v>84.262</v>
      </c>
      <c r="R975" s="10"/>
    </row>
    <row r="976" spans="1:18" x14ac:dyDescent="0.3">
      <c r="A976" t="s">
        <v>2</v>
      </c>
      <c r="B976" s="3" t="s">
        <v>280</v>
      </c>
      <c r="C976" s="2">
        <v>43031</v>
      </c>
      <c r="D976" s="9">
        <v>0.4909722222222222</v>
      </c>
      <c r="E976" s="3">
        <f t="shared" ca="1" si="15"/>
        <v>311041433</v>
      </c>
      <c r="F976" t="s">
        <v>12</v>
      </c>
      <c r="G976" t="s">
        <v>15</v>
      </c>
      <c r="H976" s="1" t="s">
        <v>236</v>
      </c>
      <c r="I976" t="s">
        <v>22</v>
      </c>
      <c r="J976" s="4">
        <v>5.3</v>
      </c>
      <c r="K976" s="4">
        <v>42.92</v>
      </c>
      <c r="L976" s="4">
        <v>2</v>
      </c>
      <c r="M976" s="4">
        <v>79.37</v>
      </c>
      <c r="N976" s="4">
        <v>170.8</v>
      </c>
      <c r="O976" s="4">
        <v>172.26</v>
      </c>
      <c r="P976" s="4">
        <v>3.8764546470000001</v>
      </c>
      <c r="Q976" s="4">
        <v>44.046999999999997</v>
      </c>
      <c r="R976" s="10"/>
    </row>
    <row r="977" spans="1:18" ht="28.8" x14ac:dyDescent="0.3">
      <c r="A977" t="s">
        <v>3</v>
      </c>
      <c r="B977" s="3" t="s">
        <v>281</v>
      </c>
      <c r="C977" s="2">
        <v>42959</v>
      </c>
      <c r="D977" s="9">
        <v>0.12152777777777778</v>
      </c>
      <c r="E977" s="3">
        <f t="shared" ca="1" si="15"/>
        <v>460624125</v>
      </c>
      <c r="F977" t="s">
        <v>12</v>
      </c>
      <c r="G977" t="s">
        <v>14</v>
      </c>
      <c r="H977" s="1" t="s">
        <v>237</v>
      </c>
      <c r="I977" t="s">
        <v>22</v>
      </c>
      <c r="J977" s="4">
        <v>9.5</v>
      </c>
      <c r="K977" s="4">
        <v>72.47</v>
      </c>
      <c r="L977" s="4">
        <v>2</v>
      </c>
      <c r="M977" s="4">
        <v>56.71</v>
      </c>
      <c r="N977" s="4">
        <v>130.4</v>
      </c>
      <c r="O977" s="4">
        <v>99.84</v>
      </c>
      <c r="P977" s="4">
        <v>3.8764546470000001</v>
      </c>
      <c r="Q977" s="4">
        <v>83.97</v>
      </c>
      <c r="R977" s="10"/>
    </row>
    <row r="978" spans="1:18" x14ac:dyDescent="0.3">
      <c r="A978" t="s">
        <v>1</v>
      </c>
      <c r="B978" s="3" t="s">
        <v>279</v>
      </c>
      <c r="C978" s="2">
        <v>42982</v>
      </c>
      <c r="D978" s="9">
        <v>0.16527777777777777</v>
      </c>
      <c r="E978" s="3">
        <f t="shared" ca="1" si="15"/>
        <v>178349759</v>
      </c>
      <c r="F978" t="s">
        <v>11</v>
      </c>
      <c r="G978" t="s">
        <v>15</v>
      </c>
      <c r="H978" s="1" t="s">
        <v>236</v>
      </c>
      <c r="I978" t="s">
        <v>21</v>
      </c>
      <c r="J978" s="4">
        <v>3.2</v>
      </c>
      <c r="K978" s="4">
        <v>77.2</v>
      </c>
      <c r="L978" s="4">
        <v>4</v>
      </c>
      <c r="M978" s="4">
        <v>64.349999999999994</v>
      </c>
      <c r="N978" s="4">
        <v>131.9333</v>
      </c>
      <c r="O978" s="4">
        <v>298.64</v>
      </c>
      <c r="P978" s="4">
        <v>3.8764546470000001</v>
      </c>
      <c r="Q978" s="4">
        <v>14.62</v>
      </c>
      <c r="R978" s="10"/>
    </row>
    <row r="979" spans="1:18" x14ac:dyDescent="0.3">
      <c r="A979" t="s">
        <v>3</v>
      </c>
      <c r="B979" s="3" t="s">
        <v>281</v>
      </c>
      <c r="C979" s="2">
        <v>42974</v>
      </c>
      <c r="D979" s="9">
        <v>5.8333333333333334E-2</v>
      </c>
      <c r="E979" s="3">
        <f t="shared" ca="1" si="15"/>
        <v>432640067</v>
      </c>
      <c r="F979" t="s">
        <v>12</v>
      </c>
      <c r="G979" t="s">
        <v>14</v>
      </c>
      <c r="H979" s="1" t="s">
        <v>235</v>
      </c>
      <c r="I979" t="s">
        <v>21</v>
      </c>
      <c r="J979" s="4">
        <v>4.7</v>
      </c>
      <c r="K979" s="4">
        <v>27.347000000000001</v>
      </c>
      <c r="L979" s="4">
        <v>6</v>
      </c>
      <c r="M979" s="4">
        <v>21.56</v>
      </c>
      <c r="N979" s="4">
        <v>151.9477</v>
      </c>
      <c r="O979" s="4">
        <v>159.6</v>
      </c>
      <c r="P979" s="4">
        <v>3.8764546470000001</v>
      </c>
      <c r="Q979" s="4">
        <v>87.423000000000002</v>
      </c>
      <c r="R979" s="10"/>
    </row>
    <row r="980" spans="1:18" ht="28.8" x14ac:dyDescent="0.3">
      <c r="A980" t="s">
        <v>3</v>
      </c>
      <c r="B980" s="3" t="s">
        <v>281</v>
      </c>
      <c r="C980" s="2">
        <v>43218</v>
      </c>
      <c r="D980" s="9">
        <v>0.18958333333333333</v>
      </c>
      <c r="E980" s="3">
        <f t="shared" ca="1" si="15"/>
        <v>432224082</v>
      </c>
      <c r="F980" t="s">
        <v>11</v>
      </c>
      <c r="G980" t="s">
        <v>15</v>
      </c>
      <c r="H980" s="1" t="s">
        <v>237</v>
      </c>
      <c r="I980" t="s">
        <v>18</v>
      </c>
      <c r="J980" s="4">
        <v>1.1000000000000001</v>
      </c>
      <c r="K980" s="4">
        <v>11.426</v>
      </c>
      <c r="L980" s="4">
        <v>1</v>
      </c>
      <c r="M980" s="4">
        <v>96.96</v>
      </c>
      <c r="N980" s="4">
        <v>174.35419999999999</v>
      </c>
      <c r="O980" s="4">
        <v>25.45</v>
      </c>
      <c r="P980" s="4">
        <v>3.8764546470000001</v>
      </c>
      <c r="Q980" s="4">
        <v>63.982999999999997</v>
      </c>
      <c r="R980" s="10"/>
    </row>
    <row r="981" spans="1:18" ht="28.8" x14ac:dyDescent="0.3">
      <c r="A981" t="s">
        <v>3</v>
      </c>
      <c r="B981" s="3" t="s">
        <v>281</v>
      </c>
      <c r="C981" s="2">
        <v>43137</v>
      </c>
      <c r="D981" s="9">
        <v>0.9916666666666667</v>
      </c>
      <c r="E981" s="3">
        <f t="shared" ca="1" si="15"/>
        <v>79450174</v>
      </c>
      <c r="F981" t="s">
        <v>11</v>
      </c>
      <c r="G981" t="s">
        <v>15</v>
      </c>
      <c r="H981" s="1" t="s">
        <v>237</v>
      </c>
      <c r="I981" t="s">
        <v>21</v>
      </c>
      <c r="J981" s="4">
        <v>2.1</v>
      </c>
      <c r="K981" s="4">
        <v>17.2</v>
      </c>
      <c r="L981" s="4">
        <v>1</v>
      </c>
      <c r="M981" s="4">
        <v>55.25</v>
      </c>
      <c r="N981" s="4">
        <v>147.70320000000001</v>
      </c>
      <c r="O981" s="4">
        <v>67.77</v>
      </c>
      <c r="P981" s="4">
        <v>3.8764546470000001</v>
      </c>
      <c r="Q981" s="4">
        <v>43.447000000000003</v>
      </c>
      <c r="R981" s="10"/>
    </row>
    <row r="982" spans="1:18" x14ac:dyDescent="0.3">
      <c r="A982" t="s">
        <v>2</v>
      </c>
      <c r="B982" s="3" t="s">
        <v>280</v>
      </c>
      <c r="C982" s="2">
        <v>42920</v>
      </c>
      <c r="D982" s="9">
        <v>0.70486111111111116</v>
      </c>
      <c r="E982" s="3">
        <f t="shared" ca="1" si="15"/>
        <v>525665782</v>
      </c>
      <c r="F982" t="s">
        <v>12</v>
      </c>
      <c r="G982" t="s">
        <v>14</v>
      </c>
      <c r="H982" s="1" t="s">
        <v>236</v>
      </c>
      <c r="I982" t="s">
        <v>21</v>
      </c>
      <c r="J982" s="4">
        <v>2.8</v>
      </c>
      <c r="K982" s="4">
        <v>92.92</v>
      </c>
      <c r="L982" s="4">
        <v>4</v>
      </c>
      <c r="M982" s="4">
        <v>37.75</v>
      </c>
      <c r="N982" s="4">
        <v>101.28060000000001</v>
      </c>
      <c r="O982" s="4">
        <v>238.36</v>
      </c>
      <c r="P982" s="4">
        <v>3.8764546470000001</v>
      </c>
      <c r="Q982" s="4">
        <v>18.763000000000002</v>
      </c>
      <c r="R982" s="10"/>
    </row>
    <row r="983" spans="1:18" x14ac:dyDescent="0.3">
      <c r="A983" t="s">
        <v>1</v>
      </c>
      <c r="B983" s="3" t="s">
        <v>279</v>
      </c>
      <c r="C983" s="2">
        <v>43137</v>
      </c>
      <c r="D983" s="9">
        <v>0.48125000000000001</v>
      </c>
      <c r="E983" s="3">
        <f t="shared" ca="1" si="15"/>
        <v>68155121</v>
      </c>
      <c r="F983" t="s">
        <v>12</v>
      </c>
      <c r="G983" t="s">
        <v>15</v>
      </c>
      <c r="H983" s="1" t="s">
        <v>236</v>
      </c>
      <c r="I983" t="s">
        <v>17</v>
      </c>
      <c r="J983" s="4">
        <v>7.2</v>
      </c>
      <c r="K983" s="4">
        <v>69.13</v>
      </c>
      <c r="L983" s="4">
        <v>4</v>
      </c>
      <c r="M983" s="4">
        <v>87.01</v>
      </c>
      <c r="N983" s="4">
        <v>141.9</v>
      </c>
      <c r="O983" s="4">
        <v>232.6</v>
      </c>
      <c r="P983" s="4">
        <v>3.8764546470000001</v>
      </c>
      <c r="Q983" s="4">
        <v>19.300999999999998</v>
      </c>
      <c r="R983" s="10"/>
    </row>
    <row r="984" spans="1:18" x14ac:dyDescent="0.3">
      <c r="A984" t="s">
        <v>1</v>
      </c>
      <c r="B984" s="3" t="s">
        <v>279</v>
      </c>
      <c r="C984" s="2">
        <v>43228</v>
      </c>
      <c r="D984" s="9">
        <v>0.9916666666666667</v>
      </c>
      <c r="E984" s="3">
        <f t="shared" ca="1" si="15"/>
        <v>192882626</v>
      </c>
      <c r="F984" t="s">
        <v>11</v>
      </c>
      <c r="G984" t="s">
        <v>14</v>
      </c>
      <c r="H984" s="1" t="s">
        <v>235</v>
      </c>
      <c r="I984" t="s">
        <v>20</v>
      </c>
      <c r="J984" s="4">
        <v>8.5</v>
      </c>
      <c r="K984" s="4">
        <v>16.66</v>
      </c>
      <c r="L984" s="4">
        <v>9</v>
      </c>
      <c r="M984" s="4">
        <v>84.98</v>
      </c>
      <c r="N984" s="4">
        <v>184.4</v>
      </c>
      <c r="O984" s="4">
        <v>877.32</v>
      </c>
      <c r="P984" s="4">
        <v>3.8764546470000001</v>
      </c>
      <c r="Q984" s="4">
        <v>39.558999999999997</v>
      </c>
      <c r="R984" s="10"/>
    </row>
    <row r="985" spans="1:18" x14ac:dyDescent="0.3">
      <c r="A985" t="s">
        <v>2</v>
      </c>
      <c r="B985" s="3" t="s">
        <v>280</v>
      </c>
      <c r="C985" s="2">
        <v>43054</v>
      </c>
      <c r="D985" s="9">
        <v>0.17499999999999999</v>
      </c>
      <c r="E985" s="3">
        <f t="shared" ca="1" si="15"/>
        <v>450871414</v>
      </c>
      <c r="F985" t="s">
        <v>12</v>
      </c>
      <c r="G985" t="s">
        <v>15</v>
      </c>
      <c r="H985" s="1" t="s">
        <v>236</v>
      </c>
      <c r="I985" t="s">
        <v>17</v>
      </c>
      <c r="J985" s="4">
        <v>10</v>
      </c>
      <c r="K985" s="4">
        <v>58.56</v>
      </c>
      <c r="L985" s="4">
        <v>7</v>
      </c>
      <c r="M985" s="4">
        <v>29.25</v>
      </c>
      <c r="N985" s="4">
        <v>101.1</v>
      </c>
      <c r="O985" s="4">
        <v>699.72</v>
      </c>
      <c r="P985" s="4">
        <v>3.8764546470000001</v>
      </c>
      <c r="Q985" s="4">
        <v>67.16</v>
      </c>
      <c r="R985" s="10"/>
    </row>
    <row r="986" spans="1:18" x14ac:dyDescent="0.3">
      <c r="A986" t="s">
        <v>2</v>
      </c>
      <c r="B986" s="3" t="s">
        <v>280</v>
      </c>
      <c r="C986" s="2">
        <v>43083</v>
      </c>
      <c r="D986" s="9">
        <v>0.12638888888888888</v>
      </c>
      <c r="E986" s="3">
        <f t="shared" ca="1" si="15"/>
        <v>932148285</v>
      </c>
      <c r="F986" t="s">
        <v>12</v>
      </c>
      <c r="G986" t="s">
        <v>15</v>
      </c>
      <c r="H986" s="1" t="s">
        <v>236</v>
      </c>
      <c r="I986" t="s">
        <v>18</v>
      </c>
      <c r="J986" s="4">
        <v>2.2999999999999998</v>
      </c>
      <c r="K986" s="4">
        <v>45.292999999999999</v>
      </c>
      <c r="L986" s="4">
        <v>7</v>
      </c>
      <c r="M986" s="4">
        <v>18.96</v>
      </c>
      <c r="N986" s="4">
        <v>159.80000000000001</v>
      </c>
      <c r="O986" s="4">
        <v>674.59</v>
      </c>
      <c r="P986" s="4">
        <v>3.8764546470000001</v>
      </c>
      <c r="Q986" s="4">
        <v>26.09</v>
      </c>
      <c r="R986" s="10"/>
    </row>
    <row r="987" spans="1:18" x14ac:dyDescent="0.3">
      <c r="A987" t="s">
        <v>3</v>
      </c>
      <c r="B987" s="3" t="s">
        <v>281</v>
      </c>
      <c r="C987" s="2">
        <v>43399</v>
      </c>
      <c r="D987" s="9">
        <v>0.34513888888888888</v>
      </c>
      <c r="E987" s="3">
        <f t="shared" ca="1" si="15"/>
        <v>795061924</v>
      </c>
      <c r="F987" t="s">
        <v>11</v>
      </c>
      <c r="G987" t="s">
        <v>15</v>
      </c>
      <c r="H987" s="1" t="s">
        <v>235</v>
      </c>
      <c r="I987" t="s">
        <v>22</v>
      </c>
      <c r="J987" s="4">
        <v>2.2999999999999998</v>
      </c>
      <c r="K987" s="4">
        <v>99.7</v>
      </c>
      <c r="L987" s="4">
        <v>5</v>
      </c>
      <c r="M987" s="4">
        <v>12.51</v>
      </c>
      <c r="N987" s="4">
        <v>122</v>
      </c>
      <c r="O987" s="4">
        <v>318.55</v>
      </c>
      <c r="P987" s="4">
        <v>3.8764546470000001</v>
      </c>
      <c r="Q987" s="4">
        <v>73.323999999999998</v>
      </c>
      <c r="R987" s="10"/>
    </row>
    <row r="988" spans="1:18" x14ac:dyDescent="0.3">
      <c r="A988" t="s">
        <v>3</v>
      </c>
      <c r="B988" s="3" t="s">
        <v>281</v>
      </c>
      <c r="C988" s="2">
        <v>42860</v>
      </c>
      <c r="D988" s="9">
        <v>0.93819444444444444</v>
      </c>
      <c r="E988" s="3">
        <f t="shared" ca="1" si="15"/>
        <v>924606483</v>
      </c>
      <c r="F988" t="s">
        <v>11</v>
      </c>
      <c r="G988" t="s">
        <v>15</v>
      </c>
      <c r="H988" s="1" t="s">
        <v>235</v>
      </c>
      <c r="I988" t="s">
        <v>17</v>
      </c>
      <c r="J988" s="4">
        <v>5.9</v>
      </c>
      <c r="K988" s="4">
        <v>99.36</v>
      </c>
      <c r="L988" s="4">
        <v>2</v>
      </c>
      <c r="M988" s="4">
        <v>22.31</v>
      </c>
      <c r="N988" s="4">
        <v>168.1</v>
      </c>
      <c r="O988" s="4">
        <v>29.52</v>
      </c>
      <c r="P988" s="4">
        <v>3.8764546470000001</v>
      </c>
      <c r="Q988" s="4">
        <v>98.966999999999999</v>
      </c>
      <c r="R988" s="10"/>
    </row>
    <row r="989" spans="1:18" ht="28.8" x14ac:dyDescent="0.3">
      <c r="A989" t="s">
        <v>3</v>
      </c>
      <c r="B989" s="3" t="s">
        <v>281</v>
      </c>
      <c r="C989" s="2">
        <v>42989</v>
      </c>
      <c r="D989" s="9">
        <v>0.34027777777777779</v>
      </c>
      <c r="E989" s="3">
        <f t="shared" ca="1" si="15"/>
        <v>421794481</v>
      </c>
      <c r="F989" t="s">
        <v>12</v>
      </c>
      <c r="G989" t="s">
        <v>14</v>
      </c>
      <c r="H989" s="1" t="s">
        <v>237</v>
      </c>
      <c r="I989" t="s">
        <v>17</v>
      </c>
      <c r="J989" s="4">
        <v>2.4</v>
      </c>
      <c r="K989" s="4">
        <v>99.998000000000005</v>
      </c>
      <c r="L989" s="4">
        <v>8</v>
      </c>
      <c r="M989" s="4">
        <v>19.12</v>
      </c>
      <c r="N989" s="4">
        <v>183.79939999999999</v>
      </c>
      <c r="O989" s="4">
        <v>496</v>
      </c>
      <c r="P989" s="4">
        <v>3.8764546470000001</v>
      </c>
      <c r="Q989" s="4">
        <v>93.168999999999997</v>
      </c>
      <c r="R989" s="10"/>
    </row>
    <row r="990" spans="1:18" x14ac:dyDescent="0.3">
      <c r="A990" t="s">
        <v>2</v>
      </c>
      <c r="B990" s="3" t="s">
        <v>280</v>
      </c>
      <c r="C990" s="2">
        <v>43129</v>
      </c>
      <c r="D990" s="9">
        <v>0.7680555555555556</v>
      </c>
      <c r="E990" s="3">
        <f t="shared" ca="1" si="15"/>
        <v>121321300</v>
      </c>
      <c r="F990" t="s">
        <v>12</v>
      </c>
      <c r="G990" t="s">
        <v>14</v>
      </c>
      <c r="H990" s="1" t="s">
        <v>235</v>
      </c>
      <c r="I990" t="s">
        <v>18</v>
      </c>
      <c r="J990" s="4">
        <v>9.6</v>
      </c>
      <c r="K990" s="4">
        <v>39.5</v>
      </c>
      <c r="L990" s="4">
        <v>10</v>
      </c>
      <c r="M990" s="4">
        <v>16.16</v>
      </c>
      <c r="N990" s="4">
        <v>119.0484</v>
      </c>
      <c r="O990" s="4">
        <v>823.4</v>
      </c>
      <c r="P990" s="4">
        <v>3.8764546470000001</v>
      </c>
      <c r="Q990" s="4">
        <v>98.795000000000002</v>
      </c>
      <c r="R990" s="10"/>
    </row>
    <row r="991" spans="1:18" ht="28.8" x14ac:dyDescent="0.3">
      <c r="A991" t="s">
        <v>3</v>
      </c>
      <c r="B991" s="3" t="s">
        <v>281</v>
      </c>
      <c r="C991" s="2">
        <v>43148</v>
      </c>
      <c r="D991" s="9">
        <v>0.52013888888888893</v>
      </c>
      <c r="E991" s="3">
        <f t="shared" ca="1" si="15"/>
        <v>753062126</v>
      </c>
      <c r="F991" t="s">
        <v>12</v>
      </c>
      <c r="G991" t="s">
        <v>14</v>
      </c>
      <c r="H991" s="1" t="s">
        <v>237</v>
      </c>
      <c r="I991" t="s">
        <v>17</v>
      </c>
      <c r="J991" s="4">
        <v>1</v>
      </c>
      <c r="K991" s="4">
        <v>90.03</v>
      </c>
      <c r="L991" s="4">
        <v>8</v>
      </c>
      <c r="M991" s="4">
        <v>53.76</v>
      </c>
      <c r="N991" s="4">
        <v>174.9</v>
      </c>
      <c r="O991" s="4">
        <v>602.96</v>
      </c>
      <c r="P991" s="4">
        <v>3.8764546470000001</v>
      </c>
      <c r="Q991" s="4">
        <v>15.037000000000001</v>
      </c>
      <c r="R991" s="10"/>
    </row>
    <row r="992" spans="1:18" ht="28.8" x14ac:dyDescent="0.3">
      <c r="A992" t="s">
        <v>1</v>
      </c>
      <c r="B992" s="3" t="s">
        <v>279</v>
      </c>
      <c r="C992" s="2">
        <v>43216</v>
      </c>
      <c r="D992" s="9">
        <v>0.74861111111111112</v>
      </c>
      <c r="E992" s="3">
        <f t="shared" ca="1" si="15"/>
        <v>796557374</v>
      </c>
      <c r="F992" t="s">
        <v>11</v>
      </c>
      <c r="G992" t="s">
        <v>15</v>
      </c>
      <c r="H992" s="1" t="s">
        <v>237</v>
      </c>
      <c r="I992" t="s">
        <v>21</v>
      </c>
      <c r="J992" s="4">
        <v>1.2</v>
      </c>
      <c r="K992" s="4">
        <v>62.7</v>
      </c>
      <c r="L992" s="4">
        <v>5</v>
      </c>
      <c r="M992" s="4">
        <v>92.64</v>
      </c>
      <c r="N992" s="4">
        <v>114.7</v>
      </c>
      <c r="O992" s="4">
        <v>282.8</v>
      </c>
      <c r="P992" s="4">
        <v>3.8764546470000001</v>
      </c>
      <c r="Q992" s="4">
        <v>78.81</v>
      </c>
      <c r="R992" s="10"/>
    </row>
    <row r="993" spans="1:18" x14ac:dyDescent="0.3">
      <c r="A993" t="s">
        <v>3</v>
      </c>
      <c r="B993" s="3" t="s">
        <v>281</v>
      </c>
      <c r="C993" s="2">
        <v>43197</v>
      </c>
      <c r="D993" s="9">
        <v>0.85555555555555551</v>
      </c>
      <c r="E993" s="3">
        <f t="shared" ca="1" si="15"/>
        <v>440634881</v>
      </c>
      <c r="F993" t="s">
        <v>11</v>
      </c>
      <c r="G993" t="s">
        <v>15</v>
      </c>
      <c r="H993" s="1" t="s">
        <v>235</v>
      </c>
      <c r="I993" t="s">
        <v>20</v>
      </c>
      <c r="J993" s="4">
        <v>9.1999999999999993</v>
      </c>
      <c r="K993" s="4">
        <v>27.73</v>
      </c>
      <c r="L993" s="4">
        <v>10</v>
      </c>
      <c r="M993" s="4">
        <v>63.47</v>
      </c>
      <c r="N993" s="4">
        <v>150.6</v>
      </c>
      <c r="O993" s="4">
        <v>766</v>
      </c>
      <c r="P993" s="4">
        <v>3.8764546470000001</v>
      </c>
      <c r="Q993" s="4">
        <v>14.361000000000001</v>
      </c>
      <c r="R993" s="10"/>
    </row>
    <row r="994" spans="1:18" x14ac:dyDescent="0.3">
      <c r="A994" t="s">
        <v>1</v>
      </c>
      <c r="B994" s="3" t="s">
        <v>279</v>
      </c>
      <c r="C994" s="2">
        <v>42883</v>
      </c>
      <c r="D994" s="9">
        <v>0.56874999999999998</v>
      </c>
      <c r="E994" s="3">
        <f t="shared" ca="1" si="15"/>
        <v>666896747</v>
      </c>
      <c r="F994" t="s">
        <v>12</v>
      </c>
      <c r="G994" t="s">
        <v>15</v>
      </c>
      <c r="H994" s="1" t="s">
        <v>235</v>
      </c>
      <c r="I994" t="s">
        <v>18</v>
      </c>
      <c r="J994" s="4">
        <v>8.5</v>
      </c>
      <c r="K994" s="4">
        <v>85.6</v>
      </c>
      <c r="L994" s="4">
        <v>2</v>
      </c>
      <c r="M994" s="4">
        <v>52.65</v>
      </c>
      <c r="N994" s="4">
        <v>132.5</v>
      </c>
      <c r="O994" s="4">
        <v>116.06</v>
      </c>
      <c r="P994" s="4">
        <v>3.8764546470000001</v>
      </c>
      <c r="Q994" s="4">
        <v>38.206000000000003</v>
      </c>
      <c r="R994" s="10"/>
    </row>
    <row r="995" spans="1:18" x14ac:dyDescent="0.3">
      <c r="A995" t="s">
        <v>3</v>
      </c>
      <c r="B995" s="3" t="s">
        <v>281</v>
      </c>
      <c r="C995" s="2">
        <v>42940</v>
      </c>
      <c r="D995" s="9">
        <v>0.66111111111111109</v>
      </c>
      <c r="E995" s="3">
        <f t="shared" ca="1" si="15"/>
        <v>700740886</v>
      </c>
      <c r="F995" t="s">
        <v>12</v>
      </c>
      <c r="G995" t="s">
        <v>15</v>
      </c>
      <c r="H995" s="1" t="s">
        <v>235</v>
      </c>
      <c r="I995" t="s">
        <v>22</v>
      </c>
      <c r="J995" s="4">
        <v>9.3000000000000007</v>
      </c>
      <c r="K995" s="4">
        <v>21.399000000000001</v>
      </c>
      <c r="L995" s="4">
        <v>10</v>
      </c>
      <c r="M995" s="4">
        <v>35.99</v>
      </c>
      <c r="N995" s="4">
        <v>146.1</v>
      </c>
      <c r="O995" s="4">
        <v>174.9</v>
      </c>
      <c r="P995" s="4">
        <v>3.8764546470000001</v>
      </c>
      <c r="Q995" s="4">
        <v>26.17</v>
      </c>
      <c r="R995" s="10"/>
    </row>
    <row r="996" spans="1:18" x14ac:dyDescent="0.3">
      <c r="A996" t="s">
        <v>2</v>
      </c>
      <c r="B996" s="3" t="s">
        <v>280</v>
      </c>
      <c r="C996" s="2">
        <v>43421</v>
      </c>
      <c r="D996" s="9">
        <v>0.81180555555555556</v>
      </c>
      <c r="E996" s="3">
        <f t="shared" ca="1" si="15"/>
        <v>824295963</v>
      </c>
      <c r="F996" t="s">
        <v>11</v>
      </c>
      <c r="G996" t="s">
        <v>14</v>
      </c>
      <c r="H996" s="1" t="s">
        <v>235</v>
      </c>
      <c r="I996" t="s">
        <v>18</v>
      </c>
      <c r="J996" s="4">
        <v>3</v>
      </c>
      <c r="K996" s="4">
        <v>23.01</v>
      </c>
      <c r="L996" s="4">
        <v>1</v>
      </c>
      <c r="M996" s="4">
        <v>11.83</v>
      </c>
      <c r="N996" s="4">
        <v>102.9978</v>
      </c>
      <c r="O996" s="4">
        <v>60.95</v>
      </c>
      <c r="P996" s="4">
        <v>3.8764546470000001</v>
      </c>
      <c r="Q996" s="4">
        <v>96.346000000000004</v>
      </c>
      <c r="R996" s="10"/>
    </row>
    <row r="997" spans="1:18" x14ac:dyDescent="0.3">
      <c r="A997" t="s">
        <v>2</v>
      </c>
      <c r="B997" s="3" t="s">
        <v>280</v>
      </c>
      <c r="C997" s="2">
        <v>43117</v>
      </c>
      <c r="D997" s="9">
        <v>0.58333333333333337</v>
      </c>
      <c r="E997" s="3">
        <f t="shared" ca="1" si="15"/>
        <v>956865456</v>
      </c>
      <c r="F997" t="s">
        <v>12</v>
      </c>
      <c r="G997" t="s">
        <v>15</v>
      </c>
      <c r="H997" s="1" t="s">
        <v>235</v>
      </c>
      <c r="I997" t="s">
        <v>17</v>
      </c>
      <c r="J997" s="4">
        <v>6</v>
      </c>
      <c r="K997" s="4">
        <v>16.739999999999998</v>
      </c>
      <c r="L997" s="4">
        <v>1</v>
      </c>
      <c r="M997" s="4">
        <v>68.38</v>
      </c>
      <c r="N997" s="4">
        <v>171.9452</v>
      </c>
      <c r="O997" s="4">
        <v>40.35</v>
      </c>
      <c r="P997" s="4">
        <v>3.8764546470000001</v>
      </c>
      <c r="Q997" s="4">
        <v>45.523000000000003</v>
      </c>
      <c r="R997" s="10"/>
    </row>
    <row r="998" spans="1:18" x14ac:dyDescent="0.3">
      <c r="A998" t="s">
        <v>3</v>
      </c>
      <c r="B998" s="3" t="s">
        <v>281</v>
      </c>
      <c r="C998" s="2">
        <v>42855</v>
      </c>
      <c r="D998" s="9">
        <v>0.42777777777777776</v>
      </c>
      <c r="E998" s="3">
        <f t="shared" ca="1" si="15"/>
        <v>982863076</v>
      </c>
      <c r="F998" t="s">
        <v>11</v>
      </c>
      <c r="G998" t="s">
        <v>15</v>
      </c>
      <c r="H998" s="1" t="s">
        <v>235</v>
      </c>
      <c r="I998" t="s">
        <v>19</v>
      </c>
      <c r="J998" s="4">
        <v>8</v>
      </c>
      <c r="K998" s="4">
        <v>58.826999999999998</v>
      </c>
      <c r="L998" s="4">
        <v>10</v>
      </c>
      <c r="M998" s="4">
        <v>49.82</v>
      </c>
      <c r="N998" s="4">
        <v>135.96469999999999</v>
      </c>
      <c r="O998" s="4">
        <v>973.8</v>
      </c>
      <c r="P998" s="4">
        <v>3.8764546470000001</v>
      </c>
      <c r="Q998" s="4">
        <v>66.992999999999995</v>
      </c>
      <c r="R998" s="10"/>
    </row>
    <row r="999" spans="1:18" x14ac:dyDescent="0.3">
      <c r="A999" t="s">
        <v>1</v>
      </c>
      <c r="B999" s="3" t="s">
        <v>279</v>
      </c>
      <c r="C999" s="2">
        <v>42807</v>
      </c>
      <c r="D999" s="9">
        <v>0.46180555555555558</v>
      </c>
      <c r="E999" s="3">
        <f t="shared" ca="1" si="15"/>
        <v>253174447</v>
      </c>
      <c r="F999" t="s">
        <v>12</v>
      </c>
      <c r="G999" t="s">
        <v>14</v>
      </c>
      <c r="H999" s="1" t="s">
        <v>236</v>
      </c>
      <c r="I999" t="s">
        <v>21</v>
      </c>
      <c r="J999" s="4">
        <v>3.1</v>
      </c>
      <c r="K999" s="4">
        <v>23.202999999999999</v>
      </c>
      <c r="L999" s="4">
        <v>1</v>
      </c>
      <c r="M999" s="4">
        <v>46.04</v>
      </c>
      <c r="N999" s="4">
        <v>147.6</v>
      </c>
      <c r="O999" s="4">
        <v>31.84</v>
      </c>
      <c r="P999" s="4">
        <v>3.8764546470000001</v>
      </c>
      <c r="Q999" s="4">
        <v>25.780999999999999</v>
      </c>
      <c r="R999" s="10"/>
    </row>
    <row r="1000" spans="1:18" x14ac:dyDescent="0.3">
      <c r="A1000" t="s">
        <v>1</v>
      </c>
      <c r="B1000" s="3" t="s">
        <v>279</v>
      </c>
      <c r="C1000" s="2">
        <v>42995</v>
      </c>
      <c r="D1000" s="9">
        <v>0.58333333333333337</v>
      </c>
      <c r="E1000" s="3">
        <f t="shared" ca="1" si="15"/>
        <v>350305436</v>
      </c>
      <c r="F1000" t="s">
        <v>12</v>
      </c>
      <c r="G1000" t="s">
        <v>15</v>
      </c>
      <c r="H1000" s="1" t="s">
        <v>236</v>
      </c>
      <c r="I1000" t="s">
        <v>19</v>
      </c>
      <c r="J1000" s="4">
        <v>2.1</v>
      </c>
      <c r="K1000" s="4">
        <v>26.32</v>
      </c>
      <c r="L1000" s="4">
        <v>1</v>
      </c>
      <c r="M1000" s="4">
        <v>49.34</v>
      </c>
      <c r="N1000" s="4">
        <v>186.9</v>
      </c>
      <c r="O1000" s="4">
        <v>65.819999999999993</v>
      </c>
      <c r="P1000" s="4">
        <v>3.8764546470000001</v>
      </c>
      <c r="Q1000" s="4">
        <v>75.344999999999999</v>
      </c>
      <c r="R1000" s="10"/>
    </row>
    <row r="1001" spans="1:18" x14ac:dyDescent="0.3">
      <c r="A1001" t="s">
        <v>1</v>
      </c>
      <c r="B1001" s="3" t="s">
        <v>279</v>
      </c>
      <c r="C1001" s="2">
        <v>43166</v>
      </c>
      <c r="D1001" s="9">
        <v>9.7222222222222224E-2</v>
      </c>
      <c r="E1001" s="3">
        <f t="shared" ca="1" si="15"/>
        <v>255368134</v>
      </c>
      <c r="F1001" t="s">
        <v>11</v>
      </c>
      <c r="G1001" t="s">
        <v>14</v>
      </c>
      <c r="H1001" s="1" t="s">
        <v>236</v>
      </c>
      <c r="I1001" t="s">
        <v>22</v>
      </c>
      <c r="J1001" s="4">
        <v>6</v>
      </c>
      <c r="K1001" s="4">
        <v>15.58</v>
      </c>
      <c r="L1001" s="4">
        <v>7</v>
      </c>
      <c r="M1001" s="4">
        <v>74.67</v>
      </c>
      <c r="N1001" s="4">
        <v>138.80000000000001</v>
      </c>
      <c r="O1001" s="4">
        <v>618.38</v>
      </c>
      <c r="P1001" s="4">
        <v>3.8764546470000001</v>
      </c>
      <c r="Q1001" s="4">
        <v>94.51</v>
      </c>
      <c r="R100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5A7A-8574-45D3-A01B-2D96749B9859}">
  <sheetPr codeName="Sheet3"/>
  <dimension ref="A1:C58"/>
  <sheetViews>
    <sheetView tabSelected="1" workbookViewId="0">
      <selection activeCell="A53" sqref="A53"/>
    </sheetView>
  </sheetViews>
  <sheetFormatPr defaultRowHeight="14.4" x14ac:dyDescent="0.3"/>
  <cols>
    <col min="1" max="1" width="11" bestFit="1" customWidth="1"/>
    <col min="2" max="2" width="22.6640625" bestFit="1" customWidth="1"/>
    <col min="3" max="3" width="15" bestFit="1" customWidth="1"/>
    <col min="4" max="7" width="15.77734375" bestFit="1" customWidth="1"/>
    <col min="8" max="8" width="19.88671875" bestFit="1" customWidth="1"/>
    <col min="9" max="9" width="15.109375" bestFit="1" customWidth="1"/>
    <col min="10" max="10" width="16.33203125" bestFit="1" customWidth="1"/>
    <col min="11" max="205" width="15.77734375" bestFit="1" customWidth="1"/>
    <col min="206" max="206" width="11" bestFit="1" customWidth="1"/>
  </cols>
  <sheetData>
    <row r="1" spans="1:3" x14ac:dyDescent="0.3">
      <c r="A1" s="14" t="s">
        <v>284</v>
      </c>
    </row>
    <row r="2" spans="1:3" x14ac:dyDescent="0.3">
      <c r="A2" s="14" t="s">
        <v>275</v>
      </c>
    </row>
    <row r="3" spans="1:3" x14ac:dyDescent="0.3">
      <c r="A3" s="6" t="s">
        <v>242</v>
      </c>
      <c r="B3" s="6" t="s">
        <v>245</v>
      </c>
      <c r="C3" t="s">
        <v>282</v>
      </c>
    </row>
    <row r="4" spans="1:3" x14ac:dyDescent="0.3">
      <c r="A4" s="7" t="s">
        <v>18</v>
      </c>
      <c r="B4" s="13">
        <v>148.14669058823537</v>
      </c>
      <c r="C4" s="13">
        <v>170</v>
      </c>
    </row>
    <row r="5" spans="1:3" x14ac:dyDescent="0.3">
      <c r="A5" s="7" t="s">
        <v>22</v>
      </c>
      <c r="B5" s="13">
        <v>143.46044606741569</v>
      </c>
      <c r="C5" s="13">
        <v>178</v>
      </c>
    </row>
    <row r="6" spans="1:3" x14ac:dyDescent="0.3">
      <c r="A6" s="7" t="s">
        <v>21</v>
      </c>
      <c r="B6" s="13">
        <v>146.99527816091947</v>
      </c>
      <c r="C6" s="13">
        <v>174</v>
      </c>
    </row>
    <row r="7" spans="1:3" x14ac:dyDescent="0.3">
      <c r="A7" s="7" t="s">
        <v>17</v>
      </c>
      <c r="B7" s="13">
        <v>142.60797828947361</v>
      </c>
      <c r="C7" s="13">
        <v>152</v>
      </c>
    </row>
    <row r="8" spans="1:3" x14ac:dyDescent="0.3">
      <c r="A8" s="7" t="s">
        <v>19</v>
      </c>
      <c r="B8" s="13">
        <v>142.30074562499993</v>
      </c>
      <c r="C8" s="13">
        <v>160</v>
      </c>
    </row>
    <row r="9" spans="1:3" x14ac:dyDescent="0.3">
      <c r="A9" s="7" t="s">
        <v>20</v>
      </c>
      <c r="B9" s="13">
        <v>143.76259759036148</v>
      </c>
      <c r="C9" s="13">
        <v>166</v>
      </c>
    </row>
    <row r="10" spans="1:3" x14ac:dyDescent="0.3">
      <c r="A10" s="7" t="s">
        <v>243</v>
      </c>
      <c r="B10" s="13">
        <v>144.60719840000007</v>
      </c>
      <c r="C10" s="13">
        <v>1000</v>
      </c>
    </row>
    <row r="13" spans="1:3" x14ac:dyDescent="0.3">
      <c r="A13" s="15" t="s">
        <v>283</v>
      </c>
    </row>
    <row r="14" spans="1:3" x14ac:dyDescent="0.3">
      <c r="A14" s="15" t="s">
        <v>274</v>
      </c>
    </row>
    <row r="15" spans="1:3" x14ac:dyDescent="0.3">
      <c r="A15" s="6" t="s">
        <v>242</v>
      </c>
      <c r="B15" t="s">
        <v>244</v>
      </c>
      <c r="C15" t="s">
        <v>246</v>
      </c>
    </row>
    <row r="16" spans="1:3" x14ac:dyDescent="0.3">
      <c r="A16" s="7" t="s">
        <v>1</v>
      </c>
      <c r="B16" s="13">
        <v>1863</v>
      </c>
      <c r="C16" s="8">
        <v>5.5140762463343114</v>
      </c>
    </row>
    <row r="17" spans="1:3" x14ac:dyDescent="0.3">
      <c r="A17" s="7" t="s">
        <v>2</v>
      </c>
      <c r="B17" s="13">
        <v>1824</v>
      </c>
      <c r="C17" s="8">
        <v>5.2883792048929648</v>
      </c>
    </row>
    <row r="18" spans="1:3" x14ac:dyDescent="0.3">
      <c r="A18" s="7" t="s">
        <v>4</v>
      </c>
      <c r="B18" s="13">
        <v>6</v>
      </c>
      <c r="C18" s="8">
        <v>6.5</v>
      </c>
    </row>
    <row r="19" spans="1:3" x14ac:dyDescent="0.3">
      <c r="A19" s="7" t="s">
        <v>3</v>
      </c>
      <c r="B19" s="13">
        <v>1816</v>
      </c>
      <c r="C19" s="8">
        <v>5.1725075528700906</v>
      </c>
    </row>
    <row r="20" spans="1:3" x14ac:dyDescent="0.3">
      <c r="A20" s="7" t="s">
        <v>243</v>
      </c>
      <c r="B20" s="13">
        <v>5509</v>
      </c>
      <c r="C20" s="8">
        <v>5.3282000000000034</v>
      </c>
    </row>
    <row r="23" spans="1:3" x14ac:dyDescent="0.3">
      <c r="A23" s="15" t="s">
        <v>247</v>
      </c>
    </row>
    <row r="24" spans="1:3" x14ac:dyDescent="0.3">
      <c r="A24" s="15" t="s">
        <v>273</v>
      </c>
    </row>
    <row r="25" spans="1:3" x14ac:dyDescent="0.3">
      <c r="A25" s="6" t="s">
        <v>28</v>
      </c>
      <c r="B25" t="s">
        <v>278</v>
      </c>
    </row>
    <row r="26" spans="1:3" x14ac:dyDescent="0.3">
      <c r="A26" s="7" t="s">
        <v>253</v>
      </c>
      <c r="B26" s="13">
        <v>59</v>
      </c>
    </row>
    <row r="27" spans="1:3" x14ac:dyDescent="0.3">
      <c r="A27" s="7" t="s">
        <v>254</v>
      </c>
      <c r="B27" s="13">
        <v>51</v>
      </c>
    </row>
    <row r="28" spans="1:3" x14ac:dyDescent="0.3">
      <c r="A28" s="7" t="s">
        <v>268</v>
      </c>
      <c r="B28" s="13">
        <v>48</v>
      </c>
    </row>
    <row r="29" spans="1:3" x14ac:dyDescent="0.3">
      <c r="A29" s="7" t="s">
        <v>262</v>
      </c>
      <c r="B29" s="13">
        <v>47</v>
      </c>
    </row>
    <row r="30" spans="1:3" x14ac:dyDescent="0.3">
      <c r="A30" s="7" t="s">
        <v>263</v>
      </c>
      <c r="B30" s="13">
        <v>46</v>
      </c>
    </row>
    <row r="31" spans="1:3" x14ac:dyDescent="0.3">
      <c r="A31" s="7" t="s">
        <v>251</v>
      </c>
      <c r="B31" s="13">
        <v>46</v>
      </c>
    </row>
    <row r="32" spans="1:3" x14ac:dyDescent="0.3">
      <c r="A32" s="7" t="s">
        <v>248</v>
      </c>
      <c r="B32" s="13">
        <v>46</v>
      </c>
    </row>
    <row r="33" spans="1:2" x14ac:dyDescent="0.3">
      <c r="A33" s="7" t="s">
        <v>270</v>
      </c>
      <c r="B33" s="13">
        <v>45</v>
      </c>
    </row>
    <row r="34" spans="1:2" x14ac:dyDescent="0.3">
      <c r="A34" s="7" t="s">
        <v>250</v>
      </c>
      <c r="B34" s="13">
        <v>45</v>
      </c>
    </row>
    <row r="35" spans="1:2" x14ac:dyDescent="0.3">
      <c r="A35" s="7" t="s">
        <v>267</v>
      </c>
      <c r="B35" s="13">
        <v>44</v>
      </c>
    </row>
    <row r="36" spans="1:2" x14ac:dyDescent="0.3">
      <c r="A36" s="7" t="s">
        <v>269</v>
      </c>
      <c r="B36" s="13">
        <v>44</v>
      </c>
    </row>
    <row r="37" spans="1:2" x14ac:dyDescent="0.3">
      <c r="A37" s="7" t="s">
        <v>271</v>
      </c>
      <c r="B37" s="13">
        <v>43</v>
      </c>
    </row>
    <row r="38" spans="1:2" x14ac:dyDescent="0.3">
      <c r="A38" s="7" t="s">
        <v>249</v>
      </c>
      <c r="B38" s="13">
        <v>43</v>
      </c>
    </row>
    <row r="39" spans="1:2" x14ac:dyDescent="0.3">
      <c r="A39" s="7" t="s">
        <v>265</v>
      </c>
      <c r="B39" s="13">
        <v>42</v>
      </c>
    </row>
    <row r="40" spans="1:2" x14ac:dyDescent="0.3">
      <c r="A40" s="7" t="s">
        <v>256</v>
      </c>
      <c r="B40" s="13">
        <v>40</v>
      </c>
    </row>
    <row r="41" spans="1:2" x14ac:dyDescent="0.3">
      <c r="A41" s="7" t="s">
        <v>255</v>
      </c>
      <c r="B41" s="13">
        <v>38</v>
      </c>
    </row>
    <row r="42" spans="1:2" x14ac:dyDescent="0.3">
      <c r="A42" s="7" t="s">
        <v>264</v>
      </c>
      <c r="B42" s="13">
        <v>38</v>
      </c>
    </row>
    <row r="43" spans="1:2" x14ac:dyDescent="0.3">
      <c r="A43" s="7" t="s">
        <v>259</v>
      </c>
      <c r="B43" s="13">
        <v>38</v>
      </c>
    </row>
    <row r="44" spans="1:2" x14ac:dyDescent="0.3">
      <c r="A44" s="7" t="s">
        <v>258</v>
      </c>
      <c r="B44" s="13">
        <v>37</v>
      </c>
    </row>
    <row r="45" spans="1:2" x14ac:dyDescent="0.3">
      <c r="A45" s="7" t="s">
        <v>261</v>
      </c>
      <c r="B45" s="13">
        <v>35</v>
      </c>
    </row>
    <row r="46" spans="1:2" x14ac:dyDescent="0.3">
      <c r="A46" s="7" t="s">
        <v>252</v>
      </c>
      <c r="B46" s="13">
        <v>33</v>
      </c>
    </row>
    <row r="47" spans="1:2" x14ac:dyDescent="0.3">
      <c r="A47" s="7" t="s">
        <v>260</v>
      </c>
      <c r="B47" s="13">
        <v>33</v>
      </c>
    </row>
    <row r="48" spans="1:2" x14ac:dyDescent="0.3">
      <c r="A48" s="7" t="s">
        <v>257</v>
      </c>
      <c r="B48" s="13">
        <v>31</v>
      </c>
    </row>
    <row r="49" spans="1:2" x14ac:dyDescent="0.3">
      <c r="A49" s="7" t="s">
        <v>266</v>
      </c>
      <c r="B49" s="13">
        <v>28</v>
      </c>
    </row>
    <row r="50" spans="1:2" x14ac:dyDescent="0.3">
      <c r="A50" s="7" t="s">
        <v>243</v>
      </c>
      <c r="B50" s="13">
        <v>1000</v>
      </c>
    </row>
    <row r="53" spans="1:2" x14ac:dyDescent="0.3">
      <c r="A53" s="15" t="s">
        <v>272</v>
      </c>
    </row>
    <row r="54" spans="1:2" x14ac:dyDescent="0.3">
      <c r="A54" s="15" t="s">
        <v>276</v>
      </c>
    </row>
    <row r="55" spans="1:2" x14ac:dyDescent="0.3">
      <c r="A55" s="6" t="s">
        <v>277</v>
      </c>
      <c r="B55" t="s">
        <v>245</v>
      </c>
    </row>
    <row r="56" spans="1:2" x14ac:dyDescent="0.3">
      <c r="A56" s="7" t="s">
        <v>14</v>
      </c>
      <c r="B56" s="13">
        <v>144.04126483300578</v>
      </c>
    </row>
    <row r="57" spans="1:2" x14ac:dyDescent="0.3">
      <c r="A57" s="7" t="s">
        <v>15</v>
      </c>
      <c r="B57" s="13">
        <v>145.19387902240328</v>
      </c>
    </row>
    <row r="58" spans="1:2" x14ac:dyDescent="0.3">
      <c r="A58" s="7" t="s">
        <v>243</v>
      </c>
      <c r="B58" s="13">
        <v>144.6071983999999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clean_data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Abhishek Sengupta</cp:lastModifiedBy>
  <dcterms:created xsi:type="dcterms:W3CDTF">2023-08-02T12:02:57Z</dcterms:created>
  <dcterms:modified xsi:type="dcterms:W3CDTF">2026-02-27T09:09:42Z</dcterms:modified>
</cp:coreProperties>
</file>